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-120" yWindow="-120" windowWidth="19420" windowHeight="11020" tabRatio="874" firstSheet="4" activeTab="4"/>
  </bookViews>
  <sheets>
    <sheet name="FSS &amp; VESDA" sheetId="41" r:id="rId1"/>
    <sheet name="Inergen Gas Cylinder" sheetId="44" r:id="rId2"/>
    <sheet name="1" sheetId="1" r:id="rId3"/>
    <sheet name="2" sheetId="2" r:id="rId4"/>
    <sheet name="3" sheetId="4" r:id="rId5"/>
    <sheet name="4" sheetId="33" r:id="rId6"/>
    <sheet name="5" sheetId="5" r:id="rId7"/>
    <sheet name="6" sheetId="6" r:id="rId8"/>
    <sheet name="7" sheetId="54" r:id="rId9"/>
    <sheet name="8" sheetId="8" r:id="rId10"/>
    <sheet name="9" sheetId="9" r:id="rId11"/>
    <sheet name="10" sheetId="10" r:id="rId12"/>
    <sheet name="11" sheetId="11" r:id="rId13"/>
    <sheet name="12" sheetId="55" r:id="rId14"/>
    <sheet name="13" sheetId="13" r:id="rId15"/>
    <sheet name="14" sheetId="14" r:id="rId16"/>
    <sheet name="15" sheetId="15" r:id="rId17"/>
    <sheet name="16" sheetId="56" r:id="rId18"/>
    <sheet name="17" sheetId="57" r:id="rId19"/>
    <sheet name="18" sheetId="58" r:id="rId20"/>
    <sheet name="19" sheetId="59" r:id="rId21"/>
    <sheet name="20" sheetId="60" r:id="rId22"/>
    <sheet name="21" sheetId="61" r:id="rId23"/>
    <sheet name="22" sheetId="62" r:id="rId24"/>
    <sheet name="23" sheetId="63" r:id="rId25"/>
    <sheet name="24" sheetId="64" r:id="rId26"/>
    <sheet name="25" sheetId="65" r:id="rId27"/>
    <sheet name="26" sheetId="70" r:id="rId28"/>
    <sheet name="27" sheetId="69" r:id="rId29"/>
    <sheet name="28" sheetId="68" r:id="rId30"/>
    <sheet name="29" sheetId="75" r:id="rId31"/>
    <sheet name="30" sheetId="76" r:id="rId32"/>
    <sheet name="31" sheetId="77" r:id="rId33"/>
    <sheet name="Room Temp - Auto Update" sheetId="49" r:id="rId34"/>
    <sheet name="Power Plant - RECTIFIER 1" sheetId="48" r:id="rId35"/>
    <sheet name="Power Plant - RECTIFIER 2" sheetId="74" r:id="rId36"/>
    <sheet name="Power Plant - UPS 1" sheetId="73" r:id="rId37"/>
    <sheet name="Power Plant - UPS 2" sheetId="72" r:id="rId38"/>
    <sheet name="Summary - Temp &amp; Hum " sheetId="50" r:id="rId39"/>
    <sheet name="PUE Trend" sheetId="51" r:id="rId40"/>
  </sheets>
  <calcPr calcId="145621"/>
</workbook>
</file>

<file path=xl/calcChain.xml><?xml version="1.0" encoding="utf-8"?>
<calcChain xmlns="http://schemas.openxmlformats.org/spreadsheetml/2006/main">
  <c r="R56" i="59" l="1"/>
  <c r="E34" i="50" l="1"/>
  <c r="BF31" i="15"/>
  <c r="BG31" i="15"/>
  <c r="BH32" i="15" s="1"/>
  <c r="AS32" i="15"/>
  <c r="BF32" i="15"/>
  <c r="BG32" i="15"/>
  <c r="F34" i="51" l="1"/>
  <c r="F33" i="51"/>
  <c r="F32" i="51"/>
  <c r="E33" i="50"/>
  <c r="E32" i="50"/>
  <c r="V116" i="72"/>
  <c r="U116" i="72"/>
  <c r="T116" i="72"/>
  <c r="S116" i="72"/>
  <c r="R116" i="72"/>
  <c r="Q116" i="72"/>
  <c r="P116" i="72"/>
  <c r="O116" i="72"/>
  <c r="N116" i="72"/>
  <c r="M116" i="72"/>
  <c r="L116" i="72"/>
  <c r="V117" i="72"/>
  <c r="U117" i="72"/>
  <c r="T117" i="72"/>
  <c r="S117" i="72"/>
  <c r="R117" i="72"/>
  <c r="Q117" i="72"/>
  <c r="P117" i="72"/>
  <c r="O117" i="72"/>
  <c r="N117" i="72"/>
  <c r="M117" i="72"/>
  <c r="L117" i="72"/>
  <c r="V118" i="72"/>
  <c r="U118" i="72"/>
  <c r="T118" i="72"/>
  <c r="S118" i="72"/>
  <c r="R118" i="72"/>
  <c r="Q118" i="72"/>
  <c r="P118" i="72"/>
  <c r="O118" i="72"/>
  <c r="N118" i="72"/>
  <c r="M118" i="72"/>
  <c r="L118" i="72"/>
  <c r="V119" i="72"/>
  <c r="U119" i="72"/>
  <c r="T119" i="72"/>
  <c r="S119" i="72"/>
  <c r="R119" i="72"/>
  <c r="Q119" i="72"/>
  <c r="P119" i="72"/>
  <c r="O119" i="72"/>
  <c r="N119" i="72"/>
  <c r="M119" i="72"/>
  <c r="L119" i="72"/>
  <c r="V120" i="72"/>
  <c r="U120" i="72"/>
  <c r="T120" i="72"/>
  <c r="S120" i="72"/>
  <c r="R120" i="72"/>
  <c r="Q120" i="72"/>
  <c r="P120" i="72"/>
  <c r="O120" i="72"/>
  <c r="N120" i="72"/>
  <c r="M120" i="72"/>
  <c r="L120" i="72"/>
  <c r="V121" i="72"/>
  <c r="U121" i="72"/>
  <c r="T121" i="72"/>
  <c r="S121" i="72"/>
  <c r="R121" i="72"/>
  <c r="Q121" i="72"/>
  <c r="P121" i="72"/>
  <c r="O121" i="72"/>
  <c r="N121" i="72"/>
  <c r="M121" i="72"/>
  <c r="L121" i="72"/>
  <c r="V122" i="72"/>
  <c r="U122" i="72"/>
  <c r="T122" i="72"/>
  <c r="S122" i="72"/>
  <c r="R122" i="72"/>
  <c r="Q122" i="72"/>
  <c r="P122" i="72"/>
  <c r="O122" i="72"/>
  <c r="N122" i="72"/>
  <c r="M122" i="72"/>
  <c r="L122" i="72"/>
  <c r="V123" i="72"/>
  <c r="U123" i="72"/>
  <c r="T123" i="72"/>
  <c r="S123" i="72"/>
  <c r="R123" i="72"/>
  <c r="Q123" i="72"/>
  <c r="P123" i="72"/>
  <c r="O123" i="72"/>
  <c r="N123" i="72"/>
  <c r="M123" i="72"/>
  <c r="L123" i="72"/>
  <c r="X123" i="72"/>
  <c r="K123" i="72"/>
  <c r="J123" i="72"/>
  <c r="I123" i="72"/>
  <c r="X122" i="72"/>
  <c r="K122" i="72"/>
  <c r="J122" i="72"/>
  <c r="I122" i="72"/>
  <c r="X121" i="72"/>
  <c r="K121" i="72"/>
  <c r="J121" i="72"/>
  <c r="I121" i="72"/>
  <c r="X120" i="72"/>
  <c r="K120" i="72"/>
  <c r="J120" i="72"/>
  <c r="I120" i="72"/>
  <c r="X119" i="72"/>
  <c r="K119" i="72"/>
  <c r="J119" i="72"/>
  <c r="I119" i="72"/>
  <c r="X118" i="72"/>
  <c r="K118" i="72"/>
  <c r="J118" i="72"/>
  <c r="I118" i="72"/>
  <c r="X117" i="72"/>
  <c r="K117" i="72"/>
  <c r="J117" i="72"/>
  <c r="I117" i="72"/>
  <c r="X116" i="72"/>
  <c r="K116" i="72"/>
  <c r="J116" i="72"/>
  <c r="I116" i="72"/>
  <c r="P123" i="73"/>
  <c r="O123" i="73"/>
  <c r="M123" i="73"/>
  <c r="L123" i="73"/>
  <c r="P122" i="73"/>
  <c r="O122" i="73"/>
  <c r="N122" i="73"/>
  <c r="M122" i="73"/>
  <c r="L122" i="73"/>
  <c r="P121" i="73"/>
  <c r="O121" i="73"/>
  <c r="N121" i="73"/>
  <c r="M121" i="73"/>
  <c r="L121" i="73"/>
  <c r="P120" i="73"/>
  <c r="O120" i="73"/>
  <c r="N120" i="73"/>
  <c r="M120" i="73"/>
  <c r="L120" i="73"/>
  <c r="P119" i="73"/>
  <c r="O119" i="73"/>
  <c r="N119" i="73"/>
  <c r="M119" i="73"/>
  <c r="L119" i="73"/>
  <c r="P118" i="73"/>
  <c r="O118" i="73"/>
  <c r="N118" i="73"/>
  <c r="M118" i="73"/>
  <c r="L118" i="73"/>
  <c r="P117" i="73"/>
  <c r="O117" i="73"/>
  <c r="N117" i="73"/>
  <c r="M117" i="73"/>
  <c r="L117" i="73"/>
  <c r="P116" i="73"/>
  <c r="O116" i="73"/>
  <c r="N116" i="73"/>
  <c r="M116" i="73"/>
  <c r="L116" i="73"/>
  <c r="Q123" i="73"/>
  <c r="Q122" i="73"/>
  <c r="Q121" i="73"/>
  <c r="Q120" i="73"/>
  <c r="Q119" i="73"/>
  <c r="Q118" i="73"/>
  <c r="Q117" i="73"/>
  <c r="Q116" i="73"/>
  <c r="R123" i="73"/>
  <c r="R122" i="73"/>
  <c r="R121" i="73"/>
  <c r="R120" i="73"/>
  <c r="R119" i="73"/>
  <c r="R118" i="73"/>
  <c r="R117" i="73"/>
  <c r="R116" i="73"/>
  <c r="S123" i="73"/>
  <c r="S122" i="73"/>
  <c r="S121" i="73"/>
  <c r="S120" i="73"/>
  <c r="S119" i="73"/>
  <c r="S118" i="73"/>
  <c r="S117" i="73"/>
  <c r="S116" i="73"/>
  <c r="T123" i="73"/>
  <c r="T122" i="73"/>
  <c r="T121" i="73"/>
  <c r="T120" i="73"/>
  <c r="T119" i="73"/>
  <c r="T118" i="73"/>
  <c r="T117" i="73"/>
  <c r="T116" i="73"/>
  <c r="X119" i="73"/>
  <c r="V119" i="73"/>
  <c r="U119" i="73"/>
  <c r="K119" i="73"/>
  <c r="J119" i="73"/>
  <c r="I119" i="73"/>
  <c r="X118" i="73"/>
  <c r="V118" i="73"/>
  <c r="U118" i="73"/>
  <c r="K118" i="73"/>
  <c r="J118" i="73"/>
  <c r="I118" i="73"/>
  <c r="X117" i="73"/>
  <c r="V117" i="73"/>
  <c r="U117" i="73"/>
  <c r="K117" i="73"/>
  <c r="J117" i="73"/>
  <c r="I117" i="73"/>
  <c r="X116" i="73"/>
  <c r="V116" i="73"/>
  <c r="U116" i="73"/>
  <c r="K116" i="73"/>
  <c r="J116" i="73"/>
  <c r="I116" i="73"/>
  <c r="N123" i="73"/>
  <c r="X123" i="73"/>
  <c r="V123" i="73"/>
  <c r="U123" i="73"/>
  <c r="K123" i="73"/>
  <c r="J123" i="73"/>
  <c r="I123" i="73"/>
  <c r="X122" i="73"/>
  <c r="V122" i="73"/>
  <c r="U122" i="73"/>
  <c r="K122" i="73"/>
  <c r="J122" i="73"/>
  <c r="I122" i="73"/>
  <c r="X121" i="73"/>
  <c r="V121" i="73"/>
  <c r="U121" i="73"/>
  <c r="K121" i="73"/>
  <c r="J121" i="73"/>
  <c r="I121" i="73"/>
  <c r="X120" i="73"/>
  <c r="V120" i="73"/>
  <c r="U120" i="73"/>
  <c r="K120" i="73"/>
  <c r="J120" i="73"/>
  <c r="I120" i="73"/>
  <c r="O123" i="74"/>
  <c r="M123" i="74"/>
  <c r="L123" i="74"/>
  <c r="K123" i="74"/>
  <c r="J123" i="74"/>
  <c r="I123" i="74"/>
  <c r="H123" i="74"/>
  <c r="O122" i="74"/>
  <c r="M122" i="74"/>
  <c r="L122" i="74"/>
  <c r="K122" i="74"/>
  <c r="J122" i="74"/>
  <c r="I122" i="74"/>
  <c r="H122" i="74"/>
  <c r="O121" i="74"/>
  <c r="M121" i="74"/>
  <c r="L121" i="74"/>
  <c r="K121" i="74"/>
  <c r="J121" i="74"/>
  <c r="I121" i="74"/>
  <c r="H121" i="74"/>
  <c r="O120" i="74"/>
  <c r="M120" i="74"/>
  <c r="L120" i="74"/>
  <c r="K120" i="74"/>
  <c r="J120" i="74"/>
  <c r="I120" i="74"/>
  <c r="H120" i="74"/>
  <c r="O119" i="74"/>
  <c r="M119" i="74"/>
  <c r="L119" i="74"/>
  <c r="K119" i="74"/>
  <c r="J119" i="74"/>
  <c r="I119" i="74"/>
  <c r="H119" i="74"/>
  <c r="O118" i="74"/>
  <c r="M118" i="74"/>
  <c r="L118" i="74"/>
  <c r="K118" i="74"/>
  <c r="J118" i="74"/>
  <c r="I118" i="74"/>
  <c r="H118" i="74"/>
  <c r="O117" i="74"/>
  <c r="M117" i="74"/>
  <c r="L117" i="74"/>
  <c r="K117" i="74"/>
  <c r="J117" i="74"/>
  <c r="I117" i="74"/>
  <c r="H117" i="74"/>
  <c r="O116" i="74"/>
  <c r="M116" i="74"/>
  <c r="L116" i="74"/>
  <c r="K116" i="74"/>
  <c r="J116" i="74"/>
  <c r="I116" i="74"/>
  <c r="H116" i="74"/>
  <c r="O119" i="48"/>
  <c r="M119" i="48"/>
  <c r="L119" i="48"/>
  <c r="K119" i="48"/>
  <c r="J119" i="48"/>
  <c r="I119" i="48"/>
  <c r="H119" i="48"/>
  <c r="O118" i="48"/>
  <c r="M118" i="48"/>
  <c r="L118" i="48"/>
  <c r="K118" i="48"/>
  <c r="J118" i="48"/>
  <c r="I118" i="48"/>
  <c r="H118" i="48"/>
  <c r="O117" i="48"/>
  <c r="M117" i="48"/>
  <c r="L117" i="48"/>
  <c r="K117" i="48"/>
  <c r="J117" i="48"/>
  <c r="I117" i="48"/>
  <c r="H117" i="48"/>
  <c r="O116" i="48"/>
  <c r="M116" i="48"/>
  <c r="L116" i="48"/>
  <c r="K116" i="48"/>
  <c r="J116" i="48"/>
  <c r="I116" i="48"/>
  <c r="H116" i="48"/>
  <c r="O123" i="48"/>
  <c r="M123" i="48"/>
  <c r="L123" i="48"/>
  <c r="K123" i="48"/>
  <c r="J123" i="48"/>
  <c r="I123" i="48"/>
  <c r="H123" i="48"/>
  <c r="O122" i="48"/>
  <c r="M122" i="48"/>
  <c r="L122" i="48"/>
  <c r="K122" i="48"/>
  <c r="J122" i="48"/>
  <c r="I122" i="48"/>
  <c r="H122" i="48"/>
  <c r="O121" i="48"/>
  <c r="M121" i="48"/>
  <c r="L121" i="48"/>
  <c r="K121" i="48"/>
  <c r="J121" i="48"/>
  <c r="I121" i="48"/>
  <c r="H121" i="48"/>
  <c r="O120" i="48"/>
  <c r="M120" i="48"/>
  <c r="L120" i="48"/>
  <c r="K120" i="48"/>
  <c r="J120" i="48"/>
  <c r="I120" i="48"/>
  <c r="H120" i="48"/>
  <c r="KD34" i="49"/>
  <c r="KC34" i="49"/>
  <c r="KB34" i="49"/>
  <c r="KA34" i="49"/>
  <c r="JZ34" i="49"/>
  <c r="JY34" i="49"/>
  <c r="JX34" i="49"/>
  <c r="JW34" i="49"/>
  <c r="JV34" i="49"/>
  <c r="JU34" i="49"/>
  <c r="JT34" i="49"/>
  <c r="JS34" i="49"/>
  <c r="JR34" i="49"/>
  <c r="JQ34" i="49"/>
  <c r="JP34" i="49"/>
  <c r="JO34" i="49"/>
  <c r="JN34" i="49"/>
  <c r="JM34" i="49"/>
  <c r="JL34" i="49"/>
  <c r="JK34" i="49"/>
  <c r="JJ34" i="49"/>
  <c r="JI34" i="49"/>
  <c r="JH34" i="49"/>
  <c r="JG34" i="49"/>
  <c r="JF34" i="49"/>
  <c r="JE34" i="49"/>
  <c r="JD34" i="49"/>
  <c r="JC34" i="49"/>
  <c r="JB34" i="49"/>
  <c r="JA34" i="49"/>
  <c r="IZ34" i="49"/>
  <c r="IY34" i="49"/>
  <c r="IX34" i="49"/>
  <c r="IW34" i="49"/>
  <c r="IV34" i="49"/>
  <c r="IU34" i="49"/>
  <c r="IT34" i="49"/>
  <c r="IS34" i="49"/>
  <c r="IR34" i="49"/>
  <c r="IQ34" i="49"/>
  <c r="IP34" i="49"/>
  <c r="IO34" i="49"/>
  <c r="IN34" i="49"/>
  <c r="IM34" i="49"/>
  <c r="IL34" i="49"/>
  <c r="IK34" i="49"/>
  <c r="IJ34" i="49"/>
  <c r="II34" i="49"/>
  <c r="IH34" i="49"/>
  <c r="IG34" i="49"/>
  <c r="IF34" i="49"/>
  <c r="IE34" i="49"/>
  <c r="ID34" i="49"/>
  <c r="IC34" i="49"/>
  <c r="IB34" i="49"/>
  <c r="IA34" i="49"/>
  <c r="HZ34" i="49"/>
  <c r="HY34" i="49"/>
  <c r="HX34" i="49"/>
  <c r="HW34" i="49"/>
  <c r="HV34" i="49"/>
  <c r="HU34" i="49"/>
  <c r="HT34" i="49"/>
  <c r="HS34" i="49"/>
  <c r="HR34" i="49"/>
  <c r="HQ34" i="49"/>
  <c r="HP34" i="49"/>
  <c r="HO34" i="49"/>
  <c r="HN34" i="49"/>
  <c r="HM34" i="49"/>
  <c r="HL34" i="49"/>
  <c r="HK34" i="49"/>
  <c r="HJ34" i="49"/>
  <c r="HI34" i="49"/>
  <c r="HH34" i="49"/>
  <c r="HG34" i="49"/>
  <c r="HF34" i="49"/>
  <c r="HE34" i="49"/>
  <c r="HD34" i="49"/>
  <c r="HC34" i="49"/>
  <c r="HB34" i="49"/>
  <c r="HA34" i="49"/>
  <c r="GZ34" i="49"/>
  <c r="GY34" i="49"/>
  <c r="GX34" i="49"/>
  <c r="GW34" i="49"/>
  <c r="GV34" i="49"/>
  <c r="GU34" i="49"/>
  <c r="GT34" i="49"/>
  <c r="GS34" i="49"/>
  <c r="GR34" i="49"/>
  <c r="GQ34" i="49"/>
  <c r="GP34" i="49"/>
  <c r="GO34" i="49"/>
  <c r="GN34" i="49"/>
  <c r="GM34" i="49"/>
  <c r="GL34" i="49"/>
  <c r="GK34" i="49"/>
  <c r="GJ34" i="49"/>
  <c r="GI34" i="49"/>
  <c r="GH34" i="49"/>
  <c r="GG34" i="49"/>
  <c r="GF34" i="49"/>
  <c r="GE34" i="49"/>
  <c r="GD34" i="49"/>
  <c r="GC34" i="49"/>
  <c r="GB34" i="49"/>
  <c r="GA34" i="49"/>
  <c r="FZ34" i="49"/>
  <c r="FY34" i="49"/>
  <c r="FX34" i="49"/>
  <c r="FW34" i="49"/>
  <c r="FV34" i="49"/>
  <c r="FU34" i="49"/>
  <c r="FT34" i="49"/>
  <c r="FS34" i="49"/>
  <c r="FR34" i="49"/>
  <c r="FQ34" i="49"/>
  <c r="FP34" i="49"/>
  <c r="FO34" i="49"/>
  <c r="FN34" i="49"/>
  <c r="FM34" i="49"/>
  <c r="FL34" i="49"/>
  <c r="FK34" i="49"/>
  <c r="FJ34" i="49"/>
  <c r="FI34" i="49"/>
  <c r="FH34" i="49"/>
  <c r="FG34" i="49"/>
  <c r="FF34" i="49"/>
  <c r="FE34" i="49"/>
  <c r="FD34" i="49"/>
  <c r="FC34" i="49"/>
  <c r="FB34" i="49"/>
  <c r="FA34" i="49"/>
  <c r="EZ34" i="49"/>
  <c r="EY34" i="49"/>
  <c r="EX34" i="49"/>
  <c r="EW34" i="49"/>
  <c r="EV34" i="49"/>
  <c r="EU34" i="49"/>
  <c r="ET34" i="49"/>
  <c r="ES34" i="49"/>
  <c r="ER34" i="49"/>
  <c r="EQ34" i="49"/>
  <c r="EP34" i="49"/>
  <c r="EO34" i="49"/>
  <c r="EN34" i="49"/>
  <c r="EM34" i="49"/>
  <c r="EL34" i="49"/>
  <c r="EK34" i="49"/>
  <c r="EJ34" i="49"/>
  <c r="EI34" i="49"/>
  <c r="EH34" i="49"/>
  <c r="EG34" i="49"/>
  <c r="EF34" i="49"/>
  <c r="EE34" i="49"/>
  <c r="ED34" i="49"/>
  <c r="EC34" i="49"/>
  <c r="EB34" i="49"/>
  <c r="EA34" i="49"/>
  <c r="DZ34" i="49"/>
  <c r="DY34" i="49"/>
  <c r="DX34" i="49"/>
  <c r="DW34" i="49"/>
  <c r="DV34" i="49"/>
  <c r="DU34" i="49"/>
  <c r="DT34" i="49"/>
  <c r="DS34" i="49"/>
  <c r="DR34" i="49"/>
  <c r="DQ34" i="49"/>
  <c r="DP34" i="49"/>
  <c r="DO34" i="49"/>
  <c r="DN34" i="49"/>
  <c r="DM34" i="49"/>
  <c r="DL34" i="49"/>
  <c r="DK34" i="49"/>
  <c r="DJ34" i="49"/>
  <c r="DI34" i="49"/>
  <c r="DH34" i="49"/>
  <c r="DG34" i="49"/>
  <c r="DF34" i="49"/>
  <c r="DE34" i="49"/>
  <c r="DD34" i="49"/>
  <c r="DC34" i="49"/>
  <c r="DB34" i="49"/>
  <c r="DA34" i="49"/>
  <c r="CZ34" i="49"/>
  <c r="CY34" i="49"/>
  <c r="CX34" i="49"/>
  <c r="CW34" i="49"/>
  <c r="CV34" i="49"/>
  <c r="CU34" i="49"/>
  <c r="CT34" i="49"/>
  <c r="CS34" i="49"/>
  <c r="CR34" i="49"/>
  <c r="CQ34" i="49"/>
  <c r="CP34" i="49"/>
  <c r="CO34" i="49"/>
  <c r="CN34" i="49"/>
  <c r="CM34" i="49"/>
  <c r="CL34" i="49"/>
  <c r="CK34" i="49"/>
  <c r="CJ34" i="49"/>
  <c r="CI34" i="49"/>
  <c r="CH34" i="49"/>
  <c r="CG34" i="49"/>
  <c r="CF34" i="49"/>
  <c r="CE34" i="49"/>
  <c r="CD34" i="49"/>
  <c r="CC34" i="49"/>
  <c r="CB34" i="49"/>
  <c r="CA34" i="49"/>
  <c r="BZ34" i="49"/>
  <c r="BY34" i="49"/>
  <c r="BX34" i="49"/>
  <c r="BW34" i="49"/>
  <c r="BV34" i="49"/>
  <c r="BU34" i="49"/>
  <c r="BT34" i="49"/>
  <c r="BS34" i="49"/>
  <c r="BR34" i="49"/>
  <c r="BQ34" i="49"/>
  <c r="BP34" i="49"/>
  <c r="BO34" i="49"/>
  <c r="BN34" i="49"/>
  <c r="BM34" i="49"/>
  <c r="BL34" i="49"/>
  <c r="BK34" i="49"/>
  <c r="BJ34" i="49"/>
  <c r="BI34" i="49"/>
  <c r="BH34" i="49"/>
  <c r="BG34" i="49"/>
  <c r="BF34" i="49"/>
  <c r="BE34" i="49"/>
  <c r="BD34" i="49"/>
  <c r="BC34" i="49"/>
  <c r="BB34" i="49"/>
  <c r="BA34" i="49"/>
  <c r="AZ34" i="49"/>
  <c r="AY34" i="49"/>
  <c r="AX34" i="49"/>
  <c r="AW34" i="49"/>
  <c r="AV34" i="49"/>
  <c r="AU34" i="49"/>
  <c r="AT34" i="49"/>
  <c r="AS34" i="49"/>
  <c r="AR34" i="49"/>
  <c r="AQ34" i="49"/>
  <c r="AP34" i="49"/>
  <c r="AO34" i="49"/>
  <c r="AN34" i="49"/>
  <c r="AM34" i="49"/>
  <c r="AL34" i="49"/>
  <c r="AK34" i="49"/>
  <c r="AJ34" i="49"/>
  <c r="AI34" i="49"/>
  <c r="AH34" i="49"/>
  <c r="AG34" i="49"/>
  <c r="AF34" i="49"/>
  <c r="AE34" i="49"/>
  <c r="AD34" i="49"/>
  <c r="AC34" i="49"/>
  <c r="AB34" i="49"/>
  <c r="AA34" i="49"/>
  <c r="Z34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H34" i="49"/>
  <c r="G34" i="49"/>
  <c r="F34" i="49"/>
  <c r="E34" i="49"/>
  <c r="D34" i="49"/>
  <c r="C34" i="49"/>
  <c r="KD35" i="49"/>
  <c r="KC35" i="49"/>
  <c r="KB35" i="49"/>
  <c r="KA35" i="49"/>
  <c r="JZ35" i="49"/>
  <c r="JY35" i="49"/>
  <c r="JX35" i="49"/>
  <c r="JW35" i="49"/>
  <c r="JV35" i="49"/>
  <c r="JU35" i="49"/>
  <c r="JT35" i="49"/>
  <c r="JS35" i="49"/>
  <c r="JR35" i="49"/>
  <c r="JQ35" i="49"/>
  <c r="JP35" i="49"/>
  <c r="JO35" i="49"/>
  <c r="JN35" i="49"/>
  <c r="JM35" i="49"/>
  <c r="JL35" i="49"/>
  <c r="JK35" i="49"/>
  <c r="JJ35" i="49"/>
  <c r="JI35" i="49"/>
  <c r="JH35" i="49"/>
  <c r="JG35" i="49"/>
  <c r="JF35" i="49"/>
  <c r="JE35" i="49"/>
  <c r="JD35" i="49"/>
  <c r="JC35" i="49"/>
  <c r="JB35" i="49"/>
  <c r="JA35" i="49"/>
  <c r="IZ35" i="49"/>
  <c r="IY35" i="49"/>
  <c r="IX35" i="49"/>
  <c r="IW35" i="49"/>
  <c r="IV35" i="49"/>
  <c r="IU35" i="49"/>
  <c r="IT35" i="49"/>
  <c r="IS35" i="49"/>
  <c r="IR35" i="49"/>
  <c r="IQ35" i="49"/>
  <c r="IP35" i="49"/>
  <c r="IO35" i="49"/>
  <c r="IN35" i="49"/>
  <c r="IM35" i="49"/>
  <c r="IL35" i="49"/>
  <c r="IK35" i="49"/>
  <c r="IJ35" i="49"/>
  <c r="II35" i="49"/>
  <c r="IH35" i="49"/>
  <c r="IG35" i="49"/>
  <c r="IF35" i="49"/>
  <c r="IE35" i="49"/>
  <c r="ID35" i="49"/>
  <c r="IC35" i="49"/>
  <c r="IB35" i="49"/>
  <c r="IA35" i="49"/>
  <c r="HZ35" i="49"/>
  <c r="HY35" i="49"/>
  <c r="HX35" i="49"/>
  <c r="HW35" i="49"/>
  <c r="HV35" i="49"/>
  <c r="HU35" i="49"/>
  <c r="HT35" i="49"/>
  <c r="HS35" i="49"/>
  <c r="HR35" i="49"/>
  <c r="HQ35" i="49"/>
  <c r="HP35" i="49"/>
  <c r="HO35" i="49"/>
  <c r="HN35" i="49"/>
  <c r="HM35" i="49"/>
  <c r="HL35" i="49"/>
  <c r="HK35" i="49"/>
  <c r="HJ35" i="49"/>
  <c r="HI35" i="49"/>
  <c r="HH35" i="49"/>
  <c r="HG35" i="49"/>
  <c r="HF35" i="49"/>
  <c r="HE35" i="49"/>
  <c r="HD35" i="49"/>
  <c r="HC35" i="49"/>
  <c r="HB35" i="49"/>
  <c r="HA35" i="49"/>
  <c r="GZ35" i="49"/>
  <c r="GY35" i="49"/>
  <c r="GX35" i="49"/>
  <c r="GW35" i="49"/>
  <c r="GV35" i="49"/>
  <c r="GU35" i="49"/>
  <c r="GT35" i="49"/>
  <c r="GS35" i="49"/>
  <c r="GR35" i="49"/>
  <c r="GQ35" i="49"/>
  <c r="GP35" i="49"/>
  <c r="GO35" i="49"/>
  <c r="GN35" i="49"/>
  <c r="GM35" i="49"/>
  <c r="GL35" i="49"/>
  <c r="GK35" i="49"/>
  <c r="GJ35" i="49"/>
  <c r="GI35" i="49"/>
  <c r="GH35" i="49"/>
  <c r="GG35" i="49"/>
  <c r="GF35" i="49"/>
  <c r="GE35" i="49"/>
  <c r="GD35" i="49"/>
  <c r="GC35" i="49"/>
  <c r="GB35" i="49"/>
  <c r="GA35" i="49"/>
  <c r="FZ35" i="49"/>
  <c r="FY35" i="49"/>
  <c r="FX35" i="49"/>
  <c r="FW35" i="49"/>
  <c r="FV35" i="49"/>
  <c r="FU35" i="49"/>
  <c r="FT35" i="49"/>
  <c r="FS35" i="49"/>
  <c r="FR35" i="49"/>
  <c r="FQ35" i="49"/>
  <c r="FP35" i="49"/>
  <c r="FO35" i="49"/>
  <c r="FN35" i="49"/>
  <c r="FM35" i="49"/>
  <c r="FL35" i="49"/>
  <c r="FK35" i="49"/>
  <c r="FJ35" i="49"/>
  <c r="FI35" i="49"/>
  <c r="FH35" i="49"/>
  <c r="FG35" i="49"/>
  <c r="FF35" i="49"/>
  <c r="FE35" i="49"/>
  <c r="FD35" i="49"/>
  <c r="FC35" i="49"/>
  <c r="FB35" i="49"/>
  <c r="FA35" i="49"/>
  <c r="EZ35" i="49"/>
  <c r="EY35" i="49"/>
  <c r="EX35" i="49"/>
  <c r="EW35" i="49"/>
  <c r="EV35" i="49"/>
  <c r="EU35" i="49"/>
  <c r="ET35" i="49"/>
  <c r="ES35" i="49"/>
  <c r="ER35" i="49"/>
  <c r="EQ35" i="49"/>
  <c r="EP35" i="49"/>
  <c r="EO35" i="49"/>
  <c r="EN35" i="49"/>
  <c r="EM35" i="49"/>
  <c r="EL35" i="49"/>
  <c r="EK35" i="49"/>
  <c r="EJ35" i="49"/>
  <c r="EI35" i="49"/>
  <c r="EH35" i="49"/>
  <c r="EG35" i="49"/>
  <c r="EF35" i="49"/>
  <c r="EE35" i="49"/>
  <c r="ED35" i="49"/>
  <c r="EC35" i="49"/>
  <c r="EB35" i="49"/>
  <c r="EA35" i="49"/>
  <c r="DZ35" i="49"/>
  <c r="DY35" i="49"/>
  <c r="DX35" i="49"/>
  <c r="DW35" i="49"/>
  <c r="DV35" i="49"/>
  <c r="DU35" i="49"/>
  <c r="DT35" i="49"/>
  <c r="DS35" i="49"/>
  <c r="DR35" i="49"/>
  <c r="DQ35" i="49"/>
  <c r="DP35" i="49"/>
  <c r="DO35" i="49"/>
  <c r="DN35" i="49"/>
  <c r="DM35" i="49"/>
  <c r="DL35" i="49"/>
  <c r="DK35" i="49"/>
  <c r="DJ35" i="49"/>
  <c r="DI35" i="49"/>
  <c r="DH35" i="49"/>
  <c r="DG35" i="49"/>
  <c r="DF35" i="49"/>
  <c r="DE35" i="49"/>
  <c r="DD35" i="49"/>
  <c r="DC35" i="49"/>
  <c r="DB35" i="49"/>
  <c r="DA35" i="49"/>
  <c r="CZ35" i="49"/>
  <c r="CY35" i="49"/>
  <c r="CX35" i="49"/>
  <c r="CW35" i="49"/>
  <c r="CV35" i="49"/>
  <c r="CU35" i="49"/>
  <c r="CT35" i="49"/>
  <c r="CS35" i="49"/>
  <c r="CR35" i="49"/>
  <c r="CQ35" i="49"/>
  <c r="CP35" i="49"/>
  <c r="CO35" i="49"/>
  <c r="CN35" i="49"/>
  <c r="CM35" i="49"/>
  <c r="CL35" i="49"/>
  <c r="CK35" i="49"/>
  <c r="CJ35" i="49"/>
  <c r="CI35" i="49"/>
  <c r="CH35" i="49"/>
  <c r="CG35" i="49"/>
  <c r="CF35" i="49"/>
  <c r="CE35" i="49"/>
  <c r="CD35" i="49"/>
  <c r="CC35" i="49"/>
  <c r="CB35" i="49"/>
  <c r="CA35" i="49"/>
  <c r="BZ35" i="49"/>
  <c r="BY35" i="49"/>
  <c r="BX35" i="49"/>
  <c r="BW35" i="49"/>
  <c r="BV35" i="49"/>
  <c r="BU35" i="49"/>
  <c r="BT35" i="49"/>
  <c r="BS35" i="49"/>
  <c r="BR35" i="49"/>
  <c r="BQ35" i="49"/>
  <c r="BP35" i="49"/>
  <c r="BO35" i="49"/>
  <c r="BN35" i="49"/>
  <c r="BM35" i="49"/>
  <c r="BL35" i="49"/>
  <c r="BK35" i="49"/>
  <c r="BJ35" i="49"/>
  <c r="BI35" i="49"/>
  <c r="BH35" i="49"/>
  <c r="BG35" i="49"/>
  <c r="BF35" i="49"/>
  <c r="BE35" i="49"/>
  <c r="BD35" i="49"/>
  <c r="BC35" i="49"/>
  <c r="BB35" i="49"/>
  <c r="BA35" i="49"/>
  <c r="AZ35" i="49"/>
  <c r="AY35" i="49"/>
  <c r="AX35" i="49"/>
  <c r="AW35" i="49"/>
  <c r="AV35" i="49"/>
  <c r="AU35" i="49"/>
  <c r="AT35" i="49"/>
  <c r="AS35" i="49"/>
  <c r="AR35" i="49"/>
  <c r="AQ35" i="49"/>
  <c r="AP35" i="49"/>
  <c r="AO35" i="49"/>
  <c r="AN35" i="49"/>
  <c r="AM35" i="49"/>
  <c r="AL35" i="49"/>
  <c r="AK35" i="49"/>
  <c r="AJ35" i="49"/>
  <c r="AI35" i="49"/>
  <c r="AH35" i="49"/>
  <c r="AG35" i="49"/>
  <c r="AF35" i="49"/>
  <c r="AE35" i="49"/>
  <c r="AD35" i="49"/>
  <c r="AC35" i="49"/>
  <c r="AB35" i="49"/>
  <c r="AA35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G35" i="49"/>
  <c r="F35" i="49"/>
  <c r="E35" i="49"/>
  <c r="D35" i="49"/>
  <c r="C35" i="49"/>
  <c r="AS33" i="77"/>
  <c r="AF33" i="77"/>
  <c r="BK32" i="77"/>
  <c r="BJ32" i="77"/>
  <c r="BG32" i="77"/>
  <c r="BF32" i="77"/>
  <c r="AS32" i="77"/>
  <c r="AF32" i="77"/>
  <c r="B32" i="77" s="1"/>
  <c r="K34" i="51" s="1"/>
  <c r="M32" i="77"/>
  <c r="E34" i="51" s="1"/>
  <c r="C32" i="77"/>
  <c r="L34" i="51" s="1"/>
  <c r="BS31" i="77"/>
  <c r="H34" i="50" s="1"/>
  <c r="BR31" i="77"/>
  <c r="G34" i="50" s="1"/>
  <c r="BQ31" i="77"/>
  <c r="F34" i="50" s="1"/>
  <c r="BP31" i="77"/>
  <c r="D34" i="50" s="1"/>
  <c r="BO31" i="77"/>
  <c r="C34" i="50" s="1"/>
  <c r="BN31" i="77"/>
  <c r="BK31" i="77"/>
  <c r="BJ31" i="77"/>
  <c r="BG31" i="77"/>
  <c r="BF31" i="77"/>
  <c r="M31" i="77"/>
  <c r="C34" i="51" s="1"/>
  <c r="AS33" i="76"/>
  <c r="AF33" i="76"/>
  <c r="C32" i="76" s="1"/>
  <c r="L33" i="51" s="1"/>
  <c r="BK32" i="76"/>
  <c r="BJ32" i="76"/>
  <c r="BG32" i="76"/>
  <c r="BF32" i="76"/>
  <c r="BH33" i="76" s="1"/>
  <c r="AS32" i="76"/>
  <c r="AF32" i="76"/>
  <c r="M32" i="76"/>
  <c r="B32" i="76"/>
  <c r="K33" i="51" s="1"/>
  <c r="BS31" i="76"/>
  <c r="H33" i="50" s="1"/>
  <c r="BR31" i="76"/>
  <c r="G33" i="50" s="1"/>
  <c r="BQ31" i="76"/>
  <c r="F33" i="50" s="1"/>
  <c r="A39" i="50" s="1"/>
  <c r="BP31" i="76"/>
  <c r="D33" i="50" s="1"/>
  <c r="BO31" i="76"/>
  <c r="C33" i="50" s="1"/>
  <c r="BN31" i="76"/>
  <c r="BK31" i="76"/>
  <c r="BJ31" i="76"/>
  <c r="BL32" i="76" s="1"/>
  <c r="BG31" i="76"/>
  <c r="BF31" i="76"/>
  <c r="M31" i="76"/>
  <c r="C33" i="51" s="1"/>
  <c r="AS33" i="75"/>
  <c r="AF33" i="75"/>
  <c r="BK32" i="75"/>
  <c r="BJ32" i="75"/>
  <c r="BL33" i="75" s="1"/>
  <c r="BG32" i="75"/>
  <c r="BF32" i="75"/>
  <c r="BH33" i="75" s="1"/>
  <c r="AS32" i="75"/>
  <c r="AF32" i="75"/>
  <c r="M32" i="75"/>
  <c r="C32" i="75"/>
  <c r="L32" i="51" s="1"/>
  <c r="BS31" i="75"/>
  <c r="H32" i="50" s="1"/>
  <c r="BR31" i="75"/>
  <c r="G32" i="50" s="1"/>
  <c r="BQ31" i="75"/>
  <c r="F32" i="50" s="1"/>
  <c r="BP31" i="75"/>
  <c r="D32" i="50" s="1"/>
  <c r="BO31" i="75"/>
  <c r="C32" i="50" s="1"/>
  <c r="BN31" i="75"/>
  <c r="BK31" i="75"/>
  <c r="BJ31" i="75"/>
  <c r="BG31" i="75"/>
  <c r="BF31" i="75"/>
  <c r="BH32" i="75" s="1"/>
  <c r="M31" i="75"/>
  <c r="C32" i="51" s="1"/>
  <c r="M32" i="8"/>
  <c r="M31" i="8"/>
  <c r="BH33" i="77" l="1"/>
  <c r="BH32" i="77"/>
  <c r="BL33" i="77"/>
  <c r="BH32" i="76"/>
  <c r="B33" i="51" s="1"/>
  <c r="G33" i="51" s="1"/>
  <c r="BL33" i="76"/>
  <c r="C33" i="76" s="1"/>
  <c r="N33" i="51" s="1"/>
  <c r="B32" i="75"/>
  <c r="K32" i="51" s="1"/>
  <c r="D32" i="51"/>
  <c r="E32" i="51"/>
  <c r="H32" i="51" s="1"/>
  <c r="BL32" i="75"/>
  <c r="BL32" i="77"/>
  <c r="C33" i="77"/>
  <c r="N34" i="51" s="1"/>
  <c r="B33" i="76"/>
  <c r="M33" i="51" s="1"/>
  <c r="C33" i="75"/>
  <c r="N32" i="51" s="1"/>
  <c r="AS33" i="58"/>
  <c r="X91" i="72"/>
  <c r="X90" i="72"/>
  <c r="X89" i="72"/>
  <c r="X88" i="72"/>
  <c r="X87" i="72"/>
  <c r="X86" i="72"/>
  <c r="X85" i="72"/>
  <c r="X84" i="72"/>
  <c r="X83" i="72"/>
  <c r="X82" i="72"/>
  <c r="X81" i="72"/>
  <c r="X80" i="72"/>
  <c r="X79" i="72"/>
  <c r="X78" i="72"/>
  <c r="X77" i="72"/>
  <c r="X76" i="72"/>
  <c r="X75" i="72"/>
  <c r="X74" i="72"/>
  <c r="X73" i="72"/>
  <c r="X72" i="72"/>
  <c r="X71" i="72"/>
  <c r="X70" i="72"/>
  <c r="X69" i="72"/>
  <c r="X68" i="72"/>
  <c r="X67" i="72"/>
  <c r="X66" i="72"/>
  <c r="X65" i="72"/>
  <c r="X64" i="72"/>
  <c r="X63" i="72"/>
  <c r="X62" i="72"/>
  <c r="X61" i="72"/>
  <c r="X60" i="72"/>
  <c r="X59" i="72"/>
  <c r="X58" i="72"/>
  <c r="X57" i="72"/>
  <c r="X56" i="72"/>
  <c r="X55" i="72"/>
  <c r="X54" i="72"/>
  <c r="X53" i="72"/>
  <c r="X52" i="72"/>
  <c r="X51" i="72"/>
  <c r="X50" i="72"/>
  <c r="X49" i="72"/>
  <c r="X48" i="72"/>
  <c r="X47" i="72"/>
  <c r="X46" i="72"/>
  <c r="X45" i="72"/>
  <c r="X44" i="72"/>
  <c r="X43" i="72"/>
  <c r="X42" i="72"/>
  <c r="X41" i="72"/>
  <c r="X40" i="72"/>
  <c r="X39" i="72"/>
  <c r="X38" i="72"/>
  <c r="X37" i="72"/>
  <c r="X36" i="72"/>
  <c r="X35" i="72"/>
  <c r="X34" i="72"/>
  <c r="X33" i="72"/>
  <c r="X32" i="72"/>
  <c r="X31" i="72"/>
  <c r="X30" i="72"/>
  <c r="X29" i="72"/>
  <c r="X28" i="72"/>
  <c r="X27" i="72"/>
  <c r="X26" i="72"/>
  <c r="X25" i="72"/>
  <c r="X24" i="72"/>
  <c r="X23" i="72"/>
  <c r="X22" i="72"/>
  <c r="X21" i="72"/>
  <c r="X20" i="72"/>
  <c r="X19" i="72"/>
  <c r="X18" i="72"/>
  <c r="X17" i="72"/>
  <c r="X16" i="72"/>
  <c r="X15" i="72"/>
  <c r="X14" i="72"/>
  <c r="X13" i="72"/>
  <c r="X12" i="72"/>
  <c r="X11" i="72"/>
  <c r="X10" i="72"/>
  <c r="X9" i="72"/>
  <c r="X8" i="72"/>
  <c r="X7" i="72"/>
  <c r="X6" i="72"/>
  <c r="X5" i="72"/>
  <c r="X4" i="72"/>
  <c r="V91" i="72"/>
  <c r="V90" i="72"/>
  <c r="V89" i="72"/>
  <c r="V88" i="72"/>
  <c r="V87" i="72"/>
  <c r="V86" i="72"/>
  <c r="V85" i="72"/>
  <c r="V84" i="72"/>
  <c r="V83" i="72"/>
  <c r="V82" i="72"/>
  <c r="V81" i="72"/>
  <c r="V80" i="72"/>
  <c r="V79" i="72"/>
  <c r="V78" i="72"/>
  <c r="V77" i="72"/>
  <c r="V76" i="72"/>
  <c r="V75" i="72"/>
  <c r="V74" i="72"/>
  <c r="V73" i="72"/>
  <c r="V72" i="72"/>
  <c r="V71" i="72"/>
  <c r="V70" i="72"/>
  <c r="V69" i="72"/>
  <c r="V68" i="72"/>
  <c r="V67" i="72"/>
  <c r="V66" i="72"/>
  <c r="V65" i="72"/>
  <c r="V64" i="72"/>
  <c r="V63" i="72"/>
  <c r="V62" i="72"/>
  <c r="V61" i="72"/>
  <c r="V60" i="72"/>
  <c r="V59" i="72"/>
  <c r="V58" i="72"/>
  <c r="V57" i="72"/>
  <c r="V56" i="72"/>
  <c r="V55" i="72"/>
  <c r="V54" i="72"/>
  <c r="V53" i="72"/>
  <c r="V52" i="72"/>
  <c r="V51" i="72"/>
  <c r="V50" i="72"/>
  <c r="V49" i="72"/>
  <c r="V48" i="72"/>
  <c r="V47" i="72"/>
  <c r="V46" i="72"/>
  <c r="V45" i="72"/>
  <c r="V44" i="72"/>
  <c r="V43" i="72"/>
  <c r="V42" i="72"/>
  <c r="V41" i="72"/>
  <c r="V40" i="72"/>
  <c r="V39" i="72"/>
  <c r="V38" i="72"/>
  <c r="V37" i="72"/>
  <c r="V36" i="72"/>
  <c r="V35" i="72"/>
  <c r="V34" i="72"/>
  <c r="V33" i="72"/>
  <c r="V32" i="72"/>
  <c r="V31" i="72"/>
  <c r="V30" i="72"/>
  <c r="V29" i="72"/>
  <c r="V28" i="72"/>
  <c r="V27" i="72"/>
  <c r="V26" i="72"/>
  <c r="V25" i="72"/>
  <c r="V24" i="72"/>
  <c r="V23" i="72"/>
  <c r="V22" i="72"/>
  <c r="V21" i="72"/>
  <c r="V20" i="72"/>
  <c r="V19" i="72"/>
  <c r="V18" i="72"/>
  <c r="V17" i="72"/>
  <c r="V16" i="72"/>
  <c r="V15" i="72"/>
  <c r="V14" i="72"/>
  <c r="V13" i="72"/>
  <c r="V12" i="72"/>
  <c r="V11" i="72"/>
  <c r="V10" i="72"/>
  <c r="V9" i="72"/>
  <c r="V8" i="72"/>
  <c r="V7" i="72"/>
  <c r="V6" i="72"/>
  <c r="V5" i="72"/>
  <c r="V4" i="72"/>
  <c r="U91" i="72"/>
  <c r="U90" i="72"/>
  <c r="U89" i="72"/>
  <c r="U88" i="72"/>
  <c r="U87" i="72"/>
  <c r="U86" i="72"/>
  <c r="U85" i="72"/>
  <c r="U84" i="72"/>
  <c r="U83" i="72"/>
  <c r="U82" i="72"/>
  <c r="U81" i="72"/>
  <c r="U80" i="72"/>
  <c r="U79" i="72"/>
  <c r="U78" i="72"/>
  <c r="U77" i="72"/>
  <c r="U76" i="72"/>
  <c r="U75" i="72"/>
  <c r="U74" i="72"/>
  <c r="U73" i="72"/>
  <c r="U72" i="72"/>
  <c r="U71" i="72"/>
  <c r="U70" i="72"/>
  <c r="U69" i="72"/>
  <c r="U68" i="72"/>
  <c r="U67" i="72"/>
  <c r="U66" i="72"/>
  <c r="U65" i="72"/>
  <c r="U64" i="72"/>
  <c r="U63" i="72"/>
  <c r="U62" i="72"/>
  <c r="U61" i="72"/>
  <c r="U60" i="72"/>
  <c r="U59" i="72"/>
  <c r="U58" i="72"/>
  <c r="U57" i="72"/>
  <c r="U56" i="72"/>
  <c r="U55" i="72"/>
  <c r="U54" i="72"/>
  <c r="U53" i="72"/>
  <c r="U52" i="72"/>
  <c r="U51" i="72"/>
  <c r="U50" i="72"/>
  <c r="U49" i="72"/>
  <c r="U48" i="72"/>
  <c r="U47" i="72"/>
  <c r="U46" i="72"/>
  <c r="U45" i="72"/>
  <c r="U44" i="72"/>
  <c r="U43" i="72"/>
  <c r="U42" i="72"/>
  <c r="U41" i="72"/>
  <c r="U40" i="72"/>
  <c r="U39" i="72"/>
  <c r="U38" i="72"/>
  <c r="U37" i="72"/>
  <c r="U36" i="72"/>
  <c r="U35" i="72"/>
  <c r="U34" i="72"/>
  <c r="U33" i="72"/>
  <c r="U32" i="72"/>
  <c r="U31" i="72"/>
  <c r="U30" i="72"/>
  <c r="U29" i="72"/>
  <c r="U28" i="72"/>
  <c r="U27" i="72"/>
  <c r="U26" i="72"/>
  <c r="U25" i="72"/>
  <c r="U24" i="72"/>
  <c r="U23" i="72"/>
  <c r="U22" i="72"/>
  <c r="U21" i="72"/>
  <c r="U20" i="72"/>
  <c r="U19" i="72"/>
  <c r="U18" i="72"/>
  <c r="U17" i="72"/>
  <c r="U16" i="72"/>
  <c r="U15" i="72"/>
  <c r="U14" i="72"/>
  <c r="U13" i="72"/>
  <c r="U12" i="72"/>
  <c r="U11" i="72"/>
  <c r="U10" i="72"/>
  <c r="U9" i="72"/>
  <c r="U8" i="72"/>
  <c r="U7" i="72"/>
  <c r="U6" i="72"/>
  <c r="U5" i="72"/>
  <c r="U4" i="72"/>
  <c r="T91" i="72"/>
  <c r="T90" i="72"/>
  <c r="T89" i="72"/>
  <c r="T88" i="72"/>
  <c r="T87" i="72"/>
  <c r="T86" i="72"/>
  <c r="T85" i="72"/>
  <c r="T84" i="72"/>
  <c r="T83" i="72"/>
  <c r="T82" i="72"/>
  <c r="T81" i="72"/>
  <c r="T80" i="72"/>
  <c r="T79" i="72"/>
  <c r="T78" i="72"/>
  <c r="T77" i="72"/>
  <c r="T76" i="72"/>
  <c r="T75" i="72"/>
  <c r="T74" i="72"/>
  <c r="T73" i="72"/>
  <c r="T72" i="72"/>
  <c r="T71" i="72"/>
  <c r="T70" i="72"/>
  <c r="T69" i="72"/>
  <c r="T68" i="72"/>
  <c r="T67" i="72"/>
  <c r="T66" i="72"/>
  <c r="T65" i="72"/>
  <c r="T64" i="72"/>
  <c r="T63" i="72"/>
  <c r="T62" i="72"/>
  <c r="T61" i="72"/>
  <c r="T60" i="72"/>
  <c r="T59" i="72"/>
  <c r="T58" i="72"/>
  <c r="T57" i="72"/>
  <c r="T56" i="72"/>
  <c r="T55" i="72"/>
  <c r="T54" i="72"/>
  <c r="T53" i="72"/>
  <c r="T52" i="72"/>
  <c r="T51" i="72"/>
  <c r="T50" i="72"/>
  <c r="T49" i="72"/>
  <c r="T48" i="72"/>
  <c r="T47" i="72"/>
  <c r="T46" i="72"/>
  <c r="T45" i="72"/>
  <c r="T44" i="72"/>
  <c r="T43" i="72"/>
  <c r="T42" i="72"/>
  <c r="T41" i="72"/>
  <c r="T40" i="72"/>
  <c r="T39" i="72"/>
  <c r="T38" i="72"/>
  <c r="T37" i="72"/>
  <c r="T36" i="72"/>
  <c r="T35" i="72"/>
  <c r="T34" i="72"/>
  <c r="T33" i="72"/>
  <c r="T32" i="72"/>
  <c r="T31" i="72"/>
  <c r="T30" i="72"/>
  <c r="T29" i="72"/>
  <c r="T28" i="72"/>
  <c r="T27" i="72"/>
  <c r="T26" i="72"/>
  <c r="T25" i="72"/>
  <c r="T24" i="72"/>
  <c r="T23" i="72"/>
  <c r="T22" i="72"/>
  <c r="T21" i="72"/>
  <c r="T20" i="72"/>
  <c r="T19" i="72"/>
  <c r="T18" i="72"/>
  <c r="T17" i="72"/>
  <c r="T16" i="72"/>
  <c r="T15" i="72"/>
  <c r="T14" i="72"/>
  <c r="T13" i="72"/>
  <c r="T12" i="72"/>
  <c r="T11" i="72"/>
  <c r="T10" i="72"/>
  <c r="T9" i="72"/>
  <c r="T8" i="72"/>
  <c r="T7" i="72"/>
  <c r="T6" i="72"/>
  <c r="T5" i="72"/>
  <c r="T4" i="72"/>
  <c r="S91" i="72"/>
  <c r="S90" i="72"/>
  <c r="S89" i="72"/>
  <c r="S88" i="72"/>
  <c r="S87" i="72"/>
  <c r="S86" i="72"/>
  <c r="S85" i="72"/>
  <c r="S84" i="72"/>
  <c r="S83" i="72"/>
  <c r="S82" i="72"/>
  <c r="S81" i="72"/>
  <c r="S80" i="72"/>
  <c r="S79" i="72"/>
  <c r="S78" i="72"/>
  <c r="S77" i="72"/>
  <c r="S76" i="72"/>
  <c r="S75" i="72"/>
  <c r="S74" i="72"/>
  <c r="S73" i="72"/>
  <c r="S72" i="72"/>
  <c r="S71" i="72"/>
  <c r="S70" i="72"/>
  <c r="S69" i="72"/>
  <c r="S68" i="72"/>
  <c r="S67" i="72"/>
  <c r="S66" i="72"/>
  <c r="S65" i="72"/>
  <c r="S64" i="72"/>
  <c r="S63" i="72"/>
  <c r="S62" i="72"/>
  <c r="S61" i="72"/>
  <c r="S60" i="72"/>
  <c r="S59" i="72"/>
  <c r="S58" i="72"/>
  <c r="S57" i="72"/>
  <c r="S56" i="72"/>
  <c r="S55" i="72"/>
  <c r="S54" i="72"/>
  <c r="S53" i="72"/>
  <c r="S52" i="72"/>
  <c r="S51" i="72"/>
  <c r="S50" i="72"/>
  <c r="S49" i="72"/>
  <c r="S48" i="72"/>
  <c r="S47" i="72"/>
  <c r="S46" i="72"/>
  <c r="S45" i="72"/>
  <c r="S44" i="72"/>
  <c r="S43" i="72"/>
  <c r="S42" i="72"/>
  <c r="S41" i="72"/>
  <c r="S40" i="72"/>
  <c r="S39" i="72"/>
  <c r="S38" i="72"/>
  <c r="S37" i="72"/>
  <c r="S36" i="72"/>
  <c r="S35" i="72"/>
  <c r="S34" i="72"/>
  <c r="S33" i="72"/>
  <c r="S32" i="72"/>
  <c r="S31" i="72"/>
  <c r="S30" i="72"/>
  <c r="S29" i="72"/>
  <c r="S28" i="72"/>
  <c r="S27" i="72"/>
  <c r="S26" i="72"/>
  <c r="S25" i="72"/>
  <c r="S24" i="72"/>
  <c r="S23" i="72"/>
  <c r="S22" i="72"/>
  <c r="S21" i="72"/>
  <c r="S20" i="72"/>
  <c r="S19" i="72"/>
  <c r="S18" i="72"/>
  <c r="S17" i="72"/>
  <c r="S16" i="72"/>
  <c r="S15" i="72"/>
  <c r="S14" i="72"/>
  <c r="S13" i="72"/>
  <c r="S12" i="72"/>
  <c r="S11" i="72"/>
  <c r="S10" i="72"/>
  <c r="S9" i="72"/>
  <c r="S8" i="72"/>
  <c r="S7" i="72"/>
  <c r="S6" i="72"/>
  <c r="S5" i="72"/>
  <c r="S4" i="72"/>
  <c r="R91" i="72"/>
  <c r="R90" i="72"/>
  <c r="R89" i="72"/>
  <c r="R88" i="72"/>
  <c r="R87" i="72"/>
  <c r="R86" i="72"/>
  <c r="R85" i="72"/>
  <c r="R84" i="72"/>
  <c r="R83" i="72"/>
  <c r="R82" i="72"/>
  <c r="R81" i="72"/>
  <c r="R80" i="72"/>
  <c r="R79" i="72"/>
  <c r="R78" i="72"/>
  <c r="R77" i="72"/>
  <c r="R76" i="72"/>
  <c r="R75" i="72"/>
  <c r="R74" i="72"/>
  <c r="R73" i="72"/>
  <c r="R72" i="72"/>
  <c r="R71" i="72"/>
  <c r="R70" i="72"/>
  <c r="R69" i="72"/>
  <c r="R68" i="72"/>
  <c r="R67" i="72"/>
  <c r="R66" i="72"/>
  <c r="R65" i="72"/>
  <c r="R64" i="72"/>
  <c r="R63" i="72"/>
  <c r="R62" i="72"/>
  <c r="R61" i="72"/>
  <c r="R60" i="72"/>
  <c r="R59" i="72"/>
  <c r="R58" i="72"/>
  <c r="R57" i="72"/>
  <c r="R56" i="72"/>
  <c r="R55" i="72"/>
  <c r="R54" i="72"/>
  <c r="R53" i="72"/>
  <c r="R52" i="72"/>
  <c r="R51" i="72"/>
  <c r="R50" i="72"/>
  <c r="R49" i="72"/>
  <c r="R48" i="72"/>
  <c r="R47" i="72"/>
  <c r="R46" i="72"/>
  <c r="R45" i="72"/>
  <c r="R44" i="72"/>
  <c r="R43" i="72"/>
  <c r="R42" i="72"/>
  <c r="R41" i="72"/>
  <c r="R40" i="72"/>
  <c r="R39" i="72"/>
  <c r="R38" i="72"/>
  <c r="R37" i="72"/>
  <c r="R36" i="72"/>
  <c r="R35" i="72"/>
  <c r="R34" i="72"/>
  <c r="R33" i="72"/>
  <c r="R32" i="72"/>
  <c r="R31" i="72"/>
  <c r="R30" i="72"/>
  <c r="R29" i="72"/>
  <c r="R28" i="72"/>
  <c r="R27" i="72"/>
  <c r="R26" i="72"/>
  <c r="R25" i="72"/>
  <c r="R24" i="72"/>
  <c r="R23" i="72"/>
  <c r="R22" i="72"/>
  <c r="R21" i="72"/>
  <c r="R20" i="72"/>
  <c r="R19" i="72"/>
  <c r="R18" i="72"/>
  <c r="R17" i="72"/>
  <c r="R16" i="72"/>
  <c r="R15" i="72"/>
  <c r="R14" i="72"/>
  <c r="R13" i="72"/>
  <c r="R12" i="72"/>
  <c r="R11" i="72"/>
  <c r="R10" i="72"/>
  <c r="R9" i="72"/>
  <c r="R8" i="72"/>
  <c r="R7" i="72"/>
  <c r="R6" i="72"/>
  <c r="R5" i="72"/>
  <c r="R4" i="72"/>
  <c r="Q91" i="72"/>
  <c r="Q90" i="72"/>
  <c r="Q89" i="72"/>
  <c r="Q88" i="72"/>
  <c r="Q87" i="72"/>
  <c r="Q86" i="72"/>
  <c r="Q85" i="72"/>
  <c r="Q84" i="72"/>
  <c r="Q83" i="72"/>
  <c r="Q82" i="72"/>
  <c r="Q81" i="72"/>
  <c r="Q80" i="72"/>
  <c r="Q79" i="72"/>
  <c r="Q78" i="72"/>
  <c r="Q77" i="72"/>
  <c r="Q76" i="72"/>
  <c r="Q75" i="72"/>
  <c r="Q74" i="72"/>
  <c r="Q73" i="72"/>
  <c r="Q72" i="72"/>
  <c r="Q71" i="72"/>
  <c r="Q70" i="72"/>
  <c r="Q69" i="72"/>
  <c r="Q68" i="72"/>
  <c r="Q67" i="72"/>
  <c r="Q66" i="72"/>
  <c r="Q65" i="72"/>
  <c r="Q64" i="72"/>
  <c r="Q63" i="72"/>
  <c r="Q62" i="72"/>
  <c r="Q61" i="72"/>
  <c r="Q60" i="72"/>
  <c r="Q59" i="72"/>
  <c r="Q58" i="72"/>
  <c r="Q57" i="72"/>
  <c r="Q56" i="72"/>
  <c r="Q55" i="72"/>
  <c r="Q54" i="72"/>
  <c r="Q53" i="72"/>
  <c r="Q52" i="72"/>
  <c r="Q51" i="72"/>
  <c r="Q50" i="72"/>
  <c r="Q49" i="72"/>
  <c r="Q48" i="72"/>
  <c r="Q47" i="72"/>
  <c r="Q46" i="72"/>
  <c r="Q45" i="72"/>
  <c r="Q44" i="72"/>
  <c r="Q43" i="72"/>
  <c r="Q42" i="72"/>
  <c r="Q41" i="72"/>
  <c r="Q40" i="72"/>
  <c r="Q39" i="72"/>
  <c r="Q38" i="72"/>
  <c r="Q37" i="72"/>
  <c r="Q36" i="72"/>
  <c r="Q35" i="72"/>
  <c r="Q34" i="72"/>
  <c r="Q33" i="72"/>
  <c r="Q32" i="72"/>
  <c r="Q31" i="72"/>
  <c r="Q30" i="72"/>
  <c r="Q29" i="72"/>
  <c r="Q28" i="72"/>
  <c r="Q27" i="72"/>
  <c r="Q26" i="72"/>
  <c r="Q25" i="72"/>
  <c r="Q24" i="72"/>
  <c r="Q23" i="72"/>
  <c r="Q22" i="72"/>
  <c r="Q21" i="72"/>
  <c r="Q20" i="72"/>
  <c r="Q19" i="72"/>
  <c r="Q18" i="72"/>
  <c r="Q17" i="72"/>
  <c r="Q16" i="72"/>
  <c r="Q15" i="72"/>
  <c r="Q14" i="72"/>
  <c r="Q13" i="72"/>
  <c r="Q12" i="72"/>
  <c r="Q11" i="72"/>
  <c r="Q10" i="72"/>
  <c r="Q9" i="72"/>
  <c r="Q8" i="72"/>
  <c r="Q7" i="72"/>
  <c r="Q6" i="72"/>
  <c r="Q5" i="72"/>
  <c r="Q4" i="72"/>
  <c r="P91" i="72"/>
  <c r="P90" i="72"/>
  <c r="P89" i="72"/>
  <c r="P88" i="72"/>
  <c r="P87" i="72"/>
  <c r="P86" i="72"/>
  <c r="P85" i="72"/>
  <c r="P84" i="72"/>
  <c r="P83" i="72"/>
  <c r="P82" i="72"/>
  <c r="P81" i="72"/>
  <c r="P80" i="72"/>
  <c r="P79" i="72"/>
  <c r="P78" i="72"/>
  <c r="P77" i="72"/>
  <c r="P76" i="72"/>
  <c r="P75" i="72"/>
  <c r="P74" i="72"/>
  <c r="P73" i="72"/>
  <c r="P72" i="72"/>
  <c r="P71" i="72"/>
  <c r="P70" i="72"/>
  <c r="P69" i="72"/>
  <c r="P68" i="72"/>
  <c r="P67" i="72"/>
  <c r="P66" i="72"/>
  <c r="P65" i="72"/>
  <c r="P64" i="72"/>
  <c r="P63" i="72"/>
  <c r="P62" i="72"/>
  <c r="P61" i="72"/>
  <c r="P60" i="72"/>
  <c r="P59" i="72"/>
  <c r="P58" i="72"/>
  <c r="P57" i="72"/>
  <c r="P56" i="72"/>
  <c r="P55" i="72"/>
  <c r="P54" i="72"/>
  <c r="P53" i="72"/>
  <c r="P52" i="72"/>
  <c r="P51" i="72"/>
  <c r="P50" i="72"/>
  <c r="P49" i="72"/>
  <c r="P48" i="72"/>
  <c r="P47" i="72"/>
  <c r="P46" i="72"/>
  <c r="P45" i="72"/>
  <c r="P44" i="72"/>
  <c r="P43" i="72"/>
  <c r="P42" i="72"/>
  <c r="P41" i="72"/>
  <c r="P40" i="72"/>
  <c r="P39" i="72"/>
  <c r="P38" i="72"/>
  <c r="P37" i="72"/>
  <c r="P36" i="72"/>
  <c r="P35" i="72"/>
  <c r="P34" i="72"/>
  <c r="P33" i="72"/>
  <c r="P32" i="72"/>
  <c r="P31" i="72"/>
  <c r="P30" i="72"/>
  <c r="P29" i="72"/>
  <c r="P28" i="72"/>
  <c r="P27" i="72"/>
  <c r="P26" i="72"/>
  <c r="P25" i="72"/>
  <c r="P24" i="72"/>
  <c r="P23" i="72"/>
  <c r="P22" i="72"/>
  <c r="P21" i="72"/>
  <c r="P20" i="72"/>
  <c r="P19" i="72"/>
  <c r="P18" i="72"/>
  <c r="P17" i="72"/>
  <c r="P16" i="72"/>
  <c r="P15" i="72"/>
  <c r="P14" i="72"/>
  <c r="P13" i="72"/>
  <c r="P12" i="72"/>
  <c r="P11" i="72"/>
  <c r="P10" i="72"/>
  <c r="P9" i="72"/>
  <c r="P8" i="72"/>
  <c r="P7" i="72"/>
  <c r="P6" i="72"/>
  <c r="P5" i="72"/>
  <c r="P4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N7" i="72"/>
  <c r="N6" i="72"/>
  <c r="N91" i="72"/>
  <c r="N90" i="72"/>
  <c r="N89" i="72"/>
  <c r="N88" i="72"/>
  <c r="N87" i="72"/>
  <c r="N86" i="72"/>
  <c r="N85" i="72"/>
  <c r="N84" i="72"/>
  <c r="N83" i="72"/>
  <c r="N82" i="72"/>
  <c r="N81" i="72"/>
  <c r="N80" i="72"/>
  <c r="N79" i="72"/>
  <c r="N78" i="72"/>
  <c r="N77" i="72"/>
  <c r="N76" i="72"/>
  <c r="N75" i="72"/>
  <c r="N74" i="72"/>
  <c r="N73" i="72"/>
  <c r="N72" i="72"/>
  <c r="N71" i="72"/>
  <c r="N70" i="72"/>
  <c r="N69" i="72"/>
  <c r="N68" i="72"/>
  <c r="N67" i="72"/>
  <c r="N66" i="72"/>
  <c r="N65" i="72"/>
  <c r="N64" i="72"/>
  <c r="N63" i="72"/>
  <c r="N62" i="72"/>
  <c r="N61" i="72"/>
  <c r="N60" i="72"/>
  <c r="N59" i="72"/>
  <c r="N58" i="72"/>
  <c r="N57" i="72"/>
  <c r="N56" i="72"/>
  <c r="N55" i="72"/>
  <c r="N54" i="72"/>
  <c r="N53" i="72"/>
  <c r="N52" i="72"/>
  <c r="N51" i="72"/>
  <c r="N50" i="72"/>
  <c r="N49" i="72"/>
  <c r="N48" i="72"/>
  <c r="N47" i="72"/>
  <c r="N46" i="72"/>
  <c r="N45" i="72"/>
  <c r="N44" i="72"/>
  <c r="N43" i="72"/>
  <c r="N42" i="72"/>
  <c r="N41" i="72"/>
  <c r="N40" i="72"/>
  <c r="N39" i="72"/>
  <c r="N38" i="72"/>
  <c r="N37" i="72"/>
  <c r="N36" i="72"/>
  <c r="N35" i="72"/>
  <c r="N34" i="72"/>
  <c r="N33" i="72"/>
  <c r="N32" i="72"/>
  <c r="N31" i="72"/>
  <c r="N30" i="72"/>
  <c r="N29" i="72"/>
  <c r="N28" i="72"/>
  <c r="N27" i="72"/>
  <c r="N26" i="72"/>
  <c r="N25" i="72"/>
  <c r="N24" i="72"/>
  <c r="N23" i="72"/>
  <c r="N22" i="72"/>
  <c r="N21" i="72"/>
  <c r="N20" i="72"/>
  <c r="N19" i="72"/>
  <c r="N18" i="72"/>
  <c r="N17" i="72"/>
  <c r="N16" i="72"/>
  <c r="N15" i="72"/>
  <c r="N14" i="72"/>
  <c r="N13" i="72"/>
  <c r="N12" i="72"/>
  <c r="N11" i="72"/>
  <c r="N10" i="72"/>
  <c r="N9" i="72"/>
  <c r="N8" i="72"/>
  <c r="N5" i="72"/>
  <c r="N4" i="72"/>
  <c r="M91" i="72"/>
  <c r="M90" i="72"/>
  <c r="M89" i="72"/>
  <c r="M88" i="72"/>
  <c r="M87" i="72"/>
  <c r="M86" i="72"/>
  <c r="M85" i="72"/>
  <c r="M84" i="72"/>
  <c r="M83" i="72"/>
  <c r="M82" i="72"/>
  <c r="M81" i="72"/>
  <c r="M80" i="72"/>
  <c r="M79" i="72"/>
  <c r="M78" i="72"/>
  <c r="M77" i="72"/>
  <c r="M76" i="72"/>
  <c r="M75" i="72"/>
  <c r="M74" i="72"/>
  <c r="M73" i="72"/>
  <c r="M72" i="72"/>
  <c r="M71" i="72"/>
  <c r="M70" i="72"/>
  <c r="M69" i="72"/>
  <c r="M68" i="72"/>
  <c r="M67" i="72"/>
  <c r="M66" i="72"/>
  <c r="M65" i="72"/>
  <c r="M64" i="72"/>
  <c r="M63" i="72"/>
  <c r="M62" i="72"/>
  <c r="M61" i="72"/>
  <c r="M60" i="72"/>
  <c r="M59" i="72"/>
  <c r="M58" i="72"/>
  <c r="M57" i="72"/>
  <c r="M56" i="72"/>
  <c r="M55" i="72"/>
  <c r="M54" i="72"/>
  <c r="M53" i="72"/>
  <c r="M52" i="72"/>
  <c r="M51" i="72"/>
  <c r="M50" i="72"/>
  <c r="M49" i="72"/>
  <c r="M48" i="72"/>
  <c r="M47" i="72"/>
  <c r="M46" i="72"/>
  <c r="M45" i="72"/>
  <c r="M44" i="72"/>
  <c r="M43" i="72"/>
  <c r="M42" i="72"/>
  <c r="M41" i="72"/>
  <c r="M40" i="72"/>
  <c r="M39" i="72"/>
  <c r="M38" i="72"/>
  <c r="M37" i="72"/>
  <c r="M36" i="72"/>
  <c r="M35" i="72"/>
  <c r="M34" i="72"/>
  <c r="M33" i="72"/>
  <c r="M32" i="72"/>
  <c r="M31" i="72"/>
  <c r="M30" i="72"/>
  <c r="M29" i="72"/>
  <c r="M28" i="72"/>
  <c r="M27" i="72"/>
  <c r="M26" i="72"/>
  <c r="M25" i="72"/>
  <c r="M24" i="72"/>
  <c r="M23" i="72"/>
  <c r="M22" i="72"/>
  <c r="M21" i="72"/>
  <c r="M20" i="72"/>
  <c r="M19" i="72"/>
  <c r="M18" i="72"/>
  <c r="M17" i="72"/>
  <c r="M16" i="72"/>
  <c r="M15" i="72"/>
  <c r="M14" i="72"/>
  <c r="M13" i="72"/>
  <c r="M12" i="72"/>
  <c r="M11" i="72"/>
  <c r="M10" i="72"/>
  <c r="M9" i="72"/>
  <c r="M8" i="72"/>
  <c r="M7" i="72"/>
  <c r="M6" i="72"/>
  <c r="M5" i="72"/>
  <c r="M4" i="72"/>
  <c r="L91" i="72"/>
  <c r="L90" i="72"/>
  <c r="L89" i="72"/>
  <c r="L88" i="72"/>
  <c r="L87" i="72"/>
  <c r="L86" i="72"/>
  <c r="L85" i="72"/>
  <c r="L84" i="72"/>
  <c r="L83" i="72"/>
  <c r="L82" i="72"/>
  <c r="L81" i="72"/>
  <c r="L80" i="72"/>
  <c r="L79" i="72"/>
  <c r="L78" i="72"/>
  <c r="L77" i="72"/>
  <c r="L76" i="72"/>
  <c r="L75" i="72"/>
  <c r="L74" i="72"/>
  <c r="L73" i="72"/>
  <c r="L72" i="72"/>
  <c r="L71" i="72"/>
  <c r="L70" i="72"/>
  <c r="L69" i="72"/>
  <c r="L68" i="72"/>
  <c r="L67" i="72"/>
  <c r="L66" i="72"/>
  <c r="L65" i="72"/>
  <c r="L64" i="72"/>
  <c r="L63" i="72"/>
  <c r="L62" i="72"/>
  <c r="L61" i="72"/>
  <c r="L60" i="72"/>
  <c r="L59" i="72"/>
  <c r="L58" i="72"/>
  <c r="L57" i="72"/>
  <c r="L56" i="72"/>
  <c r="L55" i="72"/>
  <c r="L54" i="72"/>
  <c r="L53" i="72"/>
  <c r="L52" i="72"/>
  <c r="L51" i="72"/>
  <c r="L50" i="72"/>
  <c r="L49" i="72"/>
  <c r="L48" i="72"/>
  <c r="L47" i="72"/>
  <c r="L46" i="72"/>
  <c r="L45" i="72"/>
  <c r="L44" i="72"/>
  <c r="L43" i="72"/>
  <c r="L42" i="72"/>
  <c r="L41" i="72"/>
  <c r="L40" i="72"/>
  <c r="L39" i="72"/>
  <c r="L38" i="72"/>
  <c r="L37" i="72"/>
  <c r="L36" i="72"/>
  <c r="L35" i="72"/>
  <c r="L34" i="72"/>
  <c r="L33" i="72"/>
  <c r="L32" i="72"/>
  <c r="L31" i="72"/>
  <c r="L30" i="72"/>
  <c r="L29" i="72"/>
  <c r="L28" i="72"/>
  <c r="L27" i="72"/>
  <c r="L26" i="72"/>
  <c r="L25" i="72"/>
  <c r="L24" i="72"/>
  <c r="L23" i="72"/>
  <c r="L22" i="72"/>
  <c r="L21" i="72"/>
  <c r="L20" i="72"/>
  <c r="L19" i="72"/>
  <c r="L18" i="72"/>
  <c r="L17" i="72"/>
  <c r="L16" i="72"/>
  <c r="L15" i="72"/>
  <c r="L14" i="72"/>
  <c r="L13" i="72"/>
  <c r="L12" i="72"/>
  <c r="L11" i="72"/>
  <c r="L10" i="72"/>
  <c r="L9" i="72"/>
  <c r="L8" i="72"/>
  <c r="L7" i="72"/>
  <c r="L6" i="72"/>
  <c r="L5" i="72"/>
  <c r="L4" i="72"/>
  <c r="X91" i="73"/>
  <c r="X90" i="73"/>
  <c r="X89" i="73"/>
  <c r="X88" i="73"/>
  <c r="X87" i="73"/>
  <c r="X86" i="73"/>
  <c r="X85" i="73"/>
  <c r="X84" i="73"/>
  <c r="X83" i="73"/>
  <c r="X82" i="73"/>
  <c r="X81" i="73"/>
  <c r="X80" i="73"/>
  <c r="X79" i="73"/>
  <c r="X78" i="73"/>
  <c r="X77" i="73"/>
  <c r="X76" i="73"/>
  <c r="X75" i="73"/>
  <c r="X74" i="73"/>
  <c r="X73" i="73"/>
  <c r="X72" i="73"/>
  <c r="X71" i="73"/>
  <c r="X70" i="73"/>
  <c r="X69" i="73"/>
  <c r="X68" i="73"/>
  <c r="X67" i="73"/>
  <c r="X66" i="73"/>
  <c r="X65" i="73"/>
  <c r="X64" i="73"/>
  <c r="X63" i="73"/>
  <c r="X62" i="73"/>
  <c r="X61" i="73"/>
  <c r="X60" i="73"/>
  <c r="X59" i="73"/>
  <c r="X58" i="73"/>
  <c r="X57" i="73"/>
  <c r="X56" i="73"/>
  <c r="X55" i="73"/>
  <c r="X54" i="73"/>
  <c r="X53" i="73"/>
  <c r="X52" i="73"/>
  <c r="X51" i="73"/>
  <c r="X50" i="73"/>
  <c r="X49" i="73"/>
  <c r="X48" i="73"/>
  <c r="X47" i="73"/>
  <c r="X46" i="73"/>
  <c r="X45" i="73"/>
  <c r="X44" i="73"/>
  <c r="X43" i="73"/>
  <c r="X42" i="73"/>
  <c r="X41" i="73"/>
  <c r="X40" i="73"/>
  <c r="X39" i="73"/>
  <c r="X38" i="73"/>
  <c r="X37" i="73"/>
  <c r="X36" i="73"/>
  <c r="X35" i="73"/>
  <c r="X34" i="73"/>
  <c r="X33" i="73"/>
  <c r="X32" i="73"/>
  <c r="X31" i="73"/>
  <c r="X30" i="73"/>
  <c r="X29" i="73"/>
  <c r="X28" i="73"/>
  <c r="X27" i="73"/>
  <c r="X26" i="73"/>
  <c r="X25" i="73"/>
  <c r="X24" i="73"/>
  <c r="X23" i="73"/>
  <c r="X22" i="73"/>
  <c r="X21" i="73"/>
  <c r="X20" i="73"/>
  <c r="X19" i="73"/>
  <c r="X18" i="73"/>
  <c r="X17" i="73"/>
  <c r="X16" i="73"/>
  <c r="X15" i="73"/>
  <c r="X14" i="73"/>
  <c r="X13" i="73"/>
  <c r="X12" i="73"/>
  <c r="X11" i="73"/>
  <c r="X10" i="73"/>
  <c r="X9" i="73"/>
  <c r="X8" i="73"/>
  <c r="X7" i="73"/>
  <c r="X6" i="73"/>
  <c r="X5" i="73"/>
  <c r="X4" i="73"/>
  <c r="V91" i="73"/>
  <c r="V90" i="73"/>
  <c r="V89" i="73"/>
  <c r="V88" i="73"/>
  <c r="V87" i="73"/>
  <c r="V86" i="73"/>
  <c r="V85" i="73"/>
  <c r="V84" i="73"/>
  <c r="V83" i="73"/>
  <c r="V82" i="73"/>
  <c r="V81" i="73"/>
  <c r="V80" i="73"/>
  <c r="V79" i="73"/>
  <c r="V78" i="73"/>
  <c r="V77" i="73"/>
  <c r="V76" i="73"/>
  <c r="V75" i="73"/>
  <c r="V74" i="73"/>
  <c r="V73" i="73"/>
  <c r="V72" i="73"/>
  <c r="V71" i="73"/>
  <c r="V70" i="73"/>
  <c r="V69" i="73"/>
  <c r="V68" i="73"/>
  <c r="V67" i="73"/>
  <c r="V66" i="73"/>
  <c r="V65" i="73"/>
  <c r="V64" i="73"/>
  <c r="V63" i="73"/>
  <c r="V62" i="73"/>
  <c r="V61" i="73"/>
  <c r="V60" i="73"/>
  <c r="V59" i="73"/>
  <c r="V58" i="73"/>
  <c r="V57" i="73"/>
  <c r="V56" i="73"/>
  <c r="V55" i="73"/>
  <c r="V54" i="73"/>
  <c r="V53" i="73"/>
  <c r="V52" i="73"/>
  <c r="V51" i="73"/>
  <c r="V50" i="73"/>
  <c r="V49" i="73"/>
  <c r="V48" i="73"/>
  <c r="V47" i="73"/>
  <c r="V46" i="73"/>
  <c r="V45" i="73"/>
  <c r="V44" i="73"/>
  <c r="V43" i="73"/>
  <c r="V42" i="73"/>
  <c r="V41" i="73"/>
  <c r="V40" i="73"/>
  <c r="V39" i="73"/>
  <c r="V38" i="73"/>
  <c r="V37" i="73"/>
  <c r="V36" i="73"/>
  <c r="V35" i="73"/>
  <c r="V34" i="73"/>
  <c r="V33" i="73"/>
  <c r="V32" i="73"/>
  <c r="V31" i="73"/>
  <c r="V30" i="73"/>
  <c r="V29" i="73"/>
  <c r="V28" i="73"/>
  <c r="V27" i="73"/>
  <c r="V26" i="73"/>
  <c r="V25" i="73"/>
  <c r="V24" i="73"/>
  <c r="V23" i="73"/>
  <c r="V22" i="73"/>
  <c r="V21" i="73"/>
  <c r="V20" i="73"/>
  <c r="V19" i="73"/>
  <c r="V18" i="73"/>
  <c r="V17" i="73"/>
  <c r="V16" i="73"/>
  <c r="V15" i="73"/>
  <c r="V14" i="73"/>
  <c r="V13" i="73"/>
  <c r="V12" i="73"/>
  <c r="V11" i="73"/>
  <c r="V10" i="73"/>
  <c r="V9" i="73"/>
  <c r="V8" i="73"/>
  <c r="V7" i="73"/>
  <c r="V6" i="73"/>
  <c r="V5" i="73"/>
  <c r="V4" i="73"/>
  <c r="U91" i="73"/>
  <c r="U90" i="73"/>
  <c r="U89" i="73"/>
  <c r="U88" i="73"/>
  <c r="U87" i="73"/>
  <c r="U86" i="73"/>
  <c r="U85" i="73"/>
  <c r="U84" i="73"/>
  <c r="U83" i="73"/>
  <c r="U82" i="73"/>
  <c r="U81" i="73"/>
  <c r="U80" i="73"/>
  <c r="U79" i="73"/>
  <c r="U78" i="73"/>
  <c r="U77" i="73"/>
  <c r="U76" i="73"/>
  <c r="U75" i="73"/>
  <c r="U74" i="73"/>
  <c r="U73" i="73"/>
  <c r="U72" i="73"/>
  <c r="U71" i="73"/>
  <c r="U70" i="73"/>
  <c r="U69" i="73"/>
  <c r="U68" i="73"/>
  <c r="U67" i="73"/>
  <c r="U66" i="73"/>
  <c r="U65" i="73"/>
  <c r="U64" i="73"/>
  <c r="U63" i="73"/>
  <c r="U62" i="73"/>
  <c r="U61" i="73"/>
  <c r="U60" i="73"/>
  <c r="U59" i="73"/>
  <c r="U58" i="73"/>
  <c r="U57" i="73"/>
  <c r="U56" i="73"/>
  <c r="U55" i="73"/>
  <c r="U54" i="73"/>
  <c r="U53" i="73"/>
  <c r="U52" i="73"/>
  <c r="U51" i="73"/>
  <c r="U50" i="73"/>
  <c r="U49" i="73"/>
  <c r="U48" i="73"/>
  <c r="U47" i="73"/>
  <c r="U46" i="73"/>
  <c r="U45" i="73"/>
  <c r="U44" i="73"/>
  <c r="U43" i="73"/>
  <c r="U42" i="73"/>
  <c r="U41" i="73"/>
  <c r="U40" i="73"/>
  <c r="U39" i="73"/>
  <c r="U38" i="73"/>
  <c r="U37" i="73"/>
  <c r="U36" i="73"/>
  <c r="U35" i="73"/>
  <c r="U34" i="73"/>
  <c r="U33" i="73"/>
  <c r="U32" i="73"/>
  <c r="U31" i="73"/>
  <c r="U30" i="73"/>
  <c r="U29" i="73"/>
  <c r="U28" i="73"/>
  <c r="U27" i="73"/>
  <c r="U26" i="73"/>
  <c r="U25" i="73"/>
  <c r="U24" i="73"/>
  <c r="U23" i="73"/>
  <c r="U22" i="73"/>
  <c r="U21" i="73"/>
  <c r="U20" i="73"/>
  <c r="U19" i="73"/>
  <c r="U18" i="73"/>
  <c r="U17" i="73"/>
  <c r="U16" i="73"/>
  <c r="U15" i="73"/>
  <c r="U14" i="73"/>
  <c r="U13" i="73"/>
  <c r="U12" i="73"/>
  <c r="U11" i="73"/>
  <c r="U10" i="73"/>
  <c r="U9" i="73"/>
  <c r="U8" i="73"/>
  <c r="U7" i="73"/>
  <c r="U6" i="73"/>
  <c r="U5" i="73"/>
  <c r="U4" i="73"/>
  <c r="T91" i="73"/>
  <c r="T90" i="73"/>
  <c r="T89" i="73"/>
  <c r="T88" i="73"/>
  <c r="T87" i="73"/>
  <c r="T86" i="73"/>
  <c r="T85" i="73"/>
  <c r="T84" i="73"/>
  <c r="T83" i="73"/>
  <c r="T82" i="73"/>
  <c r="T81" i="73"/>
  <c r="T80" i="73"/>
  <c r="T79" i="73"/>
  <c r="T78" i="73"/>
  <c r="T77" i="73"/>
  <c r="T76" i="73"/>
  <c r="T75" i="73"/>
  <c r="T74" i="73"/>
  <c r="T73" i="73"/>
  <c r="T72" i="73"/>
  <c r="T71" i="73"/>
  <c r="T70" i="73"/>
  <c r="T69" i="73"/>
  <c r="T68" i="73"/>
  <c r="T67" i="73"/>
  <c r="T66" i="73"/>
  <c r="T65" i="73"/>
  <c r="T64" i="73"/>
  <c r="T63" i="73"/>
  <c r="T62" i="73"/>
  <c r="T61" i="73"/>
  <c r="T60" i="73"/>
  <c r="T59" i="73"/>
  <c r="T58" i="73"/>
  <c r="T57" i="73"/>
  <c r="T56" i="73"/>
  <c r="T55" i="73"/>
  <c r="T54" i="73"/>
  <c r="T53" i="73"/>
  <c r="T52" i="73"/>
  <c r="T51" i="73"/>
  <c r="T50" i="73"/>
  <c r="T49" i="73"/>
  <c r="T48" i="73"/>
  <c r="T47" i="73"/>
  <c r="T46" i="73"/>
  <c r="T45" i="73"/>
  <c r="T44" i="73"/>
  <c r="T43" i="73"/>
  <c r="T42" i="73"/>
  <c r="T41" i="73"/>
  <c r="T40" i="73"/>
  <c r="T39" i="73"/>
  <c r="T38" i="73"/>
  <c r="T37" i="73"/>
  <c r="T36" i="73"/>
  <c r="T35" i="73"/>
  <c r="T34" i="73"/>
  <c r="T33" i="73"/>
  <c r="T32" i="73"/>
  <c r="T31" i="73"/>
  <c r="T30" i="73"/>
  <c r="T29" i="73"/>
  <c r="T28" i="73"/>
  <c r="T27" i="73"/>
  <c r="T26" i="73"/>
  <c r="T25" i="73"/>
  <c r="T24" i="73"/>
  <c r="T23" i="73"/>
  <c r="T22" i="73"/>
  <c r="T21" i="73"/>
  <c r="T20" i="73"/>
  <c r="T19" i="73"/>
  <c r="T18" i="73"/>
  <c r="T17" i="73"/>
  <c r="T16" i="73"/>
  <c r="T15" i="73"/>
  <c r="T14" i="73"/>
  <c r="T13" i="73"/>
  <c r="T12" i="73"/>
  <c r="T11" i="73"/>
  <c r="T10" i="73"/>
  <c r="T9" i="73"/>
  <c r="T8" i="73"/>
  <c r="T7" i="73"/>
  <c r="T6" i="73"/>
  <c r="T5" i="73"/>
  <c r="T4" i="73"/>
  <c r="S91" i="73"/>
  <c r="S90" i="73"/>
  <c r="S89" i="73"/>
  <c r="S88" i="73"/>
  <c r="S87" i="73"/>
  <c r="S86" i="73"/>
  <c r="S85" i="73"/>
  <c r="S84" i="73"/>
  <c r="S83" i="73"/>
  <c r="S82" i="73"/>
  <c r="S81" i="73"/>
  <c r="S80" i="73"/>
  <c r="S79" i="73"/>
  <c r="S78" i="73"/>
  <c r="S77" i="73"/>
  <c r="S76" i="73"/>
  <c r="S75" i="73"/>
  <c r="S74" i="73"/>
  <c r="S73" i="73"/>
  <c r="S72" i="73"/>
  <c r="S71" i="73"/>
  <c r="S70" i="73"/>
  <c r="S69" i="73"/>
  <c r="S68" i="73"/>
  <c r="S67" i="73"/>
  <c r="S66" i="73"/>
  <c r="S65" i="73"/>
  <c r="S64" i="73"/>
  <c r="S63" i="73"/>
  <c r="S62" i="73"/>
  <c r="S61" i="73"/>
  <c r="S60" i="73"/>
  <c r="S59" i="73"/>
  <c r="S58" i="73"/>
  <c r="S57" i="73"/>
  <c r="S56" i="73"/>
  <c r="S55" i="73"/>
  <c r="S54" i="73"/>
  <c r="S53" i="73"/>
  <c r="S52" i="73"/>
  <c r="S51" i="73"/>
  <c r="S50" i="73"/>
  <c r="S49" i="73"/>
  <c r="S48" i="73"/>
  <c r="S47" i="73"/>
  <c r="S46" i="73"/>
  <c r="S45" i="73"/>
  <c r="S44" i="73"/>
  <c r="S43" i="73"/>
  <c r="S42" i="73"/>
  <c r="S41" i="73"/>
  <c r="S40" i="73"/>
  <c r="S39" i="73"/>
  <c r="S38" i="73"/>
  <c r="S37" i="73"/>
  <c r="S36" i="73"/>
  <c r="S35" i="73"/>
  <c r="S34" i="73"/>
  <c r="S33" i="73"/>
  <c r="S32" i="73"/>
  <c r="S31" i="73"/>
  <c r="S30" i="73"/>
  <c r="S29" i="73"/>
  <c r="S28" i="73"/>
  <c r="S27" i="73"/>
  <c r="S26" i="73"/>
  <c r="S25" i="73"/>
  <c r="S24" i="73"/>
  <c r="S23" i="73"/>
  <c r="S22" i="73"/>
  <c r="S21" i="73"/>
  <c r="S20" i="73"/>
  <c r="S19" i="73"/>
  <c r="S18" i="73"/>
  <c r="S17" i="73"/>
  <c r="S16" i="73"/>
  <c r="S15" i="73"/>
  <c r="S14" i="73"/>
  <c r="S13" i="73"/>
  <c r="S12" i="73"/>
  <c r="S11" i="73"/>
  <c r="S10" i="73"/>
  <c r="S9" i="73"/>
  <c r="S8" i="73"/>
  <c r="S7" i="73"/>
  <c r="S6" i="73"/>
  <c r="S5" i="73"/>
  <c r="S4" i="73"/>
  <c r="R91" i="73"/>
  <c r="R90" i="73"/>
  <c r="R89" i="73"/>
  <c r="R88" i="73"/>
  <c r="R87" i="73"/>
  <c r="R86" i="73"/>
  <c r="R85" i="73"/>
  <c r="R84" i="73"/>
  <c r="R83" i="73"/>
  <c r="R82" i="73"/>
  <c r="R81" i="73"/>
  <c r="R80" i="73"/>
  <c r="R79" i="73"/>
  <c r="R78" i="73"/>
  <c r="R77" i="73"/>
  <c r="R76" i="73"/>
  <c r="R75" i="73"/>
  <c r="R74" i="73"/>
  <c r="R73" i="73"/>
  <c r="R72" i="73"/>
  <c r="R71" i="73"/>
  <c r="R70" i="73"/>
  <c r="R69" i="73"/>
  <c r="R68" i="73"/>
  <c r="R67" i="73"/>
  <c r="R66" i="73"/>
  <c r="R65" i="73"/>
  <c r="R64" i="73"/>
  <c r="R63" i="73"/>
  <c r="R62" i="73"/>
  <c r="R61" i="73"/>
  <c r="R60" i="73"/>
  <c r="R59" i="73"/>
  <c r="R58" i="73"/>
  <c r="R57" i="73"/>
  <c r="R56" i="73"/>
  <c r="R55" i="73"/>
  <c r="R54" i="73"/>
  <c r="R53" i="73"/>
  <c r="R52" i="73"/>
  <c r="R51" i="73"/>
  <c r="R50" i="73"/>
  <c r="R49" i="73"/>
  <c r="R48" i="73"/>
  <c r="R47" i="73"/>
  <c r="R46" i="73"/>
  <c r="R45" i="73"/>
  <c r="R44" i="73"/>
  <c r="R43" i="73"/>
  <c r="R42" i="73"/>
  <c r="R41" i="73"/>
  <c r="R40" i="73"/>
  <c r="R39" i="73"/>
  <c r="R38" i="73"/>
  <c r="R37" i="73"/>
  <c r="R36" i="73"/>
  <c r="R35" i="73"/>
  <c r="R34" i="73"/>
  <c r="R33" i="73"/>
  <c r="R32" i="73"/>
  <c r="R31" i="73"/>
  <c r="R30" i="73"/>
  <c r="R29" i="73"/>
  <c r="R28" i="73"/>
  <c r="R27" i="73"/>
  <c r="R26" i="73"/>
  <c r="R25" i="73"/>
  <c r="R24" i="73"/>
  <c r="R23" i="73"/>
  <c r="R22" i="73"/>
  <c r="R21" i="73"/>
  <c r="R20" i="73"/>
  <c r="R19" i="73"/>
  <c r="R18" i="73"/>
  <c r="R17" i="73"/>
  <c r="R16" i="73"/>
  <c r="R15" i="73"/>
  <c r="R14" i="73"/>
  <c r="R13" i="73"/>
  <c r="R12" i="73"/>
  <c r="R11" i="73"/>
  <c r="R10" i="73"/>
  <c r="R9" i="73"/>
  <c r="R8" i="73"/>
  <c r="R7" i="73"/>
  <c r="R6" i="73"/>
  <c r="R5" i="73"/>
  <c r="R4" i="73"/>
  <c r="Q91" i="73"/>
  <c r="Q90" i="73"/>
  <c r="Q89" i="73"/>
  <c r="Q88" i="73"/>
  <c r="Q87" i="73"/>
  <c r="Q86" i="73"/>
  <c r="Q85" i="73"/>
  <c r="Q84" i="73"/>
  <c r="Q83" i="73"/>
  <c r="Q82" i="73"/>
  <c r="Q81" i="73"/>
  <c r="Q80" i="73"/>
  <c r="Q79" i="73"/>
  <c r="Q78" i="73"/>
  <c r="Q77" i="73"/>
  <c r="Q76" i="73"/>
  <c r="Q75" i="73"/>
  <c r="Q74" i="73"/>
  <c r="Q73" i="73"/>
  <c r="Q72" i="73"/>
  <c r="Q71" i="73"/>
  <c r="Q70" i="73"/>
  <c r="Q69" i="73"/>
  <c r="Q68" i="73"/>
  <c r="Q67" i="73"/>
  <c r="Q66" i="73"/>
  <c r="Q65" i="73"/>
  <c r="Q64" i="73"/>
  <c r="Q63" i="73"/>
  <c r="Q62" i="73"/>
  <c r="Q61" i="73"/>
  <c r="Q60" i="73"/>
  <c r="Q59" i="73"/>
  <c r="Q58" i="73"/>
  <c r="Q57" i="73"/>
  <c r="Q56" i="73"/>
  <c r="Q55" i="73"/>
  <c r="Q54" i="73"/>
  <c r="Q53" i="73"/>
  <c r="Q52" i="73"/>
  <c r="Q51" i="73"/>
  <c r="Q50" i="73"/>
  <c r="Q49" i="73"/>
  <c r="Q48" i="73"/>
  <c r="Q47" i="73"/>
  <c r="Q46" i="73"/>
  <c r="Q45" i="73"/>
  <c r="Q44" i="73"/>
  <c r="Q43" i="73"/>
  <c r="Q42" i="73"/>
  <c r="Q41" i="73"/>
  <c r="Q40" i="73"/>
  <c r="Q39" i="73"/>
  <c r="Q38" i="73"/>
  <c r="Q37" i="73"/>
  <c r="Q36" i="73"/>
  <c r="Q35" i="73"/>
  <c r="Q34" i="73"/>
  <c r="Q33" i="73"/>
  <c r="Q32" i="73"/>
  <c r="Q31" i="73"/>
  <c r="Q30" i="73"/>
  <c r="Q29" i="73"/>
  <c r="Q28" i="73"/>
  <c r="Q27" i="73"/>
  <c r="Q26" i="73"/>
  <c r="Q25" i="73"/>
  <c r="Q24" i="73"/>
  <c r="Q23" i="73"/>
  <c r="Q22" i="73"/>
  <c r="Q21" i="73"/>
  <c r="Q20" i="73"/>
  <c r="Q19" i="73"/>
  <c r="Q18" i="73"/>
  <c r="Q17" i="73"/>
  <c r="Q16" i="73"/>
  <c r="Q15" i="73"/>
  <c r="Q14" i="73"/>
  <c r="Q13" i="73"/>
  <c r="Q12" i="73"/>
  <c r="Q11" i="73"/>
  <c r="Q10" i="73"/>
  <c r="Q9" i="73"/>
  <c r="Q8" i="73"/>
  <c r="Q7" i="73"/>
  <c r="Q6" i="73"/>
  <c r="Q5" i="73"/>
  <c r="Q4" i="73"/>
  <c r="P91" i="73"/>
  <c r="P90" i="73"/>
  <c r="P89" i="73"/>
  <c r="P88" i="73"/>
  <c r="P87" i="73"/>
  <c r="P86" i="73"/>
  <c r="P85" i="73"/>
  <c r="P84" i="73"/>
  <c r="P83" i="73"/>
  <c r="P82" i="73"/>
  <c r="P81" i="73"/>
  <c r="P80" i="73"/>
  <c r="P79" i="73"/>
  <c r="P78" i="73"/>
  <c r="P77" i="73"/>
  <c r="P76" i="73"/>
  <c r="P75" i="73"/>
  <c r="P74" i="73"/>
  <c r="P73" i="73"/>
  <c r="P72" i="73"/>
  <c r="P71" i="73"/>
  <c r="P70" i="73"/>
  <c r="P69" i="73"/>
  <c r="P68" i="73"/>
  <c r="P67" i="73"/>
  <c r="P66" i="73"/>
  <c r="P65" i="73"/>
  <c r="P64" i="73"/>
  <c r="P63" i="73"/>
  <c r="P62" i="73"/>
  <c r="P61" i="73"/>
  <c r="P60" i="73"/>
  <c r="P59" i="73"/>
  <c r="P58" i="73"/>
  <c r="P57" i="73"/>
  <c r="P56" i="73"/>
  <c r="P55" i="73"/>
  <c r="P54" i="73"/>
  <c r="P53" i="73"/>
  <c r="P52" i="73"/>
  <c r="P51" i="73"/>
  <c r="P50" i="73"/>
  <c r="P49" i="73"/>
  <c r="P48" i="73"/>
  <c r="P47" i="73"/>
  <c r="P46" i="73"/>
  <c r="P45" i="73"/>
  <c r="P44" i="73"/>
  <c r="P43" i="73"/>
  <c r="P42" i="73"/>
  <c r="P41" i="73"/>
  <c r="P40" i="73"/>
  <c r="P39" i="73"/>
  <c r="P38" i="73"/>
  <c r="P37" i="73"/>
  <c r="P36" i="73"/>
  <c r="P35" i="73"/>
  <c r="P34" i="73"/>
  <c r="P33" i="73"/>
  <c r="P32" i="73"/>
  <c r="P31" i="73"/>
  <c r="P30" i="73"/>
  <c r="P29" i="73"/>
  <c r="P28" i="73"/>
  <c r="P27" i="73"/>
  <c r="P26" i="73"/>
  <c r="P25" i="73"/>
  <c r="P24" i="73"/>
  <c r="P23" i="73"/>
  <c r="P22" i="73"/>
  <c r="P21" i="73"/>
  <c r="P20" i="73"/>
  <c r="P19" i="73"/>
  <c r="P18" i="73"/>
  <c r="P17" i="73"/>
  <c r="P16" i="73"/>
  <c r="P15" i="73"/>
  <c r="P14" i="73"/>
  <c r="P13" i="73"/>
  <c r="P12" i="73"/>
  <c r="P11" i="73"/>
  <c r="P10" i="73"/>
  <c r="P9" i="73"/>
  <c r="P8" i="73"/>
  <c r="P7" i="73"/>
  <c r="P6" i="73"/>
  <c r="P5" i="73"/>
  <c r="P4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N91" i="73"/>
  <c r="N90" i="73"/>
  <c r="N89" i="73"/>
  <c r="N88" i="73"/>
  <c r="N87" i="73"/>
  <c r="N86" i="73"/>
  <c r="N85" i="73"/>
  <c r="N84" i="73"/>
  <c r="N83" i="73"/>
  <c r="N82" i="73"/>
  <c r="N81" i="73"/>
  <c r="N80" i="73"/>
  <c r="N79" i="73"/>
  <c r="N78" i="73"/>
  <c r="N77" i="73"/>
  <c r="N76" i="73"/>
  <c r="N75" i="73"/>
  <c r="N74" i="73"/>
  <c r="N73" i="73"/>
  <c r="N72" i="73"/>
  <c r="N71" i="73"/>
  <c r="N70" i="73"/>
  <c r="N69" i="73"/>
  <c r="N68" i="73"/>
  <c r="N67" i="73"/>
  <c r="N66" i="73"/>
  <c r="N65" i="73"/>
  <c r="N64" i="73"/>
  <c r="N63" i="73"/>
  <c r="N62" i="73"/>
  <c r="N61" i="73"/>
  <c r="N60" i="73"/>
  <c r="N59" i="73"/>
  <c r="N58" i="73"/>
  <c r="N57" i="73"/>
  <c r="N56" i="73"/>
  <c r="N55" i="73"/>
  <c r="N54" i="73"/>
  <c r="N53" i="73"/>
  <c r="N52" i="73"/>
  <c r="N51" i="73"/>
  <c r="N50" i="73"/>
  <c r="N49" i="73"/>
  <c r="N48" i="73"/>
  <c r="N47" i="73"/>
  <c r="N46" i="73"/>
  <c r="N45" i="73"/>
  <c r="N44" i="73"/>
  <c r="N43" i="73"/>
  <c r="N42" i="73"/>
  <c r="N41" i="73"/>
  <c r="N40" i="73"/>
  <c r="N39" i="73"/>
  <c r="N38" i="73"/>
  <c r="N37" i="73"/>
  <c r="N36" i="73"/>
  <c r="N35" i="73"/>
  <c r="N34" i="73"/>
  <c r="N33" i="73"/>
  <c r="N32" i="73"/>
  <c r="N31" i="73"/>
  <c r="N30" i="73"/>
  <c r="N29" i="73"/>
  <c r="N28" i="73"/>
  <c r="N27" i="73"/>
  <c r="N26" i="73"/>
  <c r="N25" i="73"/>
  <c r="N24" i="73"/>
  <c r="N23" i="73"/>
  <c r="N22" i="73"/>
  <c r="N21" i="73"/>
  <c r="N20" i="73"/>
  <c r="N19" i="73"/>
  <c r="N18" i="73"/>
  <c r="N17" i="73"/>
  <c r="N16" i="73"/>
  <c r="N15" i="73"/>
  <c r="N14" i="73"/>
  <c r="N13" i="73"/>
  <c r="N12" i="73"/>
  <c r="N11" i="73"/>
  <c r="N10" i="73"/>
  <c r="N9" i="73"/>
  <c r="N8" i="73"/>
  <c r="N7" i="73"/>
  <c r="N6" i="73"/>
  <c r="N5" i="73"/>
  <c r="N4" i="73"/>
  <c r="M91" i="73"/>
  <c r="M90" i="73"/>
  <c r="M89" i="73"/>
  <c r="M88" i="73"/>
  <c r="M87" i="73"/>
  <c r="M86" i="73"/>
  <c r="M85" i="73"/>
  <c r="M84" i="73"/>
  <c r="M83" i="73"/>
  <c r="M82" i="73"/>
  <c r="M81" i="73"/>
  <c r="M80" i="73"/>
  <c r="M79" i="73"/>
  <c r="M78" i="73"/>
  <c r="M77" i="73"/>
  <c r="M76" i="73"/>
  <c r="M75" i="73"/>
  <c r="M74" i="73"/>
  <c r="M73" i="73"/>
  <c r="M72" i="73"/>
  <c r="M71" i="73"/>
  <c r="M70" i="73"/>
  <c r="M69" i="73"/>
  <c r="M68" i="73"/>
  <c r="M67" i="73"/>
  <c r="M66" i="73"/>
  <c r="M65" i="73"/>
  <c r="M64" i="73"/>
  <c r="M63" i="73"/>
  <c r="M62" i="73"/>
  <c r="M61" i="73"/>
  <c r="M60" i="73"/>
  <c r="M59" i="73"/>
  <c r="M58" i="73"/>
  <c r="M57" i="73"/>
  <c r="M56" i="73"/>
  <c r="M55" i="73"/>
  <c r="M54" i="73"/>
  <c r="M53" i="73"/>
  <c r="M52" i="73"/>
  <c r="M51" i="73"/>
  <c r="M50" i="73"/>
  <c r="M49" i="73"/>
  <c r="M48" i="73"/>
  <c r="M47" i="73"/>
  <c r="M46" i="73"/>
  <c r="M45" i="73"/>
  <c r="M44" i="73"/>
  <c r="M43" i="73"/>
  <c r="M42" i="73"/>
  <c r="M41" i="73"/>
  <c r="M40" i="73"/>
  <c r="M39" i="73"/>
  <c r="M38" i="73"/>
  <c r="M37" i="73"/>
  <c r="M36" i="73"/>
  <c r="M35" i="73"/>
  <c r="M34" i="73"/>
  <c r="M33" i="73"/>
  <c r="M32" i="73"/>
  <c r="M31" i="73"/>
  <c r="M30" i="73"/>
  <c r="M29" i="73"/>
  <c r="M28" i="73"/>
  <c r="M27" i="73"/>
  <c r="M26" i="73"/>
  <c r="M25" i="73"/>
  <c r="M24" i="73"/>
  <c r="M23" i="73"/>
  <c r="M22" i="73"/>
  <c r="M21" i="73"/>
  <c r="M20" i="73"/>
  <c r="M19" i="73"/>
  <c r="M18" i="73"/>
  <c r="M17" i="73"/>
  <c r="M16" i="73"/>
  <c r="M15" i="73"/>
  <c r="M14" i="73"/>
  <c r="M13" i="73"/>
  <c r="M12" i="73"/>
  <c r="M11" i="73"/>
  <c r="M10" i="73"/>
  <c r="M9" i="73"/>
  <c r="M8" i="73"/>
  <c r="M7" i="73"/>
  <c r="M6" i="73"/>
  <c r="M5" i="73"/>
  <c r="M4" i="73"/>
  <c r="L91" i="73"/>
  <c r="L90" i="73"/>
  <c r="L89" i="73"/>
  <c r="L88" i="73"/>
  <c r="L87" i="73"/>
  <c r="L86" i="73"/>
  <c r="L85" i="73"/>
  <c r="L84" i="73"/>
  <c r="L83" i="73"/>
  <c r="L82" i="73"/>
  <c r="L81" i="73"/>
  <c r="L80" i="73"/>
  <c r="L79" i="73"/>
  <c r="L78" i="73"/>
  <c r="L77" i="73"/>
  <c r="L76" i="73"/>
  <c r="L75" i="73"/>
  <c r="L74" i="73"/>
  <c r="L73" i="73"/>
  <c r="L72" i="73"/>
  <c r="L71" i="73"/>
  <c r="L70" i="73"/>
  <c r="L69" i="73"/>
  <c r="L68" i="73"/>
  <c r="L67" i="73"/>
  <c r="L66" i="73"/>
  <c r="L65" i="73"/>
  <c r="L64" i="73"/>
  <c r="L63" i="73"/>
  <c r="L62" i="73"/>
  <c r="L61" i="73"/>
  <c r="L60" i="73"/>
  <c r="L59" i="73"/>
  <c r="L58" i="73"/>
  <c r="L57" i="73"/>
  <c r="L56" i="73"/>
  <c r="L55" i="73"/>
  <c r="L54" i="73"/>
  <c r="L53" i="73"/>
  <c r="L52" i="73"/>
  <c r="L51" i="73"/>
  <c r="L50" i="73"/>
  <c r="L49" i="73"/>
  <c r="L48" i="73"/>
  <c r="L47" i="73"/>
  <c r="L46" i="73"/>
  <c r="L45" i="73"/>
  <c r="L44" i="73"/>
  <c r="L43" i="73"/>
  <c r="L42" i="73"/>
  <c r="L41" i="73"/>
  <c r="L40" i="73"/>
  <c r="L39" i="73"/>
  <c r="L38" i="73"/>
  <c r="L37" i="73"/>
  <c r="L36" i="73"/>
  <c r="L35" i="73"/>
  <c r="L34" i="73"/>
  <c r="L33" i="73"/>
  <c r="L32" i="73"/>
  <c r="L31" i="73"/>
  <c r="L30" i="73"/>
  <c r="L29" i="73"/>
  <c r="L28" i="73"/>
  <c r="L27" i="73"/>
  <c r="L26" i="73"/>
  <c r="L25" i="73"/>
  <c r="L24" i="73"/>
  <c r="L23" i="73"/>
  <c r="L22" i="73"/>
  <c r="L21" i="73"/>
  <c r="L20" i="73"/>
  <c r="L19" i="73"/>
  <c r="L18" i="73"/>
  <c r="L17" i="73"/>
  <c r="L16" i="73"/>
  <c r="L15" i="73"/>
  <c r="L14" i="73"/>
  <c r="L13" i="73"/>
  <c r="L12" i="73"/>
  <c r="L11" i="73"/>
  <c r="L10" i="73"/>
  <c r="L9" i="73"/>
  <c r="L8" i="73"/>
  <c r="L7" i="73"/>
  <c r="L6" i="73"/>
  <c r="L5" i="73"/>
  <c r="L4" i="73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M91" i="74"/>
  <c r="M90" i="74"/>
  <c r="M89" i="74"/>
  <c r="M88" i="74"/>
  <c r="M87" i="74"/>
  <c r="M86" i="74"/>
  <c r="M85" i="74"/>
  <c r="M84" i="74"/>
  <c r="M83" i="74"/>
  <c r="M82" i="74"/>
  <c r="M81" i="74"/>
  <c r="M80" i="74"/>
  <c r="M79" i="74"/>
  <c r="M78" i="74"/>
  <c r="M77" i="74"/>
  <c r="M76" i="74"/>
  <c r="M75" i="74"/>
  <c r="M74" i="74"/>
  <c r="M73" i="74"/>
  <c r="M72" i="74"/>
  <c r="M71" i="74"/>
  <c r="M70" i="74"/>
  <c r="M69" i="74"/>
  <c r="M68" i="74"/>
  <c r="M67" i="74"/>
  <c r="M66" i="74"/>
  <c r="M65" i="74"/>
  <c r="M64" i="74"/>
  <c r="M63" i="74"/>
  <c r="M62" i="74"/>
  <c r="M61" i="74"/>
  <c r="M60" i="74"/>
  <c r="M59" i="74"/>
  <c r="M58" i="74"/>
  <c r="M57" i="74"/>
  <c r="M56" i="74"/>
  <c r="M55" i="74"/>
  <c r="M54" i="74"/>
  <c r="M53" i="74"/>
  <c r="M52" i="74"/>
  <c r="M51" i="74"/>
  <c r="M50" i="74"/>
  <c r="M49" i="74"/>
  <c r="M48" i="74"/>
  <c r="M47" i="74"/>
  <c r="M46" i="74"/>
  <c r="M45" i="74"/>
  <c r="M44" i="74"/>
  <c r="M43" i="74"/>
  <c r="M42" i="74"/>
  <c r="M41" i="74"/>
  <c r="M40" i="74"/>
  <c r="M39" i="74"/>
  <c r="M38" i="74"/>
  <c r="M37" i="74"/>
  <c r="M36" i="74"/>
  <c r="M35" i="74"/>
  <c r="M34" i="74"/>
  <c r="M33" i="74"/>
  <c r="M32" i="74"/>
  <c r="M31" i="74"/>
  <c r="M30" i="74"/>
  <c r="M29" i="74"/>
  <c r="M28" i="74"/>
  <c r="M27" i="74"/>
  <c r="M26" i="74"/>
  <c r="M25" i="74"/>
  <c r="M24" i="74"/>
  <c r="M23" i="74"/>
  <c r="M22" i="74"/>
  <c r="M21" i="74"/>
  <c r="M20" i="74"/>
  <c r="M19" i="74"/>
  <c r="M18" i="74"/>
  <c r="M17" i="74"/>
  <c r="M16" i="74"/>
  <c r="M15" i="74"/>
  <c r="M14" i="74"/>
  <c r="M13" i="74"/>
  <c r="M12" i="74"/>
  <c r="M11" i="74"/>
  <c r="M10" i="74"/>
  <c r="M9" i="74"/>
  <c r="M8" i="74"/>
  <c r="M7" i="74"/>
  <c r="M6" i="74"/>
  <c r="M5" i="74"/>
  <c r="M4" i="74"/>
  <c r="L91" i="74"/>
  <c r="L90" i="74"/>
  <c r="L89" i="74"/>
  <c r="L88" i="74"/>
  <c r="L87" i="74"/>
  <c r="L86" i="74"/>
  <c r="L85" i="74"/>
  <c r="L84" i="74"/>
  <c r="L83" i="74"/>
  <c r="L82" i="74"/>
  <c r="L81" i="74"/>
  <c r="L80" i="74"/>
  <c r="L79" i="74"/>
  <c r="L78" i="74"/>
  <c r="L77" i="74"/>
  <c r="L76" i="74"/>
  <c r="L75" i="74"/>
  <c r="L74" i="74"/>
  <c r="L73" i="74"/>
  <c r="L72" i="74"/>
  <c r="L71" i="74"/>
  <c r="L70" i="74"/>
  <c r="L69" i="74"/>
  <c r="L68" i="74"/>
  <c r="L67" i="74"/>
  <c r="L66" i="74"/>
  <c r="L65" i="74"/>
  <c r="L64" i="74"/>
  <c r="L63" i="74"/>
  <c r="L62" i="74"/>
  <c r="L61" i="74"/>
  <c r="L60" i="74"/>
  <c r="L59" i="74"/>
  <c r="L58" i="74"/>
  <c r="L57" i="74"/>
  <c r="L56" i="74"/>
  <c r="L55" i="74"/>
  <c r="L54" i="74"/>
  <c r="L53" i="74"/>
  <c r="L52" i="74"/>
  <c r="L51" i="74"/>
  <c r="L50" i="74"/>
  <c r="L49" i="74"/>
  <c r="L48" i="74"/>
  <c r="L47" i="74"/>
  <c r="L46" i="74"/>
  <c r="L45" i="74"/>
  <c r="L44" i="74"/>
  <c r="L43" i="74"/>
  <c r="L42" i="74"/>
  <c r="L41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L9" i="74"/>
  <c r="L8" i="74"/>
  <c r="L7" i="74"/>
  <c r="L6" i="74"/>
  <c r="L5" i="74"/>
  <c r="L4" i="74"/>
  <c r="K91" i="74"/>
  <c r="K90" i="74"/>
  <c r="K89" i="74"/>
  <c r="K88" i="74"/>
  <c r="K87" i="74"/>
  <c r="K86" i="74"/>
  <c r="K85" i="74"/>
  <c r="K84" i="74"/>
  <c r="K83" i="74"/>
  <c r="K82" i="74"/>
  <c r="K81" i="74"/>
  <c r="K80" i="74"/>
  <c r="K79" i="74"/>
  <c r="K78" i="74"/>
  <c r="K77" i="74"/>
  <c r="K76" i="74"/>
  <c r="K75" i="74"/>
  <c r="K74" i="74"/>
  <c r="K73" i="74"/>
  <c r="K72" i="74"/>
  <c r="K71" i="74"/>
  <c r="K70" i="74"/>
  <c r="K69" i="74"/>
  <c r="K68" i="74"/>
  <c r="K67" i="74"/>
  <c r="K66" i="74"/>
  <c r="K65" i="74"/>
  <c r="K64" i="74"/>
  <c r="K63" i="74"/>
  <c r="K62" i="74"/>
  <c r="K61" i="74"/>
  <c r="K60" i="74"/>
  <c r="K59" i="74"/>
  <c r="K58" i="74"/>
  <c r="K57" i="74"/>
  <c r="K56" i="74"/>
  <c r="K55" i="74"/>
  <c r="K54" i="74"/>
  <c r="K53" i="74"/>
  <c r="K52" i="74"/>
  <c r="K51" i="74"/>
  <c r="K50" i="74"/>
  <c r="K49" i="74"/>
  <c r="K48" i="74"/>
  <c r="K47" i="74"/>
  <c r="K46" i="74"/>
  <c r="K45" i="74"/>
  <c r="K44" i="74"/>
  <c r="K43" i="74"/>
  <c r="K42" i="74"/>
  <c r="K41" i="74"/>
  <c r="K40" i="74"/>
  <c r="K39" i="74"/>
  <c r="K38" i="74"/>
  <c r="K37" i="74"/>
  <c r="K36" i="74"/>
  <c r="K35" i="74"/>
  <c r="K34" i="74"/>
  <c r="K33" i="74"/>
  <c r="K32" i="74"/>
  <c r="K31" i="74"/>
  <c r="K30" i="74"/>
  <c r="K29" i="74"/>
  <c r="K28" i="74"/>
  <c r="K27" i="74"/>
  <c r="K26" i="74"/>
  <c r="K25" i="74"/>
  <c r="K24" i="74"/>
  <c r="K23" i="74"/>
  <c r="K22" i="74"/>
  <c r="K21" i="74"/>
  <c r="K20" i="74"/>
  <c r="K19" i="74"/>
  <c r="K18" i="74"/>
  <c r="K17" i="74"/>
  <c r="K16" i="74"/>
  <c r="K15" i="74"/>
  <c r="K14" i="74"/>
  <c r="K13" i="74"/>
  <c r="K12" i="74"/>
  <c r="K11" i="74"/>
  <c r="K10" i="74"/>
  <c r="K9" i="74"/>
  <c r="K8" i="74"/>
  <c r="K7" i="74"/>
  <c r="K6" i="74"/>
  <c r="K5" i="74"/>
  <c r="K4" i="74"/>
  <c r="O91" i="48"/>
  <c r="O90" i="48"/>
  <c r="O89" i="48"/>
  <c r="O88" i="48"/>
  <c r="O87" i="48"/>
  <c r="O86" i="48"/>
  <c r="O85" i="48"/>
  <c r="O84" i="48"/>
  <c r="O83" i="48"/>
  <c r="O82" i="48"/>
  <c r="O81" i="48"/>
  <c r="O80" i="48"/>
  <c r="O79" i="48"/>
  <c r="O78" i="48"/>
  <c r="O77" i="48"/>
  <c r="O76" i="48"/>
  <c r="O75" i="48"/>
  <c r="O74" i="48"/>
  <c r="O73" i="48"/>
  <c r="O72" i="48"/>
  <c r="O71" i="48"/>
  <c r="O70" i="48"/>
  <c r="O69" i="48"/>
  <c r="O68" i="48"/>
  <c r="O67" i="48"/>
  <c r="O66" i="48"/>
  <c r="O65" i="48"/>
  <c r="O64" i="48"/>
  <c r="O63" i="48"/>
  <c r="O62" i="48"/>
  <c r="O61" i="48"/>
  <c r="O60" i="48"/>
  <c r="O59" i="48"/>
  <c r="O58" i="48"/>
  <c r="O57" i="48"/>
  <c r="O56" i="48"/>
  <c r="O55" i="48"/>
  <c r="O54" i="48"/>
  <c r="O53" i="48"/>
  <c r="O52" i="48"/>
  <c r="O51" i="48"/>
  <c r="O50" i="48"/>
  <c r="O49" i="48"/>
  <c r="O48" i="48"/>
  <c r="O47" i="48"/>
  <c r="O46" i="48"/>
  <c r="O45" i="48"/>
  <c r="O44" i="48"/>
  <c r="O43" i="48"/>
  <c r="O42" i="48"/>
  <c r="O41" i="48"/>
  <c r="O40" i="48"/>
  <c r="O39" i="48"/>
  <c r="O38" i="48"/>
  <c r="O37" i="48"/>
  <c r="O36" i="48"/>
  <c r="O35" i="48"/>
  <c r="O34" i="48"/>
  <c r="O33" i="48"/>
  <c r="O32" i="48"/>
  <c r="O31" i="48"/>
  <c r="O30" i="48"/>
  <c r="O29" i="48"/>
  <c r="O28" i="48"/>
  <c r="O27" i="48"/>
  <c r="O26" i="48"/>
  <c r="O25" i="48"/>
  <c r="O24" i="48"/>
  <c r="O23" i="48"/>
  <c r="O22" i="48"/>
  <c r="O21" i="48"/>
  <c r="O20" i="48"/>
  <c r="O19" i="48"/>
  <c r="O18" i="48"/>
  <c r="O17" i="48"/>
  <c r="O16" i="48"/>
  <c r="O15" i="48"/>
  <c r="O14" i="48"/>
  <c r="O13" i="48"/>
  <c r="O12" i="48"/>
  <c r="O11" i="48"/>
  <c r="O10" i="48"/>
  <c r="O9" i="48"/>
  <c r="O8" i="48"/>
  <c r="O7" i="48"/>
  <c r="O6" i="48"/>
  <c r="O5" i="48"/>
  <c r="O4" i="48"/>
  <c r="M91" i="48"/>
  <c r="M90" i="48"/>
  <c r="M89" i="48"/>
  <c r="M88" i="48"/>
  <c r="M87" i="48"/>
  <c r="M86" i="48"/>
  <c r="M85" i="48"/>
  <c r="M84" i="48"/>
  <c r="M83" i="48"/>
  <c r="M82" i="48"/>
  <c r="M81" i="48"/>
  <c r="M80" i="48"/>
  <c r="M79" i="48"/>
  <c r="M78" i="48"/>
  <c r="M77" i="48"/>
  <c r="M76" i="48"/>
  <c r="M75" i="48"/>
  <c r="M74" i="48"/>
  <c r="M73" i="48"/>
  <c r="M72" i="48"/>
  <c r="M71" i="48"/>
  <c r="M70" i="48"/>
  <c r="M69" i="48"/>
  <c r="M68" i="48"/>
  <c r="M67" i="48"/>
  <c r="M66" i="48"/>
  <c r="M65" i="48"/>
  <c r="M64" i="48"/>
  <c r="M63" i="48"/>
  <c r="M62" i="48"/>
  <c r="M61" i="48"/>
  <c r="M60" i="48"/>
  <c r="M59" i="48"/>
  <c r="M58" i="48"/>
  <c r="M57" i="48"/>
  <c r="M56" i="48"/>
  <c r="M55" i="48"/>
  <c r="M54" i="48"/>
  <c r="M53" i="48"/>
  <c r="M52" i="48"/>
  <c r="M51" i="48"/>
  <c r="M50" i="48"/>
  <c r="M49" i="48"/>
  <c r="M48" i="48"/>
  <c r="M47" i="48"/>
  <c r="M46" i="48"/>
  <c r="M45" i="48"/>
  <c r="M44" i="48"/>
  <c r="M43" i="48"/>
  <c r="M42" i="48"/>
  <c r="M41" i="48"/>
  <c r="M40" i="48"/>
  <c r="M39" i="48"/>
  <c r="M38" i="48"/>
  <c r="M37" i="48"/>
  <c r="M36" i="48"/>
  <c r="M35" i="48"/>
  <c r="M34" i="48"/>
  <c r="M33" i="48"/>
  <c r="M32" i="48"/>
  <c r="M31" i="48"/>
  <c r="M30" i="48"/>
  <c r="M29" i="48"/>
  <c r="M28" i="48"/>
  <c r="M27" i="48"/>
  <c r="M26" i="48"/>
  <c r="M25" i="48"/>
  <c r="M24" i="48"/>
  <c r="M23" i="48"/>
  <c r="M22" i="48"/>
  <c r="M21" i="48"/>
  <c r="M20" i="48"/>
  <c r="M19" i="48"/>
  <c r="M18" i="48"/>
  <c r="M17" i="48"/>
  <c r="M16" i="48"/>
  <c r="M15" i="48"/>
  <c r="M14" i="48"/>
  <c r="M13" i="48"/>
  <c r="M12" i="48"/>
  <c r="M11" i="48"/>
  <c r="M10" i="48"/>
  <c r="M9" i="48"/>
  <c r="M8" i="48"/>
  <c r="M7" i="48"/>
  <c r="M6" i="48"/>
  <c r="M5" i="48"/>
  <c r="M4" i="48"/>
  <c r="L91" i="48"/>
  <c r="L90" i="48"/>
  <c r="L89" i="48"/>
  <c r="L88" i="48"/>
  <c r="L87" i="48"/>
  <c r="L86" i="48"/>
  <c r="L85" i="48"/>
  <c r="L84" i="48"/>
  <c r="L83" i="48"/>
  <c r="L82" i="48"/>
  <c r="L81" i="48"/>
  <c r="L80" i="48"/>
  <c r="L79" i="48"/>
  <c r="L78" i="48"/>
  <c r="L77" i="48"/>
  <c r="L76" i="48"/>
  <c r="L75" i="48"/>
  <c r="L74" i="48"/>
  <c r="L73" i="48"/>
  <c r="L72" i="48"/>
  <c r="L71" i="48"/>
  <c r="L70" i="48"/>
  <c r="L69" i="48"/>
  <c r="L68" i="48"/>
  <c r="L67" i="48"/>
  <c r="L66" i="48"/>
  <c r="L65" i="48"/>
  <c r="L64" i="48"/>
  <c r="L63" i="48"/>
  <c r="L62" i="48"/>
  <c r="L61" i="48"/>
  <c r="L60" i="48"/>
  <c r="L59" i="48"/>
  <c r="L58" i="48"/>
  <c r="L57" i="48"/>
  <c r="L56" i="48"/>
  <c r="L55" i="48"/>
  <c r="L54" i="48"/>
  <c r="L53" i="48"/>
  <c r="L52" i="48"/>
  <c r="L51" i="48"/>
  <c r="L50" i="48"/>
  <c r="L49" i="48"/>
  <c r="L48" i="48"/>
  <c r="L47" i="48"/>
  <c r="L46" i="48"/>
  <c r="L45" i="48"/>
  <c r="L44" i="48"/>
  <c r="L43" i="48"/>
  <c r="L42" i="48"/>
  <c r="L41" i="48"/>
  <c r="L40" i="48"/>
  <c r="L39" i="48"/>
  <c r="L38" i="48"/>
  <c r="L37" i="48"/>
  <c r="L36" i="48"/>
  <c r="L35" i="48"/>
  <c r="L34" i="48"/>
  <c r="L33" i="48"/>
  <c r="L32" i="48"/>
  <c r="L31" i="48"/>
  <c r="L30" i="48"/>
  <c r="L29" i="48"/>
  <c r="L28" i="48"/>
  <c r="L27" i="48"/>
  <c r="L26" i="48"/>
  <c r="L25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1" i="48"/>
  <c r="L10" i="48"/>
  <c r="L9" i="48"/>
  <c r="L8" i="48"/>
  <c r="L7" i="48"/>
  <c r="L6" i="48"/>
  <c r="L5" i="48"/>
  <c r="L4" i="48"/>
  <c r="K91" i="48"/>
  <c r="K90" i="48"/>
  <c r="K89" i="48"/>
  <c r="K88" i="48"/>
  <c r="K87" i="48"/>
  <c r="K86" i="48"/>
  <c r="K85" i="48"/>
  <c r="K84" i="48"/>
  <c r="K83" i="48"/>
  <c r="K82" i="48"/>
  <c r="K81" i="48"/>
  <c r="K80" i="48"/>
  <c r="K79" i="48"/>
  <c r="K78" i="48"/>
  <c r="K77" i="48"/>
  <c r="K76" i="48"/>
  <c r="K75" i="48"/>
  <c r="K74" i="48"/>
  <c r="K73" i="48"/>
  <c r="K72" i="48"/>
  <c r="K71" i="48"/>
  <c r="K70" i="48"/>
  <c r="K69" i="48"/>
  <c r="K68" i="48"/>
  <c r="K67" i="48"/>
  <c r="K66" i="48"/>
  <c r="K65" i="48"/>
  <c r="K64" i="48"/>
  <c r="K63" i="48"/>
  <c r="K62" i="48"/>
  <c r="K61" i="48"/>
  <c r="K60" i="48"/>
  <c r="K59" i="48"/>
  <c r="K58" i="48"/>
  <c r="K57" i="48"/>
  <c r="K56" i="48"/>
  <c r="K55" i="48"/>
  <c r="K54" i="48"/>
  <c r="K53" i="48"/>
  <c r="K52" i="48"/>
  <c r="K51" i="48"/>
  <c r="K50" i="48"/>
  <c r="K49" i="48"/>
  <c r="K48" i="48"/>
  <c r="K47" i="48"/>
  <c r="K46" i="48"/>
  <c r="K45" i="48"/>
  <c r="K44" i="48"/>
  <c r="K43" i="48"/>
  <c r="K42" i="48"/>
  <c r="K41" i="48"/>
  <c r="K40" i="48"/>
  <c r="K39" i="48"/>
  <c r="K38" i="48"/>
  <c r="K37" i="48"/>
  <c r="K36" i="48"/>
  <c r="K35" i="48"/>
  <c r="K34" i="48"/>
  <c r="K33" i="48"/>
  <c r="K32" i="48"/>
  <c r="K31" i="48"/>
  <c r="K30" i="48"/>
  <c r="K29" i="48"/>
  <c r="K28" i="48"/>
  <c r="K27" i="48"/>
  <c r="K26" i="48"/>
  <c r="K25" i="48"/>
  <c r="K24" i="48"/>
  <c r="K23" i="48"/>
  <c r="K22" i="48"/>
  <c r="K21" i="48"/>
  <c r="K20" i="48"/>
  <c r="K19" i="48"/>
  <c r="K18" i="48"/>
  <c r="K17" i="48"/>
  <c r="K16" i="48"/>
  <c r="K15" i="48"/>
  <c r="K14" i="48"/>
  <c r="K13" i="48"/>
  <c r="K12" i="48"/>
  <c r="K11" i="48"/>
  <c r="K10" i="48"/>
  <c r="K9" i="48"/>
  <c r="K8" i="48"/>
  <c r="K7" i="48"/>
  <c r="K6" i="48"/>
  <c r="K5" i="48"/>
  <c r="K4" i="48"/>
  <c r="KD33" i="49"/>
  <c r="KC33" i="49"/>
  <c r="KB33" i="49"/>
  <c r="KA33" i="49"/>
  <c r="JZ33" i="49"/>
  <c r="JY33" i="49"/>
  <c r="JX33" i="49"/>
  <c r="JW33" i="49"/>
  <c r="JV33" i="49"/>
  <c r="JU33" i="49"/>
  <c r="JT33" i="49"/>
  <c r="JS33" i="49"/>
  <c r="KD32" i="49"/>
  <c r="KC32" i="49"/>
  <c r="KB32" i="49"/>
  <c r="KA32" i="49"/>
  <c r="JZ32" i="49"/>
  <c r="JY32" i="49"/>
  <c r="JX32" i="49"/>
  <c r="JW32" i="49"/>
  <c r="JV32" i="49"/>
  <c r="JU32" i="49"/>
  <c r="JT32" i="49"/>
  <c r="JS32" i="49"/>
  <c r="KD31" i="49"/>
  <c r="KC31" i="49"/>
  <c r="KB31" i="49"/>
  <c r="KA31" i="49"/>
  <c r="JZ31" i="49"/>
  <c r="JY31" i="49"/>
  <c r="JX31" i="49"/>
  <c r="JW31" i="49"/>
  <c r="JV31" i="49"/>
  <c r="JU31" i="49"/>
  <c r="JT31" i="49"/>
  <c r="JS31" i="49"/>
  <c r="KD30" i="49"/>
  <c r="KC30" i="49"/>
  <c r="KB30" i="49"/>
  <c r="KA30" i="49"/>
  <c r="JZ30" i="49"/>
  <c r="JY30" i="49"/>
  <c r="JX30" i="49"/>
  <c r="JW30" i="49"/>
  <c r="JV30" i="49"/>
  <c r="JU30" i="49"/>
  <c r="JT30" i="49"/>
  <c r="JS30" i="49"/>
  <c r="KD29" i="49"/>
  <c r="KC29" i="49"/>
  <c r="KB29" i="49"/>
  <c r="KA29" i="49"/>
  <c r="JZ29" i="49"/>
  <c r="JY29" i="49"/>
  <c r="JX29" i="49"/>
  <c r="JW29" i="49"/>
  <c r="JV29" i="49"/>
  <c r="JU29" i="49"/>
  <c r="JT29" i="49"/>
  <c r="JS29" i="49"/>
  <c r="KD28" i="49"/>
  <c r="KC28" i="49"/>
  <c r="KB28" i="49"/>
  <c r="KA28" i="49"/>
  <c r="JZ28" i="49"/>
  <c r="JY28" i="49"/>
  <c r="JX28" i="49"/>
  <c r="JW28" i="49"/>
  <c r="JV28" i="49"/>
  <c r="JU28" i="49"/>
  <c r="JT28" i="49"/>
  <c r="JS28" i="49"/>
  <c r="KD27" i="49"/>
  <c r="KC27" i="49"/>
  <c r="KB27" i="49"/>
  <c r="KA27" i="49"/>
  <c r="JZ27" i="49"/>
  <c r="JY27" i="49"/>
  <c r="JX27" i="49"/>
  <c r="JW27" i="49"/>
  <c r="JV27" i="49"/>
  <c r="JU27" i="49"/>
  <c r="JT27" i="49"/>
  <c r="JS27" i="49"/>
  <c r="KD26" i="49"/>
  <c r="KC26" i="49"/>
  <c r="KB26" i="49"/>
  <c r="KA26" i="49"/>
  <c r="JZ26" i="49"/>
  <c r="JY26" i="49"/>
  <c r="JX26" i="49"/>
  <c r="JW26" i="49"/>
  <c r="JV26" i="49"/>
  <c r="JU26" i="49"/>
  <c r="JT26" i="49"/>
  <c r="JS26" i="49"/>
  <c r="KD25" i="49"/>
  <c r="KC25" i="49"/>
  <c r="KB25" i="49"/>
  <c r="KA25" i="49"/>
  <c r="JZ25" i="49"/>
  <c r="JY25" i="49"/>
  <c r="JX25" i="49"/>
  <c r="JW25" i="49"/>
  <c r="JV25" i="49"/>
  <c r="JU25" i="49"/>
  <c r="JT25" i="49"/>
  <c r="JS25" i="49"/>
  <c r="KD24" i="49"/>
  <c r="KC24" i="49"/>
  <c r="KB24" i="49"/>
  <c r="KA24" i="49"/>
  <c r="JZ24" i="49"/>
  <c r="JY24" i="49"/>
  <c r="JX24" i="49"/>
  <c r="JW24" i="49"/>
  <c r="JV24" i="49"/>
  <c r="JU24" i="49"/>
  <c r="JT24" i="49"/>
  <c r="JS24" i="49"/>
  <c r="KD23" i="49"/>
  <c r="KC23" i="49"/>
  <c r="KB23" i="49"/>
  <c r="KA23" i="49"/>
  <c r="JZ23" i="49"/>
  <c r="JY23" i="49"/>
  <c r="JX23" i="49"/>
  <c r="JW23" i="49"/>
  <c r="JV23" i="49"/>
  <c r="JU23" i="49"/>
  <c r="JT23" i="49"/>
  <c r="JS23" i="49"/>
  <c r="KD22" i="49"/>
  <c r="KC22" i="49"/>
  <c r="KB22" i="49"/>
  <c r="KA22" i="49"/>
  <c r="JZ22" i="49"/>
  <c r="JY22" i="49"/>
  <c r="JX22" i="49"/>
  <c r="JW22" i="49"/>
  <c r="JV22" i="49"/>
  <c r="JU22" i="49"/>
  <c r="JT22" i="49"/>
  <c r="JS22" i="49"/>
  <c r="KD21" i="49"/>
  <c r="KC21" i="49"/>
  <c r="KB21" i="49"/>
  <c r="KA21" i="49"/>
  <c r="JZ21" i="49"/>
  <c r="JY21" i="49"/>
  <c r="JX21" i="49"/>
  <c r="JW21" i="49"/>
  <c r="JV21" i="49"/>
  <c r="JU21" i="49"/>
  <c r="JT21" i="49"/>
  <c r="JS21" i="49"/>
  <c r="KD20" i="49"/>
  <c r="KC20" i="49"/>
  <c r="KB20" i="49"/>
  <c r="KA20" i="49"/>
  <c r="JZ20" i="49"/>
  <c r="JY20" i="49"/>
  <c r="JX20" i="49"/>
  <c r="JW20" i="49"/>
  <c r="JV20" i="49"/>
  <c r="JU20" i="49"/>
  <c r="JT20" i="49"/>
  <c r="JS20" i="49"/>
  <c r="KD19" i="49"/>
  <c r="KC19" i="49"/>
  <c r="KB19" i="49"/>
  <c r="KA19" i="49"/>
  <c r="JZ19" i="49"/>
  <c r="JY19" i="49"/>
  <c r="JX19" i="49"/>
  <c r="JW19" i="49"/>
  <c r="JV19" i="49"/>
  <c r="JU19" i="49"/>
  <c r="JT19" i="49"/>
  <c r="JS19" i="49"/>
  <c r="KD18" i="49"/>
  <c r="KC18" i="49"/>
  <c r="KB18" i="49"/>
  <c r="KA18" i="49"/>
  <c r="JZ18" i="49"/>
  <c r="JY18" i="49"/>
  <c r="JX18" i="49"/>
  <c r="JW18" i="49"/>
  <c r="JV18" i="49"/>
  <c r="JU18" i="49"/>
  <c r="JT18" i="49"/>
  <c r="JS18" i="49"/>
  <c r="KD17" i="49"/>
  <c r="KC17" i="49"/>
  <c r="KB17" i="49"/>
  <c r="KA17" i="49"/>
  <c r="JZ17" i="49"/>
  <c r="JY17" i="49"/>
  <c r="JX17" i="49"/>
  <c r="JW17" i="49"/>
  <c r="JV17" i="49"/>
  <c r="JU17" i="49"/>
  <c r="JT17" i="49"/>
  <c r="JS17" i="49"/>
  <c r="KD16" i="49"/>
  <c r="KC16" i="49"/>
  <c r="KB16" i="49"/>
  <c r="KA16" i="49"/>
  <c r="JZ16" i="49"/>
  <c r="JY16" i="49"/>
  <c r="JX16" i="49"/>
  <c r="JW16" i="49"/>
  <c r="JV16" i="49"/>
  <c r="JU16" i="49"/>
  <c r="JT16" i="49"/>
  <c r="JS16" i="49"/>
  <c r="KD15" i="49"/>
  <c r="KC15" i="49"/>
  <c r="KB15" i="49"/>
  <c r="KA15" i="49"/>
  <c r="JZ15" i="49"/>
  <c r="JY15" i="49"/>
  <c r="JX15" i="49"/>
  <c r="JW15" i="49"/>
  <c r="JV15" i="49"/>
  <c r="JU15" i="49"/>
  <c r="JT15" i="49"/>
  <c r="JS15" i="49"/>
  <c r="KD14" i="49"/>
  <c r="KC14" i="49"/>
  <c r="KB14" i="49"/>
  <c r="KA14" i="49"/>
  <c r="JZ14" i="49"/>
  <c r="JY14" i="49"/>
  <c r="JX14" i="49"/>
  <c r="JW14" i="49"/>
  <c r="JV14" i="49"/>
  <c r="JU14" i="49"/>
  <c r="JT14" i="49"/>
  <c r="JS14" i="49"/>
  <c r="KD13" i="49"/>
  <c r="KC13" i="49"/>
  <c r="KB13" i="49"/>
  <c r="KA13" i="49"/>
  <c r="JZ13" i="49"/>
  <c r="JY13" i="49"/>
  <c r="JX13" i="49"/>
  <c r="JW13" i="49"/>
  <c r="JV13" i="49"/>
  <c r="JU13" i="49"/>
  <c r="JT13" i="49"/>
  <c r="JS13" i="49"/>
  <c r="KD12" i="49"/>
  <c r="KC12" i="49"/>
  <c r="KB12" i="49"/>
  <c r="KA12" i="49"/>
  <c r="JZ12" i="49"/>
  <c r="JY12" i="49"/>
  <c r="JX12" i="49"/>
  <c r="JW12" i="49"/>
  <c r="JV12" i="49"/>
  <c r="JU12" i="49"/>
  <c r="JT12" i="49"/>
  <c r="JS12" i="49"/>
  <c r="KD11" i="49"/>
  <c r="KC11" i="49"/>
  <c r="KB11" i="49"/>
  <c r="KA11" i="49"/>
  <c r="JZ11" i="49"/>
  <c r="JY11" i="49"/>
  <c r="JX11" i="49"/>
  <c r="JW11" i="49"/>
  <c r="JV11" i="49"/>
  <c r="JU11" i="49"/>
  <c r="JT11" i="49"/>
  <c r="JS11" i="49"/>
  <c r="KD10" i="49"/>
  <c r="KC10" i="49"/>
  <c r="KB10" i="49"/>
  <c r="KA10" i="49"/>
  <c r="JZ10" i="49"/>
  <c r="JY10" i="49"/>
  <c r="JX10" i="49"/>
  <c r="JW10" i="49"/>
  <c r="JV10" i="49"/>
  <c r="JU10" i="49"/>
  <c r="JT10" i="49"/>
  <c r="JS10" i="49"/>
  <c r="KD9" i="49"/>
  <c r="KC9" i="49"/>
  <c r="KB9" i="49"/>
  <c r="KA9" i="49"/>
  <c r="JZ9" i="49"/>
  <c r="JY9" i="49"/>
  <c r="JX9" i="49"/>
  <c r="JW9" i="49"/>
  <c r="JV9" i="49"/>
  <c r="JU9" i="49"/>
  <c r="JT9" i="49"/>
  <c r="JS9" i="49"/>
  <c r="KD8" i="49"/>
  <c r="KC8" i="49"/>
  <c r="KB8" i="49"/>
  <c r="KA8" i="49"/>
  <c r="JZ8" i="49"/>
  <c r="JY8" i="49"/>
  <c r="JX8" i="49"/>
  <c r="JW8" i="49"/>
  <c r="JV8" i="49"/>
  <c r="JU8" i="49"/>
  <c r="JT8" i="49"/>
  <c r="JS8" i="49"/>
  <c r="KD7" i="49"/>
  <c r="KC7" i="49"/>
  <c r="KB7" i="49"/>
  <c r="KA7" i="49"/>
  <c r="JZ7" i="49"/>
  <c r="JY7" i="49"/>
  <c r="JX7" i="49"/>
  <c r="JW7" i="49"/>
  <c r="JV7" i="49"/>
  <c r="JU7" i="49"/>
  <c r="JT7" i="49"/>
  <c r="JS7" i="49"/>
  <c r="KD6" i="49"/>
  <c r="KC6" i="49"/>
  <c r="KB6" i="49"/>
  <c r="KA6" i="49"/>
  <c r="JZ6" i="49"/>
  <c r="JY6" i="49"/>
  <c r="JX6" i="49"/>
  <c r="JW6" i="49"/>
  <c r="JV6" i="49"/>
  <c r="JU6" i="49"/>
  <c r="JT6" i="49"/>
  <c r="JS6" i="49"/>
  <c r="JR33" i="49"/>
  <c r="JQ33" i="49"/>
  <c r="JP33" i="49"/>
  <c r="JO33" i="49"/>
  <c r="JN33" i="49"/>
  <c r="JM33" i="49"/>
  <c r="JL33" i="49"/>
  <c r="JK33" i="49"/>
  <c r="JJ33" i="49"/>
  <c r="JI33" i="49"/>
  <c r="JH33" i="49"/>
  <c r="JG33" i="49"/>
  <c r="JR32" i="49"/>
  <c r="JQ32" i="49"/>
  <c r="JP32" i="49"/>
  <c r="JO32" i="49"/>
  <c r="JN32" i="49"/>
  <c r="JM32" i="49"/>
  <c r="JL32" i="49"/>
  <c r="JK32" i="49"/>
  <c r="JJ32" i="49"/>
  <c r="JI32" i="49"/>
  <c r="JH32" i="49"/>
  <c r="JG32" i="49"/>
  <c r="JR31" i="49"/>
  <c r="JQ31" i="49"/>
  <c r="JP31" i="49"/>
  <c r="JO31" i="49"/>
  <c r="JN31" i="49"/>
  <c r="JM31" i="49"/>
  <c r="JL31" i="49"/>
  <c r="JK31" i="49"/>
  <c r="JJ31" i="49"/>
  <c r="JI31" i="49"/>
  <c r="JH31" i="49"/>
  <c r="JG31" i="49"/>
  <c r="JR30" i="49"/>
  <c r="JQ30" i="49"/>
  <c r="JP30" i="49"/>
  <c r="JO30" i="49"/>
  <c r="JN30" i="49"/>
  <c r="JM30" i="49"/>
  <c r="JL30" i="49"/>
  <c r="JK30" i="49"/>
  <c r="JJ30" i="49"/>
  <c r="JI30" i="49"/>
  <c r="JH30" i="49"/>
  <c r="JG30" i="49"/>
  <c r="JR29" i="49"/>
  <c r="JQ29" i="49"/>
  <c r="JP29" i="49"/>
  <c r="JO29" i="49"/>
  <c r="JN29" i="49"/>
  <c r="JM29" i="49"/>
  <c r="JL29" i="49"/>
  <c r="JK29" i="49"/>
  <c r="JJ29" i="49"/>
  <c r="JI29" i="49"/>
  <c r="JH29" i="49"/>
  <c r="JG29" i="49"/>
  <c r="JR28" i="49"/>
  <c r="JQ28" i="49"/>
  <c r="JP28" i="49"/>
  <c r="JO28" i="49"/>
  <c r="JN28" i="49"/>
  <c r="JM28" i="49"/>
  <c r="JL28" i="49"/>
  <c r="JK28" i="49"/>
  <c r="JJ28" i="49"/>
  <c r="JI28" i="49"/>
  <c r="JH28" i="49"/>
  <c r="JG28" i="49"/>
  <c r="JR27" i="49"/>
  <c r="JQ27" i="49"/>
  <c r="JP27" i="49"/>
  <c r="JO27" i="49"/>
  <c r="JN27" i="49"/>
  <c r="JM27" i="49"/>
  <c r="JL27" i="49"/>
  <c r="JK27" i="49"/>
  <c r="JJ27" i="49"/>
  <c r="JI27" i="49"/>
  <c r="JH27" i="49"/>
  <c r="JG27" i="49"/>
  <c r="JR26" i="49"/>
  <c r="JQ26" i="49"/>
  <c r="JP26" i="49"/>
  <c r="JO26" i="49"/>
  <c r="JN26" i="49"/>
  <c r="JM26" i="49"/>
  <c r="JL26" i="49"/>
  <c r="JK26" i="49"/>
  <c r="JJ26" i="49"/>
  <c r="JI26" i="49"/>
  <c r="JH26" i="49"/>
  <c r="JG26" i="49"/>
  <c r="JR25" i="49"/>
  <c r="JQ25" i="49"/>
  <c r="JP25" i="49"/>
  <c r="JO25" i="49"/>
  <c r="JN25" i="49"/>
  <c r="JM25" i="49"/>
  <c r="JL25" i="49"/>
  <c r="JK25" i="49"/>
  <c r="JJ25" i="49"/>
  <c r="JI25" i="49"/>
  <c r="JH25" i="49"/>
  <c r="JG25" i="49"/>
  <c r="JR24" i="49"/>
  <c r="JQ24" i="49"/>
  <c r="JP24" i="49"/>
  <c r="JO24" i="49"/>
  <c r="JN24" i="49"/>
  <c r="JM24" i="49"/>
  <c r="JL24" i="49"/>
  <c r="JK24" i="49"/>
  <c r="JJ24" i="49"/>
  <c r="JI24" i="49"/>
  <c r="JH24" i="49"/>
  <c r="JG24" i="49"/>
  <c r="JR23" i="49"/>
  <c r="JQ23" i="49"/>
  <c r="JP23" i="49"/>
  <c r="JO23" i="49"/>
  <c r="JN23" i="49"/>
  <c r="JM23" i="49"/>
  <c r="JL23" i="49"/>
  <c r="JK23" i="49"/>
  <c r="JJ23" i="49"/>
  <c r="JI23" i="49"/>
  <c r="JH23" i="49"/>
  <c r="JG23" i="49"/>
  <c r="JR22" i="49"/>
  <c r="JQ22" i="49"/>
  <c r="JP22" i="49"/>
  <c r="JO22" i="49"/>
  <c r="JN22" i="49"/>
  <c r="JM22" i="49"/>
  <c r="JL22" i="49"/>
  <c r="JK22" i="49"/>
  <c r="JJ22" i="49"/>
  <c r="JI22" i="49"/>
  <c r="JH22" i="49"/>
  <c r="JG22" i="49"/>
  <c r="JR21" i="49"/>
  <c r="JQ21" i="49"/>
  <c r="JP21" i="49"/>
  <c r="JO21" i="49"/>
  <c r="JN21" i="49"/>
  <c r="JM21" i="49"/>
  <c r="JL21" i="49"/>
  <c r="JK21" i="49"/>
  <c r="JJ21" i="49"/>
  <c r="JI21" i="49"/>
  <c r="JH21" i="49"/>
  <c r="JG21" i="49"/>
  <c r="JR20" i="49"/>
  <c r="JQ20" i="49"/>
  <c r="JP20" i="49"/>
  <c r="JO20" i="49"/>
  <c r="JN20" i="49"/>
  <c r="JM20" i="49"/>
  <c r="JL20" i="49"/>
  <c r="JK20" i="49"/>
  <c r="JJ20" i="49"/>
  <c r="JI20" i="49"/>
  <c r="JH20" i="49"/>
  <c r="JG20" i="49"/>
  <c r="JR19" i="49"/>
  <c r="JQ19" i="49"/>
  <c r="JP19" i="49"/>
  <c r="JO19" i="49"/>
  <c r="JN19" i="49"/>
  <c r="JM19" i="49"/>
  <c r="JL19" i="49"/>
  <c r="JK19" i="49"/>
  <c r="JJ19" i="49"/>
  <c r="JI19" i="49"/>
  <c r="JH19" i="49"/>
  <c r="JG19" i="49"/>
  <c r="JR18" i="49"/>
  <c r="JQ18" i="49"/>
  <c r="JP18" i="49"/>
  <c r="JO18" i="49"/>
  <c r="JN18" i="49"/>
  <c r="JM18" i="49"/>
  <c r="JL18" i="49"/>
  <c r="JK18" i="49"/>
  <c r="JJ18" i="49"/>
  <c r="JI18" i="49"/>
  <c r="JH18" i="49"/>
  <c r="JG18" i="49"/>
  <c r="JR17" i="49"/>
  <c r="JQ17" i="49"/>
  <c r="JP17" i="49"/>
  <c r="JO17" i="49"/>
  <c r="JN17" i="49"/>
  <c r="JM17" i="49"/>
  <c r="JL17" i="49"/>
  <c r="JK17" i="49"/>
  <c r="JJ17" i="49"/>
  <c r="JI17" i="49"/>
  <c r="JH17" i="49"/>
  <c r="JG17" i="49"/>
  <c r="JR16" i="49"/>
  <c r="JQ16" i="49"/>
  <c r="JP16" i="49"/>
  <c r="JO16" i="49"/>
  <c r="JN16" i="49"/>
  <c r="JM16" i="49"/>
  <c r="JL16" i="49"/>
  <c r="JK16" i="49"/>
  <c r="JJ16" i="49"/>
  <c r="JI16" i="49"/>
  <c r="JH16" i="49"/>
  <c r="JG16" i="49"/>
  <c r="JR15" i="49"/>
  <c r="JQ15" i="49"/>
  <c r="JP15" i="49"/>
  <c r="JO15" i="49"/>
  <c r="JN15" i="49"/>
  <c r="JM15" i="49"/>
  <c r="JL15" i="49"/>
  <c r="JK15" i="49"/>
  <c r="JJ15" i="49"/>
  <c r="JI15" i="49"/>
  <c r="JH15" i="49"/>
  <c r="JG15" i="49"/>
  <c r="JR14" i="49"/>
  <c r="JQ14" i="49"/>
  <c r="JP14" i="49"/>
  <c r="JO14" i="49"/>
  <c r="JN14" i="49"/>
  <c r="JM14" i="49"/>
  <c r="JL14" i="49"/>
  <c r="JK14" i="49"/>
  <c r="JJ14" i="49"/>
  <c r="JI14" i="49"/>
  <c r="JH14" i="49"/>
  <c r="JG14" i="49"/>
  <c r="JR13" i="49"/>
  <c r="JQ13" i="49"/>
  <c r="JP13" i="49"/>
  <c r="JO13" i="49"/>
  <c r="JN13" i="49"/>
  <c r="JM13" i="49"/>
  <c r="JL13" i="49"/>
  <c r="JK13" i="49"/>
  <c r="JJ13" i="49"/>
  <c r="JI13" i="49"/>
  <c r="JH13" i="49"/>
  <c r="JG13" i="49"/>
  <c r="JR12" i="49"/>
  <c r="JQ12" i="49"/>
  <c r="JP12" i="49"/>
  <c r="JO12" i="49"/>
  <c r="JN12" i="49"/>
  <c r="JM12" i="49"/>
  <c r="JL12" i="49"/>
  <c r="JK12" i="49"/>
  <c r="JJ12" i="49"/>
  <c r="JI12" i="49"/>
  <c r="JH12" i="49"/>
  <c r="JG12" i="49"/>
  <c r="JR11" i="49"/>
  <c r="JQ11" i="49"/>
  <c r="JP11" i="49"/>
  <c r="JO11" i="49"/>
  <c r="JN11" i="49"/>
  <c r="JM11" i="49"/>
  <c r="JL11" i="49"/>
  <c r="JK11" i="49"/>
  <c r="JJ11" i="49"/>
  <c r="JI11" i="49"/>
  <c r="JH11" i="49"/>
  <c r="JG11" i="49"/>
  <c r="JR10" i="49"/>
  <c r="JQ10" i="49"/>
  <c r="JP10" i="49"/>
  <c r="JO10" i="49"/>
  <c r="JN10" i="49"/>
  <c r="JM10" i="49"/>
  <c r="JL10" i="49"/>
  <c r="JK10" i="49"/>
  <c r="JJ10" i="49"/>
  <c r="JI10" i="49"/>
  <c r="JH10" i="49"/>
  <c r="JG10" i="49"/>
  <c r="JR9" i="49"/>
  <c r="JQ9" i="49"/>
  <c r="JP9" i="49"/>
  <c r="JO9" i="49"/>
  <c r="JN9" i="49"/>
  <c r="JM9" i="49"/>
  <c r="JL9" i="49"/>
  <c r="JK9" i="49"/>
  <c r="JJ9" i="49"/>
  <c r="JI9" i="49"/>
  <c r="JH9" i="49"/>
  <c r="JG9" i="49"/>
  <c r="JR8" i="49"/>
  <c r="JQ8" i="49"/>
  <c r="JP8" i="49"/>
  <c r="JO8" i="49"/>
  <c r="JN8" i="49"/>
  <c r="JM8" i="49"/>
  <c r="JL8" i="49"/>
  <c r="JK8" i="49"/>
  <c r="JJ8" i="49"/>
  <c r="JI8" i="49"/>
  <c r="JH8" i="49"/>
  <c r="JG8" i="49"/>
  <c r="JR7" i="49"/>
  <c r="JQ7" i="49"/>
  <c r="JP7" i="49"/>
  <c r="JO7" i="49"/>
  <c r="JN7" i="49"/>
  <c r="JM7" i="49"/>
  <c r="JL7" i="49"/>
  <c r="JK7" i="49"/>
  <c r="JJ7" i="49"/>
  <c r="JI7" i="49"/>
  <c r="JH7" i="49"/>
  <c r="JG7" i="49"/>
  <c r="JR6" i="49"/>
  <c r="JQ6" i="49"/>
  <c r="JP6" i="49"/>
  <c r="JO6" i="49"/>
  <c r="JN6" i="49"/>
  <c r="JM6" i="49"/>
  <c r="JL6" i="49"/>
  <c r="JK6" i="49"/>
  <c r="JJ6" i="49"/>
  <c r="JI6" i="49"/>
  <c r="JH6" i="49"/>
  <c r="JG6" i="49"/>
  <c r="JF33" i="49"/>
  <c r="JE33" i="49"/>
  <c r="JD33" i="49"/>
  <c r="JC33" i="49"/>
  <c r="JB33" i="49"/>
  <c r="JA33" i="49"/>
  <c r="IZ33" i="49"/>
  <c r="IY33" i="49"/>
  <c r="IX33" i="49"/>
  <c r="IW33" i="49"/>
  <c r="IV33" i="49"/>
  <c r="IU33" i="49"/>
  <c r="JF32" i="49"/>
  <c r="JE32" i="49"/>
  <c r="JD32" i="49"/>
  <c r="JC32" i="49"/>
  <c r="JB32" i="49"/>
  <c r="JA32" i="49"/>
  <c r="IZ32" i="49"/>
  <c r="IY32" i="49"/>
  <c r="IX32" i="49"/>
  <c r="IW32" i="49"/>
  <c r="IV32" i="49"/>
  <c r="IU32" i="49"/>
  <c r="JF31" i="49"/>
  <c r="JE31" i="49"/>
  <c r="JD31" i="49"/>
  <c r="JC31" i="49"/>
  <c r="JB31" i="49"/>
  <c r="JA31" i="49"/>
  <c r="IZ31" i="49"/>
  <c r="IY31" i="49"/>
  <c r="IX31" i="49"/>
  <c r="IW31" i="49"/>
  <c r="IV31" i="49"/>
  <c r="IU31" i="49"/>
  <c r="JF30" i="49"/>
  <c r="JE30" i="49"/>
  <c r="JD30" i="49"/>
  <c r="JC30" i="49"/>
  <c r="JB30" i="49"/>
  <c r="JA30" i="49"/>
  <c r="IZ30" i="49"/>
  <c r="IY30" i="49"/>
  <c r="IX30" i="49"/>
  <c r="IW30" i="49"/>
  <c r="IV30" i="49"/>
  <c r="IU30" i="49"/>
  <c r="JF29" i="49"/>
  <c r="JE29" i="49"/>
  <c r="JD29" i="49"/>
  <c r="JC29" i="49"/>
  <c r="JB29" i="49"/>
  <c r="JA29" i="49"/>
  <c r="IZ29" i="49"/>
  <c r="IY29" i="49"/>
  <c r="IX29" i="49"/>
  <c r="IW29" i="49"/>
  <c r="IV29" i="49"/>
  <c r="IU29" i="49"/>
  <c r="JF28" i="49"/>
  <c r="JE28" i="49"/>
  <c r="JD28" i="49"/>
  <c r="JC28" i="49"/>
  <c r="JB28" i="49"/>
  <c r="JA28" i="49"/>
  <c r="IZ28" i="49"/>
  <c r="IY28" i="49"/>
  <c r="IX28" i="49"/>
  <c r="IW28" i="49"/>
  <c r="IV28" i="49"/>
  <c r="IU28" i="49"/>
  <c r="JF27" i="49"/>
  <c r="JE27" i="49"/>
  <c r="JD27" i="49"/>
  <c r="JC27" i="49"/>
  <c r="JB27" i="49"/>
  <c r="JA27" i="49"/>
  <c r="IZ27" i="49"/>
  <c r="IY27" i="49"/>
  <c r="IX27" i="49"/>
  <c r="IW27" i="49"/>
  <c r="IV27" i="49"/>
  <c r="IU27" i="49"/>
  <c r="JF26" i="49"/>
  <c r="JE26" i="49"/>
  <c r="JD26" i="49"/>
  <c r="JC26" i="49"/>
  <c r="JB26" i="49"/>
  <c r="JA26" i="49"/>
  <c r="IZ26" i="49"/>
  <c r="IY26" i="49"/>
  <c r="IX26" i="49"/>
  <c r="IW26" i="49"/>
  <c r="IV26" i="49"/>
  <c r="IU26" i="49"/>
  <c r="JF25" i="49"/>
  <c r="JE25" i="49"/>
  <c r="JD25" i="49"/>
  <c r="JC25" i="49"/>
  <c r="JB25" i="49"/>
  <c r="JA25" i="49"/>
  <c r="IZ25" i="49"/>
  <c r="IY25" i="49"/>
  <c r="IX25" i="49"/>
  <c r="IW25" i="49"/>
  <c r="IV25" i="49"/>
  <c r="IU25" i="49"/>
  <c r="JF24" i="49"/>
  <c r="JE24" i="49"/>
  <c r="JD24" i="49"/>
  <c r="JC24" i="49"/>
  <c r="JB24" i="49"/>
  <c r="JA24" i="49"/>
  <c r="IZ24" i="49"/>
  <c r="IY24" i="49"/>
  <c r="IX24" i="49"/>
  <c r="IW24" i="49"/>
  <c r="IV24" i="49"/>
  <c r="IU24" i="49"/>
  <c r="JF23" i="49"/>
  <c r="JE23" i="49"/>
  <c r="JD23" i="49"/>
  <c r="JC23" i="49"/>
  <c r="JB23" i="49"/>
  <c r="JA23" i="49"/>
  <c r="IZ23" i="49"/>
  <c r="IY23" i="49"/>
  <c r="IX23" i="49"/>
  <c r="IW23" i="49"/>
  <c r="IV23" i="49"/>
  <c r="IU23" i="49"/>
  <c r="JF22" i="49"/>
  <c r="JE22" i="49"/>
  <c r="JD22" i="49"/>
  <c r="JC22" i="49"/>
  <c r="JB22" i="49"/>
  <c r="JA22" i="49"/>
  <c r="IZ22" i="49"/>
  <c r="IY22" i="49"/>
  <c r="IX22" i="49"/>
  <c r="IW22" i="49"/>
  <c r="IV22" i="49"/>
  <c r="IU22" i="49"/>
  <c r="JF21" i="49"/>
  <c r="JE21" i="49"/>
  <c r="JD21" i="49"/>
  <c r="JC21" i="49"/>
  <c r="JB21" i="49"/>
  <c r="JA21" i="49"/>
  <c r="IZ21" i="49"/>
  <c r="IY21" i="49"/>
  <c r="IX21" i="49"/>
  <c r="IW21" i="49"/>
  <c r="IV21" i="49"/>
  <c r="IU21" i="49"/>
  <c r="JF20" i="49"/>
  <c r="JE20" i="49"/>
  <c r="JD20" i="49"/>
  <c r="JC20" i="49"/>
  <c r="JB20" i="49"/>
  <c r="JA20" i="49"/>
  <c r="IZ20" i="49"/>
  <c r="IY20" i="49"/>
  <c r="IX20" i="49"/>
  <c r="IW20" i="49"/>
  <c r="IV20" i="49"/>
  <c r="IU20" i="49"/>
  <c r="JF19" i="49"/>
  <c r="JE19" i="49"/>
  <c r="JD19" i="49"/>
  <c r="JC19" i="49"/>
  <c r="JB19" i="49"/>
  <c r="JA19" i="49"/>
  <c r="IZ19" i="49"/>
  <c r="IY19" i="49"/>
  <c r="IX19" i="49"/>
  <c r="IW19" i="49"/>
  <c r="IV19" i="49"/>
  <c r="IU19" i="49"/>
  <c r="JF18" i="49"/>
  <c r="JE18" i="49"/>
  <c r="JD18" i="49"/>
  <c r="JC18" i="49"/>
  <c r="JB18" i="49"/>
  <c r="JA18" i="49"/>
  <c r="IZ18" i="49"/>
  <c r="IY18" i="49"/>
  <c r="IX18" i="49"/>
  <c r="IW18" i="49"/>
  <c r="IV18" i="49"/>
  <c r="IU18" i="49"/>
  <c r="JF17" i="49"/>
  <c r="JE17" i="49"/>
  <c r="JD17" i="49"/>
  <c r="JC17" i="49"/>
  <c r="JB17" i="49"/>
  <c r="JA17" i="49"/>
  <c r="IZ17" i="49"/>
  <c r="IY17" i="49"/>
  <c r="IX17" i="49"/>
  <c r="IW17" i="49"/>
  <c r="IV17" i="49"/>
  <c r="IU17" i="49"/>
  <c r="JF16" i="49"/>
  <c r="JE16" i="49"/>
  <c r="JD16" i="49"/>
  <c r="JC16" i="49"/>
  <c r="JB16" i="49"/>
  <c r="JA16" i="49"/>
  <c r="IZ16" i="49"/>
  <c r="IY16" i="49"/>
  <c r="IX16" i="49"/>
  <c r="IW16" i="49"/>
  <c r="IV16" i="49"/>
  <c r="IU16" i="49"/>
  <c r="JF15" i="49"/>
  <c r="JE15" i="49"/>
  <c r="JD15" i="49"/>
  <c r="JC15" i="49"/>
  <c r="JB15" i="49"/>
  <c r="JA15" i="49"/>
  <c r="IZ15" i="49"/>
  <c r="IY15" i="49"/>
  <c r="IX15" i="49"/>
  <c r="IW15" i="49"/>
  <c r="IV15" i="49"/>
  <c r="IU15" i="49"/>
  <c r="JF14" i="49"/>
  <c r="JE14" i="49"/>
  <c r="JD14" i="49"/>
  <c r="JC14" i="49"/>
  <c r="JB14" i="49"/>
  <c r="JA14" i="49"/>
  <c r="IZ14" i="49"/>
  <c r="IY14" i="49"/>
  <c r="IX14" i="49"/>
  <c r="IW14" i="49"/>
  <c r="IV14" i="49"/>
  <c r="IU14" i="49"/>
  <c r="JF13" i="49"/>
  <c r="JE13" i="49"/>
  <c r="JD13" i="49"/>
  <c r="JC13" i="49"/>
  <c r="JB13" i="49"/>
  <c r="JA13" i="49"/>
  <c r="IZ13" i="49"/>
  <c r="IY13" i="49"/>
  <c r="IX13" i="49"/>
  <c r="IW13" i="49"/>
  <c r="IV13" i="49"/>
  <c r="IU13" i="49"/>
  <c r="JF12" i="49"/>
  <c r="JE12" i="49"/>
  <c r="JD12" i="49"/>
  <c r="JC12" i="49"/>
  <c r="JB12" i="49"/>
  <c r="JA12" i="49"/>
  <c r="IZ12" i="49"/>
  <c r="IY12" i="49"/>
  <c r="IX12" i="49"/>
  <c r="IW12" i="49"/>
  <c r="IV12" i="49"/>
  <c r="IU12" i="49"/>
  <c r="JF11" i="49"/>
  <c r="JE11" i="49"/>
  <c r="JD11" i="49"/>
  <c r="JC11" i="49"/>
  <c r="JB11" i="49"/>
  <c r="JA11" i="49"/>
  <c r="IZ11" i="49"/>
  <c r="IY11" i="49"/>
  <c r="IX11" i="49"/>
  <c r="IW11" i="49"/>
  <c r="IV11" i="49"/>
  <c r="IU11" i="49"/>
  <c r="JF10" i="49"/>
  <c r="JE10" i="49"/>
  <c r="JD10" i="49"/>
  <c r="JC10" i="49"/>
  <c r="JB10" i="49"/>
  <c r="JA10" i="49"/>
  <c r="IZ10" i="49"/>
  <c r="IY10" i="49"/>
  <c r="IX10" i="49"/>
  <c r="IW10" i="49"/>
  <c r="IV10" i="49"/>
  <c r="IU10" i="49"/>
  <c r="JF9" i="49"/>
  <c r="JE9" i="49"/>
  <c r="JD9" i="49"/>
  <c r="JC9" i="49"/>
  <c r="JB9" i="49"/>
  <c r="JA9" i="49"/>
  <c r="IZ9" i="49"/>
  <c r="IY9" i="49"/>
  <c r="IX9" i="49"/>
  <c r="IW9" i="49"/>
  <c r="IV9" i="49"/>
  <c r="IU9" i="49"/>
  <c r="JF8" i="49"/>
  <c r="JE8" i="49"/>
  <c r="JD8" i="49"/>
  <c r="JC8" i="49"/>
  <c r="JB8" i="49"/>
  <c r="JA8" i="49"/>
  <c r="IZ8" i="49"/>
  <c r="IY8" i="49"/>
  <c r="IX8" i="49"/>
  <c r="IW8" i="49"/>
  <c r="IV8" i="49"/>
  <c r="IU8" i="49"/>
  <c r="JF7" i="49"/>
  <c r="JE7" i="49"/>
  <c r="JD7" i="49"/>
  <c r="JC7" i="49"/>
  <c r="JB7" i="49"/>
  <c r="JA7" i="49"/>
  <c r="IZ7" i="49"/>
  <c r="IY7" i="49"/>
  <c r="IX7" i="49"/>
  <c r="IW7" i="49"/>
  <c r="IV7" i="49"/>
  <c r="IU7" i="49"/>
  <c r="JF6" i="49"/>
  <c r="JE6" i="49"/>
  <c r="JD6" i="49"/>
  <c r="JC6" i="49"/>
  <c r="JB6" i="49"/>
  <c r="JA6" i="49"/>
  <c r="IZ6" i="49"/>
  <c r="IY6" i="49"/>
  <c r="IX6" i="49"/>
  <c r="IW6" i="49"/>
  <c r="IV6" i="49"/>
  <c r="IU6" i="49"/>
  <c r="IT33" i="49"/>
  <c r="IS33" i="49"/>
  <c r="IR33" i="49"/>
  <c r="IQ33" i="49"/>
  <c r="IP33" i="49"/>
  <c r="IO33" i="49"/>
  <c r="IN33" i="49"/>
  <c r="IM33" i="49"/>
  <c r="IL33" i="49"/>
  <c r="IK33" i="49"/>
  <c r="IJ33" i="49"/>
  <c r="II33" i="49"/>
  <c r="IT32" i="49"/>
  <c r="IS32" i="49"/>
  <c r="IR32" i="49"/>
  <c r="IQ32" i="49"/>
  <c r="IP32" i="49"/>
  <c r="IO32" i="49"/>
  <c r="IN32" i="49"/>
  <c r="IM32" i="49"/>
  <c r="IL32" i="49"/>
  <c r="IK32" i="49"/>
  <c r="IJ32" i="49"/>
  <c r="II32" i="49"/>
  <c r="IT31" i="49"/>
  <c r="IS31" i="49"/>
  <c r="IR31" i="49"/>
  <c r="IQ31" i="49"/>
  <c r="IP31" i="49"/>
  <c r="IO31" i="49"/>
  <c r="IN31" i="49"/>
  <c r="IM31" i="49"/>
  <c r="IL31" i="49"/>
  <c r="IK31" i="49"/>
  <c r="IJ31" i="49"/>
  <c r="II31" i="49"/>
  <c r="IT30" i="49"/>
  <c r="IS30" i="49"/>
  <c r="IR30" i="49"/>
  <c r="IQ30" i="49"/>
  <c r="IP30" i="49"/>
  <c r="IO30" i="49"/>
  <c r="IN30" i="49"/>
  <c r="IM30" i="49"/>
  <c r="IL30" i="49"/>
  <c r="IK30" i="49"/>
  <c r="IJ30" i="49"/>
  <c r="II30" i="49"/>
  <c r="IT29" i="49"/>
  <c r="IS29" i="49"/>
  <c r="IR29" i="49"/>
  <c r="IQ29" i="49"/>
  <c r="IP29" i="49"/>
  <c r="IO29" i="49"/>
  <c r="IN29" i="49"/>
  <c r="IM29" i="49"/>
  <c r="IL29" i="49"/>
  <c r="IK29" i="49"/>
  <c r="IJ29" i="49"/>
  <c r="II29" i="49"/>
  <c r="IT28" i="49"/>
  <c r="IS28" i="49"/>
  <c r="IR28" i="49"/>
  <c r="IQ28" i="49"/>
  <c r="IP28" i="49"/>
  <c r="IO28" i="49"/>
  <c r="IN28" i="49"/>
  <c r="IM28" i="49"/>
  <c r="IL28" i="49"/>
  <c r="IK28" i="49"/>
  <c r="IJ28" i="49"/>
  <c r="II28" i="49"/>
  <c r="IT27" i="49"/>
  <c r="IS27" i="49"/>
  <c r="IR27" i="49"/>
  <c r="IQ27" i="49"/>
  <c r="IP27" i="49"/>
  <c r="IO27" i="49"/>
  <c r="IN27" i="49"/>
  <c r="IM27" i="49"/>
  <c r="IL27" i="49"/>
  <c r="IK27" i="49"/>
  <c r="IJ27" i="49"/>
  <c r="II27" i="49"/>
  <c r="IT26" i="49"/>
  <c r="IS26" i="49"/>
  <c r="IR26" i="49"/>
  <c r="IQ26" i="49"/>
  <c r="IP26" i="49"/>
  <c r="IO26" i="49"/>
  <c r="IN26" i="49"/>
  <c r="IM26" i="49"/>
  <c r="IL26" i="49"/>
  <c r="IK26" i="49"/>
  <c r="IJ26" i="49"/>
  <c r="II26" i="49"/>
  <c r="IT25" i="49"/>
  <c r="IS25" i="49"/>
  <c r="IR25" i="49"/>
  <c r="IQ25" i="49"/>
  <c r="IP25" i="49"/>
  <c r="IO25" i="49"/>
  <c r="IN25" i="49"/>
  <c r="IM25" i="49"/>
  <c r="IL25" i="49"/>
  <c r="IK25" i="49"/>
  <c r="IJ25" i="49"/>
  <c r="II25" i="49"/>
  <c r="IT24" i="49"/>
  <c r="IS24" i="49"/>
  <c r="IR24" i="49"/>
  <c r="IQ24" i="49"/>
  <c r="IP24" i="49"/>
  <c r="IO24" i="49"/>
  <c r="IN24" i="49"/>
  <c r="IM24" i="49"/>
  <c r="IL24" i="49"/>
  <c r="IK24" i="49"/>
  <c r="IJ24" i="49"/>
  <c r="II24" i="49"/>
  <c r="IT23" i="49"/>
  <c r="IS23" i="49"/>
  <c r="IR23" i="49"/>
  <c r="IQ23" i="49"/>
  <c r="IP23" i="49"/>
  <c r="IO23" i="49"/>
  <c r="IN23" i="49"/>
  <c r="IM23" i="49"/>
  <c r="IL23" i="49"/>
  <c r="IK23" i="49"/>
  <c r="IJ23" i="49"/>
  <c r="II23" i="49"/>
  <c r="IT22" i="49"/>
  <c r="IS22" i="49"/>
  <c r="IR22" i="49"/>
  <c r="IQ22" i="49"/>
  <c r="IP22" i="49"/>
  <c r="IO22" i="49"/>
  <c r="IN22" i="49"/>
  <c r="IM22" i="49"/>
  <c r="IL22" i="49"/>
  <c r="IK22" i="49"/>
  <c r="IJ22" i="49"/>
  <c r="II22" i="49"/>
  <c r="IT21" i="49"/>
  <c r="IS21" i="49"/>
  <c r="IR21" i="49"/>
  <c r="IQ21" i="49"/>
  <c r="IP21" i="49"/>
  <c r="IO21" i="49"/>
  <c r="IN21" i="49"/>
  <c r="IM21" i="49"/>
  <c r="IL21" i="49"/>
  <c r="IK21" i="49"/>
  <c r="IJ21" i="49"/>
  <c r="II21" i="49"/>
  <c r="IT20" i="49"/>
  <c r="IS20" i="49"/>
  <c r="IR20" i="49"/>
  <c r="IQ20" i="49"/>
  <c r="IP20" i="49"/>
  <c r="IO20" i="49"/>
  <c r="IN20" i="49"/>
  <c r="IM20" i="49"/>
  <c r="IL20" i="49"/>
  <c r="IK20" i="49"/>
  <c r="IJ20" i="49"/>
  <c r="II20" i="49"/>
  <c r="IT19" i="49"/>
  <c r="IS19" i="49"/>
  <c r="IR19" i="49"/>
  <c r="IQ19" i="49"/>
  <c r="IP19" i="49"/>
  <c r="IO19" i="49"/>
  <c r="IN19" i="49"/>
  <c r="IM19" i="49"/>
  <c r="IL19" i="49"/>
  <c r="IK19" i="49"/>
  <c r="IJ19" i="49"/>
  <c r="II19" i="49"/>
  <c r="IT18" i="49"/>
  <c r="IS18" i="49"/>
  <c r="IR18" i="49"/>
  <c r="IQ18" i="49"/>
  <c r="IP18" i="49"/>
  <c r="IO18" i="49"/>
  <c r="IN18" i="49"/>
  <c r="IM18" i="49"/>
  <c r="IL18" i="49"/>
  <c r="IK18" i="49"/>
  <c r="IJ18" i="49"/>
  <c r="II18" i="49"/>
  <c r="IT17" i="49"/>
  <c r="IS17" i="49"/>
  <c r="IR17" i="49"/>
  <c r="IQ17" i="49"/>
  <c r="IP17" i="49"/>
  <c r="IO17" i="49"/>
  <c r="IN17" i="49"/>
  <c r="IM17" i="49"/>
  <c r="IL17" i="49"/>
  <c r="IK17" i="49"/>
  <c r="IJ17" i="49"/>
  <c r="II17" i="49"/>
  <c r="IT16" i="49"/>
  <c r="IS16" i="49"/>
  <c r="IR16" i="49"/>
  <c r="IQ16" i="49"/>
  <c r="IP16" i="49"/>
  <c r="IO16" i="49"/>
  <c r="IN16" i="49"/>
  <c r="IM16" i="49"/>
  <c r="IL16" i="49"/>
  <c r="IK16" i="49"/>
  <c r="IJ16" i="49"/>
  <c r="II16" i="49"/>
  <c r="IT15" i="49"/>
  <c r="IS15" i="49"/>
  <c r="IR15" i="49"/>
  <c r="IQ15" i="49"/>
  <c r="IP15" i="49"/>
  <c r="IO15" i="49"/>
  <c r="IN15" i="49"/>
  <c r="IM15" i="49"/>
  <c r="IL15" i="49"/>
  <c r="IK15" i="49"/>
  <c r="IJ15" i="49"/>
  <c r="II15" i="49"/>
  <c r="IT14" i="49"/>
  <c r="IS14" i="49"/>
  <c r="IR14" i="49"/>
  <c r="IQ14" i="49"/>
  <c r="IP14" i="49"/>
  <c r="IO14" i="49"/>
  <c r="IN14" i="49"/>
  <c r="IM14" i="49"/>
  <c r="IL14" i="49"/>
  <c r="IK14" i="49"/>
  <c r="IJ14" i="49"/>
  <c r="II14" i="49"/>
  <c r="IT13" i="49"/>
  <c r="IS13" i="49"/>
  <c r="IR13" i="49"/>
  <c r="IQ13" i="49"/>
  <c r="IP13" i="49"/>
  <c r="IO13" i="49"/>
  <c r="IN13" i="49"/>
  <c r="IM13" i="49"/>
  <c r="IL13" i="49"/>
  <c r="IK13" i="49"/>
  <c r="IJ13" i="49"/>
  <c r="II13" i="49"/>
  <c r="IT12" i="49"/>
  <c r="IS12" i="49"/>
  <c r="IR12" i="49"/>
  <c r="IQ12" i="49"/>
  <c r="IP12" i="49"/>
  <c r="IO12" i="49"/>
  <c r="IN12" i="49"/>
  <c r="IM12" i="49"/>
  <c r="IL12" i="49"/>
  <c r="IK12" i="49"/>
  <c r="IJ12" i="49"/>
  <c r="II12" i="49"/>
  <c r="IT11" i="49"/>
  <c r="IS11" i="49"/>
  <c r="IR11" i="49"/>
  <c r="IQ11" i="49"/>
  <c r="IP11" i="49"/>
  <c r="IO11" i="49"/>
  <c r="IN11" i="49"/>
  <c r="IM11" i="49"/>
  <c r="IL11" i="49"/>
  <c r="IK11" i="49"/>
  <c r="IJ11" i="49"/>
  <c r="II11" i="49"/>
  <c r="IT10" i="49"/>
  <c r="IS10" i="49"/>
  <c r="IR10" i="49"/>
  <c r="IQ10" i="49"/>
  <c r="IP10" i="49"/>
  <c r="IO10" i="49"/>
  <c r="IN10" i="49"/>
  <c r="IM10" i="49"/>
  <c r="IL10" i="49"/>
  <c r="IK10" i="49"/>
  <c r="IJ10" i="49"/>
  <c r="II10" i="49"/>
  <c r="IT9" i="49"/>
  <c r="IS9" i="49"/>
  <c r="IR9" i="49"/>
  <c r="IQ9" i="49"/>
  <c r="IP9" i="49"/>
  <c r="IO9" i="49"/>
  <c r="IN9" i="49"/>
  <c r="IM9" i="49"/>
  <c r="IL9" i="49"/>
  <c r="IK9" i="49"/>
  <c r="IJ9" i="49"/>
  <c r="II9" i="49"/>
  <c r="IT8" i="49"/>
  <c r="IS8" i="49"/>
  <c r="IR8" i="49"/>
  <c r="IQ8" i="49"/>
  <c r="IP8" i="49"/>
  <c r="IO8" i="49"/>
  <c r="IN8" i="49"/>
  <c r="IM8" i="49"/>
  <c r="IL8" i="49"/>
  <c r="IK8" i="49"/>
  <c r="IJ8" i="49"/>
  <c r="II8" i="49"/>
  <c r="IT7" i="49"/>
  <c r="IS7" i="49"/>
  <c r="IR7" i="49"/>
  <c r="IQ7" i="49"/>
  <c r="IP7" i="49"/>
  <c r="IO7" i="49"/>
  <c r="IN7" i="49"/>
  <c r="IM7" i="49"/>
  <c r="IL7" i="49"/>
  <c r="IK7" i="49"/>
  <c r="IJ7" i="49"/>
  <c r="II7" i="49"/>
  <c r="IT6" i="49"/>
  <c r="IS6" i="49"/>
  <c r="IR6" i="49"/>
  <c r="IQ6" i="49"/>
  <c r="IP6" i="49"/>
  <c r="IO6" i="49"/>
  <c r="IN6" i="49"/>
  <c r="IM6" i="49"/>
  <c r="IL6" i="49"/>
  <c r="IK6" i="49"/>
  <c r="IJ6" i="49"/>
  <c r="II6" i="49"/>
  <c r="IH33" i="49"/>
  <c r="IG33" i="49"/>
  <c r="IF33" i="49"/>
  <c r="IE33" i="49"/>
  <c r="ID33" i="49"/>
  <c r="IC33" i="49"/>
  <c r="IB33" i="49"/>
  <c r="IA33" i="49"/>
  <c r="HZ33" i="49"/>
  <c r="HY33" i="49"/>
  <c r="HX33" i="49"/>
  <c r="HW33" i="49"/>
  <c r="IH32" i="49"/>
  <c r="IG32" i="49"/>
  <c r="IF32" i="49"/>
  <c r="IE32" i="49"/>
  <c r="ID32" i="49"/>
  <c r="IC32" i="49"/>
  <c r="IB32" i="49"/>
  <c r="IA32" i="49"/>
  <c r="HZ32" i="49"/>
  <c r="HY32" i="49"/>
  <c r="HX32" i="49"/>
  <c r="HW32" i="49"/>
  <c r="IH31" i="49"/>
  <c r="IG31" i="49"/>
  <c r="IF31" i="49"/>
  <c r="IE31" i="49"/>
  <c r="ID31" i="49"/>
  <c r="IC31" i="49"/>
  <c r="IB31" i="49"/>
  <c r="IA31" i="49"/>
  <c r="HZ31" i="49"/>
  <c r="HY31" i="49"/>
  <c r="HX31" i="49"/>
  <c r="HW31" i="49"/>
  <c r="IH30" i="49"/>
  <c r="IG30" i="49"/>
  <c r="IF30" i="49"/>
  <c r="IE30" i="49"/>
  <c r="ID30" i="49"/>
  <c r="IC30" i="49"/>
  <c r="IB30" i="49"/>
  <c r="IA30" i="49"/>
  <c r="HZ30" i="49"/>
  <c r="HY30" i="49"/>
  <c r="HX30" i="49"/>
  <c r="HW30" i="49"/>
  <c r="IH29" i="49"/>
  <c r="IG29" i="49"/>
  <c r="IF29" i="49"/>
  <c r="IE29" i="49"/>
  <c r="ID29" i="49"/>
  <c r="IC29" i="49"/>
  <c r="IB29" i="49"/>
  <c r="IA29" i="49"/>
  <c r="HZ29" i="49"/>
  <c r="HY29" i="49"/>
  <c r="HX29" i="49"/>
  <c r="HW29" i="49"/>
  <c r="IH28" i="49"/>
  <c r="IG28" i="49"/>
  <c r="IF28" i="49"/>
  <c r="IE28" i="49"/>
  <c r="ID28" i="49"/>
  <c r="IC28" i="49"/>
  <c r="IB28" i="49"/>
  <c r="IA28" i="49"/>
  <c r="HZ28" i="49"/>
  <c r="HY28" i="49"/>
  <c r="HX28" i="49"/>
  <c r="HW28" i="49"/>
  <c r="IH27" i="49"/>
  <c r="IG27" i="49"/>
  <c r="IF27" i="49"/>
  <c r="IE27" i="49"/>
  <c r="ID27" i="49"/>
  <c r="IC27" i="49"/>
  <c r="IB27" i="49"/>
  <c r="IA27" i="49"/>
  <c r="HZ27" i="49"/>
  <c r="HY27" i="49"/>
  <c r="HX27" i="49"/>
  <c r="HW27" i="49"/>
  <c r="IH26" i="49"/>
  <c r="IG26" i="49"/>
  <c r="IF26" i="49"/>
  <c r="IE26" i="49"/>
  <c r="ID26" i="49"/>
  <c r="IC26" i="49"/>
  <c r="IB26" i="49"/>
  <c r="IA26" i="49"/>
  <c r="HZ26" i="49"/>
  <c r="HY26" i="49"/>
  <c r="HX26" i="49"/>
  <c r="HW26" i="49"/>
  <c r="IH25" i="49"/>
  <c r="IG25" i="49"/>
  <c r="IF25" i="49"/>
  <c r="IE25" i="49"/>
  <c r="ID25" i="49"/>
  <c r="IC25" i="49"/>
  <c r="IB25" i="49"/>
  <c r="IA25" i="49"/>
  <c r="HZ25" i="49"/>
  <c r="HY25" i="49"/>
  <c r="HX25" i="49"/>
  <c r="HW25" i="49"/>
  <c r="IH24" i="49"/>
  <c r="IG24" i="49"/>
  <c r="IF24" i="49"/>
  <c r="IE24" i="49"/>
  <c r="ID24" i="49"/>
  <c r="IC24" i="49"/>
  <c r="IB24" i="49"/>
  <c r="IA24" i="49"/>
  <c r="HZ24" i="49"/>
  <c r="HY24" i="49"/>
  <c r="HX24" i="49"/>
  <c r="HW24" i="49"/>
  <c r="IH23" i="49"/>
  <c r="IG23" i="49"/>
  <c r="IF23" i="49"/>
  <c r="IE23" i="49"/>
  <c r="ID23" i="49"/>
  <c r="IC23" i="49"/>
  <c r="IB23" i="49"/>
  <c r="IA23" i="49"/>
  <c r="HZ23" i="49"/>
  <c r="HY23" i="49"/>
  <c r="HX23" i="49"/>
  <c r="HW23" i="49"/>
  <c r="IH22" i="49"/>
  <c r="IG22" i="49"/>
  <c r="IF22" i="49"/>
  <c r="IE22" i="49"/>
  <c r="ID22" i="49"/>
  <c r="IC22" i="49"/>
  <c r="IB22" i="49"/>
  <c r="IA22" i="49"/>
  <c r="HZ22" i="49"/>
  <c r="HY22" i="49"/>
  <c r="HX22" i="49"/>
  <c r="HW22" i="49"/>
  <c r="IH21" i="49"/>
  <c r="IG21" i="49"/>
  <c r="IF21" i="49"/>
  <c r="IE21" i="49"/>
  <c r="ID21" i="49"/>
  <c r="IC21" i="49"/>
  <c r="IB21" i="49"/>
  <c r="IA21" i="49"/>
  <c r="HZ21" i="49"/>
  <c r="HY21" i="49"/>
  <c r="HX21" i="49"/>
  <c r="HW21" i="49"/>
  <c r="IH20" i="49"/>
  <c r="IG20" i="49"/>
  <c r="IF20" i="49"/>
  <c r="IE20" i="49"/>
  <c r="ID20" i="49"/>
  <c r="IC20" i="49"/>
  <c r="IB20" i="49"/>
  <c r="IA20" i="49"/>
  <c r="HZ20" i="49"/>
  <c r="HY20" i="49"/>
  <c r="HX20" i="49"/>
  <c r="HW20" i="49"/>
  <c r="IH19" i="49"/>
  <c r="IG19" i="49"/>
  <c r="IF19" i="49"/>
  <c r="IE19" i="49"/>
  <c r="ID19" i="49"/>
  <c r="IC19" i="49"/>
  <c r="IB19" i="49"/>
  <c r="IA19" i="49"/>
  <c r="HZ19" i="49"/>
  <c r="HY19" i="49"/>
  <c r="HX19" i="49"/>
  <c r="HW19" i="49"/>
  <c r="IH18" i="49"/>
  <c r="IG18" i="49"/>
  <c r="IF18" i="49"/>
  <c r="IE18" i="49"/>
  <c r="ID18" i="49"/>
  <c r="IC18" i="49"/>
  <c r="IB18" i="49"/>
  <c r="IA18" i="49"/>
  <c r="HZ18" i="49"/>
  <c r="HY18" i="49"/>
  <c r="HX18" i="49"/>
  <c r="HW18" i="49"/>
  <c r="IH17" i="49"/>
  <c r="IG17" i="49"/>
  <c r="IF17" i="49"/>
  <c r="IE17" i="49"/>
  <c r="ID17" i="49"/>
  <c r="IC17" i="49"/>
  <c r="IB17" i="49"/>
  <c r="IA17" i="49"/>
  <c r="HZ17" i="49"/>
  <c r="HY17" i="49"/>
  <c r="HX17" i="49"/>
  <c r="HW17" i="49"/>
  <c r="IH16" i="49"/>
  <c r="IG16" i="49"/>
  <c r="IF16" i="49"/>
  <c r="IE16" i="49"/>
  <c r="ID16" i="49"/>
  <c r="IC16" i="49"/>
  <c r="IB16" i="49"/>
  <c r="IA16" i="49"/>
  <c r="HZ16" i="49"/>
  <c r="HY16" i="49"/>
  <c r="HX16" i="49"/>
  <c r="HW16" i="49"/>
  <c r="IH15" i="49"/>
  <c r="IG15" i="49"/>
  <c r="IF15" i="49"/>
  <c r="IE15" i="49"/>
  <c r="ID15" i="49"/>
  <c r="IC15" i="49"/>
  <c r="IB15" i="49"/>
  <c r="IA15" i="49"/>
  <c r="HZ15" i="49"/>
  <c r="HY15" i="49"/>
  <c r="HX15" i="49"/>
  <c r="HW15" i="49"/>
  <c r="IH14" i="49"/>
  <c r="IG14" i="49"/>
  <c r="IF14" i="49"/>
  <c r="IE14" i="49"/>
  <c r="ID14" i="49"/>
  <c r="IC14" i="49"/>
  <c r="IB14" i="49"/>
  <c r="IA14" i="49"/>
  <c r="HZ14" i="49"/>
  <c r="HY14" i="49"/>
  <c r="HX14" i="49"/>
  <c r="HW14" i="49"/>
  <c r="IH13" i="49"/>
  <c r="IG13" i="49"/>
  <c r="IF13" i="49"/>
  <c r="IE13" i="49"/>
  <c r="ID13" i="49"/>
  <c r="IC13" i="49"/>
  <c r="IB13" i="49"/>
  <c r="IA13" i="49"/>
  <c r="HZ13" i="49"/>
  <c r="HY13" i="49"/>
  <c r="HX13" i="49"/>
  <c r="HW13" i="49"/>
  <c r="IH12" i="49"/>
  <c r="IG12" i="49"/>
  <c r="IF12" i="49"/>
  <c r="IE12" i="49"/>
  <c r="ID12" i="49"/>
  <c r="IC12" i="49"/>
  <c r="IB12" i="49"/>
  <c r="IA12" i="49"/>
  <c r="HZ12" i="49"/>
  <c r="HY12" i="49"/>
  <c r="HX12" i="49"/>
  <c r="HW12" i="49"/>
  <c r="IH11" i="49"/>
  <c r="IG11" i="49"/>
  <c r="IF11" i="49"/>
  <c r="IE11" i="49"/>
  <c r="ID11" i="49"/>
  <c r="IC11" i="49"/>
  <c r="IB11" i="49"/>
  <c r="IA11" i="49"/>
  <c r="HZ11" i="49"/>
  <c r="HY11" i="49"/>
  <c r="HX11" i="49"/>
  <c r="HW11" i="49"/>
  <c r="IH10" i="49"/>
  <c r="IG10" i="49"/>
  <c r="IF10" i="49"/>
  <c r="IE10" i="49"/>
  <c r="ID10" i="49"/>
  <c r="IC10" i="49"/>
  <c r="IB10" i="49"/>
  <c r="IA10" i="49"/>
  <c r="HZ10" i="49"/>
  <c r="HY10" i="49"/>
  <c r="HX10" i="49"/>
  <c r="HW10" i="49"/>
  <c r="IH9" i="49"/>
  <c r="IG9" i="49"/>
  <c r="IF9" i="49"/>
  <c r="IE9" i="49"/>
  <c r="ID9" i="49"/>
  <c r="IC9" i="49"/>
  <c r="IB9" i="49"/>
  <c r="IA9" i="49"/>
  <c r="HZ9" i="49"/>
  <c r="HY9" i="49"/>
  <c r="HX9" i="49"/>
  <c r="HW9" i="49"/>
  <c r="IH8" i="49"/>
  <c r="IG8" i="49"/>
  <c r="IF8" i="49"/>
  <c r="IE8" i="49"/>
  <c r="ID8" i="49"/>
  <c r="IC8" i="49"/>
  <c r="IB8" i="49"/>
  <c r="IA8" i="49"/>
  <c r="HZ8" i="49"/>
  <c r="HY8" i="49"/>
  <c r="HX8" i="49"/>
  <c r="HW8" i="49"/>
  <c r="IH7" i="49"/>
  <c r="IG7" i="49"/>
  <c r="IF7" i="49"/>
  <c r="IE7" i="49"/>
  <c r="ID7" i="49"/>
  <c r="IC7" i="49"/>
  <c r="IB7" i="49"/>
  <c r="IA7" i="49"/>
  <c r="HZ7" i="49"/>
  <c r="HY7" i="49"/>
  <c r="HX7" i="49"/>
  <c r="HW7" i="49"/>
  <c r="IH6" i="49"/>
  <c r="IG6" i="49"/>
  <c r="IF6" i="49"/>
  <c r="IE6" i="49"/>
  <c r="ID6" i="49"/>
  <c r="IC6" i="49"/>
  <c r="IB6" i="49"/>
  <c r="IA6" i="49"/>
  <c r="HZ6" i="49"/>
  <c r="HY6" i="49"/>
  <c r="HX6" i="49"/>
  <c r="HW6" i="49"/>
  <c r="HV33" i="49"/>
  <c r="HU33" i="49"/>
  <c r="HT33" i="49"/>
  <c r="HS33" i="49"/>
  <c r="HR33" i="49"/>
  <c r="HQ33" i="49"/>
  <c r="HP33" i="49"/>
  <c r="HO33" i="49"/>
  <c r="HN33" i="49"/>
  <c r="HM33" i="49"/>
  <c r="HL33" i="49"/>
  <c r="HK33" i="49"/>
  <c r="HV32" i="49"/>
  <c r="HU32" i="49"/>
  <c r="HT32" i="49"/>
  <c r="HS32" i="49"/>
  <c r="HR32" i="49"/>
  <c r="HQ32" i="49"/>
  <c r="HP32" i="49"/>
  <c r="HO32" i="49"/>
  <c r="HN32" i="49"/>
  <c r="HM32" i="49"/>
  <c r="HL32" i="49"/>
  <c r="HK32" i="49"/>
  <c r="HV31" i="49"/>
  <c r="HU31" i="49"/>
  <c r="HT31" i="49"/>
  <c r="HS31" i="49"/>
  <c r="HR31" i="49"/>
  <c r="HQ31" i="49"/>
  <c r="HP31" i="49"/>
  <c r="HO31" i="49"/>
  <c r="HN31" i="49"/>
  <c r="HM31" i="49"/>
  <c r="HL31" i="49"/>
  <c r="HK31" i="49"/>
  <c r="HV30" i="49"/>
  <c r="HU30" i="49"/>
  <c r="HT30" i="49"/>
  <c r="HS30" i="49"/>
  <c r="HR30" i="49"/>
  <c r="HQ30" i="49"/>
  <c r="HP30" i="49"/>
  <c r="HO30" i="49"/>
  <c r="HN30" i="49"/>
  <c r="HM30" i="49"/>
  <c r="HL30" i="49"/>
  <c r="HK30" i="49"/>
  <c r="HV29" i="49"/>
  <c r="HU29" i="49"/>
  <c r="HT29" i="49"/>
  <c r="HS29" i="49"/>
  <c r="HR29" i="49"/>
  <c r="HQ29" i="49"/>
  <c r="HP29" i="49"/>
  <c r="HO29" i="49"/>
  <c r="HN29" i="49"/>
  <c r="HM29" i="49"/>
  <c r="HL29" i="49"/>
  <c r="HK29" i="49"/>
  <c r="HV28" i="49"/>
  <c r="HU28" i="49"/>
  <c r="HT28" i="49"/>
  <c r="HS28" i="49"/>
  <c r="HR28" i="49"/>
  <c r="HQ28" i="49"/>
  <c r="HP28" i="49"/>
  <c r="HO28" i="49"/>
  <c r="HN28" i="49"/>
  <c r="HM28" i="49"/>
  <c r="HL28" i="49"/>
  <c r="HK28" i="49"/>
  <c r="HV27" i="49"/>
  <c r="HU27" i="49"/>
  <c r="HT27" i="49"/>
  <c r="HS27" i="49"/>
  <c r="HR27" i="49"/>
  <c r="HQ27" i="49"/>
  <c r="HP27" i="49"/>
  <c r="HO27" i="49"/>
  <c r="HN27" i="49"/>
  <c r="HM27" i="49"/>
  <c r="HL27" i="49"/>
  <c r="HK27" i="49"/>
  <c r="HV26" i="49"/>
  <c r="HU26" i="49"/>
  <c r="HT26" i="49"/>
  <c r="HS26" i="49"/>
  <c r="HR26" i="49"/>
  <c r="HQ26" i="49"/>
  <c r="HP26" i="49"/>
  <c r="HO26" i="49"/>
  <c r="HN26" i="49"/>
  <c r="HM26" i="49"/>
  <c r="HL26" i="49"/>
  <c r="HK26" i="49"/>
  <c r="HV25" i="49"/>
  <c r="HU25" i="49"/>
  <c r="HT25" i="49"/>
  <c r="HS25" i="49"/>
  <c r="HR25" i="49"/>
  <c r="HQ25" i="49"/>
  <c r="HP25" i="49"/>
  <c r="HO25" i="49"/>
  <c r="HN25" i="49"/>
  <c r="HM25" i="49"/>
  <c r="HL25" i="49"/>
  <c r="HK25" i="49"/>
  <c r="HV24" i="49"/>
  <c r="HU24" i="49"/>
  <c r="HT24" i="49"/>
  <c r="HS24" i="49"/>
  <c r="HR24" i="49"/>
  <c r="HQ24" i="49"/>
  <c r="HP24" i="49"/>
  <c r="HO24" i="49"/>
  <c r="HN24" i="49"/>
  <c r="HM24" i="49"/>
  <c r="HL24" i="49"/>
  <c r="HK24" i="49"/>
  <c r="HV23" i="49"/>
  <c r="HU23" i="49"/>
  <c r="HT23" i="49"/>
  <c r="HS23" i="49"/>
  <c r="HR23" i="49"/>
  <c r="HQ23" i="49"/>
  <c r="HP23" i="49"/>
  <c r="HO23" i="49"/>
  <c r="HN23" i="49"/>
  <c r="HM23" i="49"/>
  <c r="HL23" i="49"/>
  <c r="HK23" i="49"/>
  <c r="HV22" i="49"/>
  <c r="HU22" i="49"/>
  <c r="HT22" i="49"/>
  <c r="HS22" i="49"/>
  <c r="HR22" i="49"/>
  <c r="HQ22" i="49"/>
  <c r="HP22" i="49"/>
  <c r="HO22" i="49"/>
  <c r="HN22" i="49"/>
  <c r="HM22" i="49"/>
  <c r="HL22" i="49"/>
  <c r="HK22" i="49"/>
  <c r="HV21" i="49"/>
  <c r="HU21" i="49"/>
  <c r="HT21" i="49"/>
  <c r="HS21" i="49"/>
  <c r="HR21" i="49"/>
  <c r="HQ21" i="49"/>
  <c r="HP21" i="49"/>
  <c r="HO21" i="49"/>
  <c r="HN21" i="49"/>
  <c r="HM21" i="49"/>
  <c r="HL21" i="49"/>
  <c r="HK21" i="49"/>
  <c r="HV20" i="49"/>
  <c r="HU20" i="49"/>
  <c r="HT20" i="49"/>
  <c r="HS20" i="49"/>
  <c r="HR20" i="49"/>
  <c r="HQ20" i="49"/>
  <c r="HP20" i="49"/>
  <c r="HO20" i="49"/>
  <c r="HN20" i="49"/>
  <c r="HM20" i="49"/>
  <c r="HL20" i="49"/>
  <c r="HK20" i="49"/>
  <c r="HV19" i="49"/>
  <c r="HU19" i="49"/>
  <c r="HT19" i="49"/>
  <c r="HS19" i="49"/>
  <c r="HR19" i="49"/>
  <c r="HQ19" i="49"/>
  <c r="HP19" i="49"/>
  <c r="HO19" i="49"/>
  <c r="HN19" i="49"/>
  <c r="HM19" i="49"/>
  <c r="HL19" i="49"/>
  <c r="HK19" i="49"/>
  <c r="HV18" i="49"/>
  <c r="HU18" i="49"/>
  <c r="HT18" i="49"/>
  <c r="HS18" i="49"/>
  <c r="HR18" i="49"/>
  <c r="HQ18" i="49"/>
  <c r="HP18" i="49"/>
  <c r="HO18" i="49"/>
  <c r="HN18" i="49"/>
  <c r="HM18" i="49"/>
  <c r="HL18" i="49"/>
  <c r="HK18" i="49"/>
  <c r="HV17" i="49"/>
  <c r="HU17" i="49"/>
  <c r="HT17" i="49"/>
  <c r="HS17" i="49"/>
  <c r="HR17" i="49"/>
  <c r="HQ17" i="49"/>
  <c r="HP17" i="49"/>
  <c r="HO17" i="49"/>
  <c r="HN17" i="49"/>
  <c r="HM17" i="49"/>
  <c r="HL17" i="49"/>
  <c r="HK17" i="49"/>
  <c r="HV16" i="49"/>
  <c r="HU16" i="49"/>
  <c r="HT16" i="49"/>
  <c r="HS16" i="49"/>
  <c r="HR16" i="49"/>
  <c r="HQ16" i="49"/>
  <c r="HP16" i="49"/>
  <c r="HO16" i="49"/>
  <c r="HN16" i="49"/>
  <c r="HM16" i="49"/>
  <c r="HL16" i="49"/>
  <c r="HK16" i="49"/>
  <c r="HV15" i="49"/>
  <c r="HU15" i="49"/>
  <c r="HT15" i="49"/>
  <c r="HS15" i="49"/>
  <c r="HR15" i="49"/>
  <c r="HQ15" i="49"/>
  <c r="HP15" i="49"/>
  <c r="HO15" i="49"/>
  <c r="HN15" i="49"/>
  <c r="HM15" i="49"/>
  <c r="HL15" i="49"/>
  <c r="HK15" i="49"/>
  <c r="HV14" i="49"/>
  <c r="HU14" i="49"/>
  <c r="HT14" i="49"/>
  <c r="HS14" i="49"/>
  <c r="HR14" i="49"/>
  <c r="HQ14" i="49"/>
  <c r="HP14" i="49"/>
  <c r="HO14" i="49"/>
  <c r="HN14" i="49"/>
  <c r="HM14" i="49"/>
  <c r="HL14" i="49"/>
  <c r="HK14" i="49"/>
  <c r="HV13" i="49"/>
  <c r="HU13" i="49"/>
  <c r="HT13" i="49"/>
  <c r="HS13" i="49"/>
  <c r="HR13" i="49"/>
  <c r="HQ13" i="49"/>
  <c r="HP13" i="49"/>
  <c r="HO13" i="49"/>
  <c r="HN13" i="49"/>
  <c r="HM13" i="49"/>
  <c r="HL13" i="49"/>
  <c r="HK13" i="49"/>
  <c r="HV12" i="49"/>
  <c r="HU12" i="49"/>
  <c r="HT12" i="49"/>
  <c r="HS12" i="49"/>
  <c r="HR12" i="49"/>
  <c r="HQ12" i="49"/>
  <c r="HP12" i="49"/>
  <c r="HO12" i="49"/>
  <c r="HN12" i="49"/>
  <c r="HM12" i="49"/>
  <c r="HL12" i="49"/>
  <c r="HK12" i="49"/>
  <c r="HV11" i="49"/>
  <c r="HU11" i="49"/>
  <c r="HT11" i="49"/>
  <c r="HS11" i="49"/>
  <c r="HR11" i="49"/>
  <c r="HQ11" i="49"/>
  <c r="HP11" i="49"/>
  <c r="HO11" i="49"/>
  <c r="HN11" i="49"/>
  <c r="HM11" i="49"/>
  <c r="HL11" i="49"/>
  <c r="HK11" i="49"/>
  <c r="HV10" i="49"/>
  <c r="HU10" i="49"/>
  <c r="HT10" i="49"/>
  <c r="HS10" i="49"/>
  <c r="HR10" i="49"/>
  <c r="HQ10" i="49"/>
  <c r="HP10" i="49"/>
  <c r="HO10" i="49"/>
  <c r="HN10" i="49"/>
  <c r="HM10" i="49"/>
  <c r="HL10" i="49"/>
  <c r="HK10" i="49"/>
  <c r="HV9" i="49"/>
  <c r="HU9" i="49"/>
  <c r="HT9" i="49"/>
  <c r="HS9" i="49"/>
  <c r="HR9" i="49"/>
  <c r="HQ9" i="49"/>
  <c r="HP9" i="49"/>
  <c r="HO9" i="49"/>
  <c r="HN9" i="49"/>
  <c r="HM9" i="49"/>
  <c r="HL9" i="49"/>
  <c r="HK9" i="49"/>
  <c r="HV8" i="49"/>
  <c r="HU8" i="49"/>
  <c r="HT8" i="49"/>
  <c r="HS8" i="49"/>
  <c r="HR8" i="49"/>
  <c r="HQ8" i="49"/>
  <c r="HP8" i="49"/>
  <c r="HO8" i="49"/>
  <c r="HN8" i="49"/>
  <c r="HM8" i="49"/>
  <c r="HL8" i="49"/>
  <c r="HK8" i="49"/>
  <c r="HV7" i="49"/>
  <c r="HU7" i="49"/>
  <c r="HT7" i="49"/>
  <c r="HS7" i="49"/>
  <c r="HR7" i="49"/>
  <c r="HQ7" i="49"/>
  <c r="HP7" i="49"/>
  <c r="HO7" i="49"/>
  <c r="HN7" i="49"/>
  <c r="HM7" i="49"/>
  <c r="HL7" i="49"/>
  <c r="HK7" i="49"/>
  <c r="HV6" i="49"/>
  <c r="HU6" i="49"/>
  <c r="HT6" i="49"/>
  <c r="HS6" i="49"/>
  <c r="HR6" i="49"/>
  <c r="HQ6" i="49"/>
  <c r="HP6" i="49"/>
  <c r="HO6" i="49"/>
  <c r="HN6" i="49"/>
  <c r="HM6" i="49"/>
  <c r="HL6" i="49"/>
  <c r="HK6" i="49"/>
  <c r="HJ33" i="49"/>
  <c r="HI33" i="49"/>
  <c r="HH33" i="49"/>
  <c r="HG33" i="49"/>
  <c r="HF33" i="49"/>
  <c r="HE33" i="49"/>
  <c r="HD33" i="49"/>
  <c r="HC33" i="49"/>
  <c r="HB33" i="49"/>
  <c r="HA33" i="49"/>
  <c r="GZ33" i="49"/>
  <c r="GY33" i="49"/>
  <c r="HJ32" i="49"/>
  <c r="HI32" i="49"/>
  <c r="HH32" i="49"/>
  <c r="HG32" i="49"/>
  <c r="HF32" i="49"/>
  <c r="HE32" i="49"/>
  <c r="HD32" i="49"/>
  <c r="HC32" i="49"/>
  <c r="HB32" i="49"/>
  <c r="HA32" i="49"/>
  <c r="GZ32" i="49"/>
  <c r="GY32" i="49"/>
  <c r="HJ31" i="49"/>
  <c r="HI31" i="49"/>
  <c r="HH31" i="49"/>
  <c r="HG31" i="49"/>
  <c r="HF31" i="49"/>
  <c r="HE31" i="49"/>
  <c r="HD31" i="49"/>
  <c r="HC31" i="49"/>
  <c r="HB31" i="49"/>
  <c r="HA31" i="49"/>
  <c r="GZ31" i="49"/>
  <c r="GY31" i="49"/>
  <c r="HJ30" i="49"/>
  <c r="HI30" i="49"/>
  <c r="HH30" i="49"/>
  <c r="HG30" i="49"/>
  <c r="HF30" i="49"/>
  <c r="HE30" i="49"/>
  <c r="HD30" i="49"/>
  <c r="HC30" i="49"/>
  <c r="HB30" i="49"/>
  <c r="HA30" i="49"/>
  <c r="GZ30" i="49"/>
  <c r="GY30" i="49"/>
  <c r="HJ29" i="49"/>
  <c r="HI29" i="49"/>
  <c r="HH29" i="49"/>
  <c r="HG29" i="49"/>
  <c r="HF29" i="49"/>
  <c r="HE29" i="49"/>
  <c r="HD29" i="49"/>
  <c r="HC29" i="49"/>
  <c r="HB29" i="49"/>
  <c r="HA29" i="49"/>
  <c r="GZ29" i="49"/>
  <c r="GY29" i="49"/>
  <c r="HJ28" i="49"/>
  <c r="HI28" i="49"/>
  <c r="HH28" i="49"/>
  <c r="HG28" i="49"/>
  <c r="HF28" i="49"/>
  <c r="HE28" i="49"/>
  <c r="HD28" i="49"/>
  <c r="HC28" i="49"/>
  <c r="HB28" i="49"/>
  <c r="HA28" i="49"/>
  <c r="GZ28" i="49"/>
  <c r="GY28" i="49"/>
  <c r="HJ27" i="49"/>
  <c r="HI27" i="49"/>
  <c r="HH27" i="49"/>
  <c r="HG27" i="49"/>
  <c r="HF27" i="49"/>
  <c r="HE27" i="49"/>
  <c r="HD27" i="49"/>
  <c r="HC27" i="49"/>
  <c r="HB27" i="49"/>
  <c r="HA27" i="49"/>
  <c r="GZ27" i="49"/>
  <c r="GY27" i="49"/>
  <c r="HJ26" i="49"/>
  <c r="HI26" i="49"/>
  <c r="HH26" i="49"/>
  <c r="HG26" i="49"/>
  <c r="HF26" i="49"/>
  <c r="HE26" i="49"/>
  <c r="HD26" i="49"/>
  <c r="HC26" i="49"/>
  <c r="HB26" i="49"/>
  <c r="HA26" i="49"/>
  <c r="GZ26" i="49"/>
  <c r="GY26" i="49"/>
  <c r="HJ25" i="49"/>
  <c r="HI25" i="49"/>
  <c r="HH25" i="49"/>
  <c r="HG25" i="49"/>
  <c r="HF25" i="49"/>
  <c r="HE25" i="49"/>
  <c r="HD25" i="49"/>
  <c r="HC25" i="49"/>
  <c r="HB25" i="49"/>
  <c r="HA25" i="49"/>
  <c r="GZ25" i="49"/>
  <c r="GY25" i="49"/>
  <c r="HJ24" i="49"/>
  <c r="HI24" i="49"/>
  <c r="HH24" i="49"/>
  <c r="HG24" i="49"/>
  <c r="HF24" i="49"/>
  <c r="HE24" i="49"/>
  <c r="HD24" i="49"/>
  <c r="HC24" i="49"/>
  <c r="HB24" i="49"/>
  <c r="HA24" i="49"/>
  <c r="GZ24" i="49"/>
  <c r="GY24" i="49"/>
  <c r="HJ23" i="49"/>
  <c r="HI23" i="49"/>
  <c r="HH23" i="49"/>
  <c r="HG23" i="49"/>
  <c r="HF23" i="49"/>
  <c r="HE23" i="49"/>
  <c r="HD23" i="49"/>
  <c r="HC23" i="49"/>
  <c r="HB23" i="49"/>
  <c r="HA23" i="49"/>
  <c r="GZ23" i="49"/>
  <c r="GY23" i="49"/>
  <c r="HJ22" i="49"/>
  <c r="HI22" i="49"/>
  <c r="HH22" i="49"/>
  <c r="HG22" i="49"/>
  <c r="HF22" i="49"/>
  <c r="HE22" i="49"/>
  <c r="HD22" i="49"/>
  <c r="HC22" i="49"/>
  <c r="HB22" i="49"/>
  <c r="HA22" i="49"/>
  <c r="GZ22" i="49"/>
  <c r="GY22" i="49"/>
  <c r="HJ21" i="49"/>
  <c r="HI21" i="49"/>
  <c r="HH21" i="49"/>
  <c r="HG21" i="49"/>
  <c r="HF21" i="49"/>
  <c r="HE21" i="49"/>
  <c r="HD21" i="49"/>
  <c r="HC21" i="49"/>
  <c r="HB21" i="49"/>
  <c r="HA21" i="49"/>
  <c r="GZ21" i="49"/>
  <c r="GY21" i="49"/>
  <c r="HJ20" i="49"/>
  <c r="HI20" i="49"/>
  <c r="HH20" i="49"/>
  <c r="HG20" i="49"/>
  <c r="HF20" i="49"/>
  <c r="HE20" i="49"/>
  <c r="HD20" i="49"/>
  <c r="HC20" i="49"/>
  <c r="HB20" i="49"/>
  <c r="HA20" i="49"/>
  <c r="GZ20" i="49"/>
  <c r="GY20" i="49"/>
  <c r="HJ19" i="49"/>
  <c r="HI19" i="49"/>
  <c r="HH19" i="49"/>
  <c r="HG19" i="49"/>
  <c r="HF19" i="49"/>
  <c r="HE19" i="49"/>
  <c r="HD19" i="49"/>
  <c r="HC19" i="49"/>
  <c r="HB19" i="49"/>
  <c r="HA19" i="49"/>
  <c r="GZ19" i="49"/>
  <c r="GY19" i="49"/>
  <c r="HJ18" i="49"/>
  <c r="HI18" i="49"/>
  <c r="HH18" i="49"/>
  <c r="HG18" i="49"/>
  <c r="HF18" i="49"/>
  <c r="HE18" i="49"/>
  <c r="HD18" i="49"/>
  <c r="HC18" i="49"/>
  <c r="HB18" i="49"/>
  <c r="HA18" i="49"/>
  <c r="GZ18" i="49"/>
  <c r="GY18" i="49"/>
  <c r="HJ17" i="49"/>
  <c r="HI17" i="49"/>
  <c r="HH17" i="49"/>
  <c r="HG17" i="49"/>
  <c r="HF17" i="49"/>
  <c r="HE17" i="49"/>
  <c r="HD17" i="49"/>
  <c r="HC17" i="49"/>
  <c r="HB17" i="49"/>
  <c r="HA17" i="49"/>
  <c r="GZ17" i="49"/>
  <c r="GY17" i="49"/>
  <c r="HJ16" i="49"/>
  <c r="HI16" i="49"/>
  <c r="HH16" i="49"/>
  <c r="HG16" i="49"/>
  <c r="HF16" i="49"/>
  <c r="HE16" i="49"/>
  <c r="HD16" i="49"/>
  <c r="HC16" i="49"/>
  <c r="HB16" i="49"/>
  <c r="HA16" i="49"/>
  <c r="GZ16" i="49"/>
  <c r="GY16" i="49"/>
  <c r="HJ15" i="49"/>
  <c r="HI15" i="49"/>
  <c r="HH15" i="49"/>
  <c r="HG15" i="49"/>
  <c r="HF15" i="49"/>
  <c r="HE15" i="49"/>
  <c r="HD15" i="49"/>
  <c r="HC15" i="49"/>
  <c r="HB15" i="49"/>
  <c r="HA15" i="49"/>
  <c r="GZ15" i="49"/>
  <c r="GY15" i="49"/>
  <c r="HJ14" i="49"/>
  <c r="HI14" i="49"/>
  <c r="HH14" i="49"/>
  <c r="HG14" i="49"/>
  <c r="HF14" i="49"/>
  <c r="HE14" i="49"/>
  <c r="HD14" i="49"/>
  <c r="HC14" i="49"/>
  <c r="HB14" i="49"/>
  <c r="HA14" i="49"/>
  <c r="GZ14" i="49"/>
  <c r="GY14" i="49"/>
  <c r="HJ13" i="49"/>
  <c r="HI13" i="49"/>
  <c r="HH13" i="49"/>
  <c r="HG13" i="49"/>
  <c r="HF13" i="49"/>
  <c r="HE13" i="49"/>
  <c r="HD13" i="49"/>
  <c r="HC13" i="49"/>
  <c r="HB13" i="49"/>
  <c r="HA13" i="49"/>
  <c r="GZ13" i="49"/>
  <c r="GY13" i="49"/>
  <c r="HJ12" i="49"/>
  <c r="HI12" i="49"/>
  <c r="HH12" i="49"/>
  <c r="HG12" i="49"/>
  <c r="HF12" i="49"/>
  <c r="HE12" i="49"/>
  <c r="HD12" i="49"/>
  <c r="HC12" i="49"/>
  <c r="HB12" i="49"/>
  <c r="HA12" i="49"/>
  <c r="GZ12" i="49"/>
  <c r="GY12" i="49"/>
  <c r="HJ11" i="49"/>
  <c r="HI11" i="49"/>
  <c r="HH11" i="49"/>
  <c r="HG11" i="49"/>
  <c r="HF11" i="49"/>
  <c r="HE11" i="49"/>
  <c r="HD11" i="49"/>
  <c r="HC11" i="49"/>
  <c r="HB11" i="49"/>
  <c r="HA11" i="49"/>
  <c r="GZ11" i="49"/>
  <c r="GY11" i="49"/>
  <c r="HJ10" i="49"/>
  <c r="HI10" i="49"/>
  <c r="HH10" i="49"/>
  <c r="HG10" i="49"/>
  <c r="HF10" i="49"/>
  <c r="HE10" i="49"/>
  <c r="HD10" i="49"/>
  <c r="HC10" i="49"/>
  <c r="HB10" i="49"/>
  <c r="HA10" i="49"/>
  <c r="GZ10" i="49"/>
  <c r="GY10" i="49"/>
  <c r="HJ9" i="49"/>
  <c r="HI9" i="49"/>
  <c r="HH9" i="49"/>
  <c r="HG9" i="49"/>
  <c r="HF9" i="49"/>
  <c r="HE9" i="49"/>
  <c r="HD9" i="49"/>
  <c r="HC9" i="49"/>
  <c r="HB9" i="49"/>
  <c r="HA9" i="49"/>
  <c r="GZ9" i="49"/>
  <c r="GY9" i="49"/>
  <c r="HJ8" i="49"/>
  <c r="HI8" i="49"/>
  <c r="HH8" i="49"/>
  <c r="HG8" i="49"/>
  <c r="HF8" i="49"/>
  <c r="HE8" i="49"/>
  <c r="HD8" i="49"/>
  <c r="HC8" i="49"/>
  <c r="HB8" i="49"/>
  <c r="HA8" i="49"/>
  <c r="GZ8" i="49"/>
  <c r="GY8" i="49"/>
  <c r="HJ7" i="49"/>
  <c r="HI7" i="49"/>
  <c r="HH7" i="49"/>
  <c r="HG7" i="49"/>
  <c r="HF7" i="49"/>
  <c r="HE7" i="49"/>
  <c r="HD7" i="49"/>
  <c r="HC7" i="49"/>
  <c r="HB7" i="49"/>
  <c r="HA7" i="49"/>
  <c r="GZ7" i="49"/>
  <c r="GY7" i="49"/>
  <c r="HJ6" i="49"/>
  <c r="HI6" i="49"/>
  <c r="HH6" i="49"/>
  <c r="HG6" i="49"/>
  <c r="HF6" i="49"/>
  <c r="HE6" i="49"/>
  <c r="HD6" i="49"/>
  <c r="HC6" i="49"/>
  <c r="HB6" i="49"/>
  <c r="HA6" i="49"/>
  <c r="GZ6" i="49"/>
  <c r="GY6" i="49"/>
  <c r="GX33" i="49"/>
  <c r="GW33" i="49"/>
  <c r="GV33" i="49"/>
  <c r="GU33" i="49"/>
  <c r="GT33" i="49"/>
  <c r="GS33" i="49"/>
  <c r="GR33" i="49"/>
  <c r="GQ33" i="49"/>
  <c r="GP33" i="49"/>
  <c r="GO33" i="49"/>
  <c r="GN33" i="49"/>
  <c r="GM33" i="49"/>
  <c r="GX32" i="49"/>
  <c r="GW32" i="49"/>
  <c r="GV32" i="49"/>
  <c r="GU32" i="49"/>
  <c r="GT32" i="49"/>
  <c r="GS32" i="49"/>
  <c r="GR32" i="49"/>
  <c r="GQ32" i="49"/>
  <c r="GP32" i="49"/>
  <c r="GO32" i="49"/>
  <c r="GN32" i="49"/>
  <c r="GM32" i="49"/>
  <c r="GX31" i="49"/>
  <c r="GW31" i="49"/>
  <c r="GV31" i="49"/>
  <c r="GU31" i="49"/>
  <c r="GT31" i="49"/>
  <c r="GS31" i="49"/>
  <c r="GR31" i="49"/>
  <c r="GQ31" i="49"/>
  <c r="GP31" i="49"/>
  <c r="GO31" i="49"/>
  <c r="GN31" i="49"/>
  <c r="GM31" i="49"/>
  <c r="GX30" i="49"/>
  <c r="GW30" i="49"/>
  <c r="GV30" i="49"/>
  <c r="GU30" i="49"/>
  <c r="GT30" i="49"/>
  <c r="GS30" i="49"/>
  <c r="GR30" i="49"/>
  <c r="GQ30" i="49"/>
  <c r="GP30" i="49"/>
  <c r="GO30" i="49"/>
  <c r="GN30" i="49"/>
  <c r="GM30" i="49"/>
  <c r="GX29" i="49"/>
  <c r="GW29" i="49"/>
  <c r="GV29" i="49"/>
  <c r="GU29" i="49"/>
  <c r="GT29" i="49"/>
  <c r="GS29" i="49"/>
  <c r="GR29" i="49"/>
  <c r="GQ29" i="49"/>
  <c r="GP29" i="49"/>
  <c r="GO29" i="49"/>
  <c r="GN29" i="49"/>
  <c r="GM29" i="49"/>
  <c r="GX28" i="49"/>
  <c r="GW28" i="49"/>
  <c r="GV28" i="49"/>
  <c r="GU28" i="49"/>
  <c r="GT28" i="49"/>
  <c r="GS28" i="49"/>
  <c r="GR28" i="49"/>
  <c r="GQ28" i="49"/>
  <c r="GP28" i="49"/>
  <c r="GO28" i="49"/>
  <c r="GN28" i="49"/>
  <c r="GM28" i="49"/>
  <c r="GX27" i="49"/>
  <c r="GW27" i="49"/>
  <c r="GV27" i="49"/>
  <c r="GU27" i="49"/>
  <c r="GT27" i="49"/>
  <c r="GS27" i="49"/>
  <c r="GR27" i="49"/>
  <c r="GQ27" i="49"/>
  <c r="GP27" i="49"/>
  <c r="GO27" i="49"/>
  <c r="GN27" i="49"/>
  <c r="GM27" i="49"/>
  <c r="GX26" i="49"/>
  <c r="GW26" i="49"/>
  <c r="GV26" i="49"/>
  <c r="GU26" i="49"/>
  <c r="GT26" i="49"/>
  <c r="GS26" i="49"/>
  <c r="GR26" i="49"/>
  <c r="GQ26" i="49"/>
  <c r="GP26" i="49"/>
  <c r="GO26" i="49"/>
  <c r="GN26" i="49"/>
  <c r="GM26" i="49"/>
  <c r="GX25" i="49"/>
  <c r="GW25" i="49"/>
  <c r="GV25" i="49"/>
  <c r="GU25" i="49"/>
  <c r="GT25" i="49"/>
  <c r="GS25" i="49"/>
  <c r="GR25" i="49"/>
  <c r="GQ25" i="49"/>
  <c r="GP25" i="49"/>
  <c r="GO25" i="49"/>
  <c r="GN25" i="49"/>
  <c r="GM25" i="49"/>
  <c r="GX24" i="49"/>
  <c r="GW24" i="49"/>
  <c r="GV24" i="49"/>
  <c r="GU24" i="49"/>
  <c r="GT24" i="49"/>
  <c r="GS24" i="49"/>
  <c r="GR24" i="49"/>
  <c r="GQ24" i="49"/>
  <c r="GP24" i="49"/>
  <c r="GO24" i="49"/>
  <c r="GN24" i="49"/>
  <c r="GM24" i="49"/>
  <c r="GX23" i="49"/>
  <c r="GW23" i="49"/>
  <c r="GV23" i="49"/>
  <c r="GU23" i="49"/>
  <c r="GT23" i="49"/>
  <c r="GS23" i="49"/>
  <c r="GR23" i="49"/>
  <c r="GQ23" i="49"/>
  <c r="GP23" i="49"/>
  <c r="GO23" i="49"/>
  <c r="GN23" i="49"/>
  <c r="GM23" i="49"/>
  <c r="GX22" i="49"/>
  <c r="GW22" i="49"/>
  <c r="GV22" i="49"/>
  <c r="GU22" i="49"/>
  <c r="GT22" i="49"/>
  <c r="GS22" i="49"/>
  <c r="GR22" i="49"/>
  <c r="GQ22" i="49"/>
  <c r="GP22" i="49"/>
  <c r="GO22" i="49"/>
  <c r="GN22" i="49"/>
  <c r="GM22" i="49"/>
  <c r="GX21" i="49"/>
  <c r="GW21" i="49"/>
  <c r="GV21" i="49"/>
  <c r="GU21" i="49"/>
  <c r="GT21" i="49"/>
  <c r="GS21" i="49"/>
  <c r="GR21" i="49"/>
  <c r="GQ21" i="49"/>
  <c r="GP21" i="49"/>
  <c r="GO21" i="49"/>
  <c r="GN21" i="49"/>
  <c r="GM21" i="49"/>
  <c r="GX20" i="49"/>
  <c r="GW20" i="49"/>
  <c r="GV20" i="49"/>
  <c r="GU20" i="49"/>
  <c r="GT20" i="49"/>
  <c r="GS20" i="49"/>
  <c r="GR20" i="49"/>
  <c r="GQ20" i="49"/>
  <c r="GP20" i="49"/>
  <c r="GO20" i="49"/>
  <c r="GN20" i="49"/>
  <c r="GM20" i="49"/>
  <c r="GX19" i="49"/>
  <c r="GW19" i="49"/>
  <c r="GV19" i="49"/>
  <c r="GU19" i="49"/>
  <c r="GT19" i="49"/>
  <c r="GS19" i="49"/>
  <c r="GR19" i="49"/>
  <c r="GQ19" i="49"/>
  <c r="GP19" i="49"/>
  <c r="GO19" i="49"/>
  <c r="GN19" i="49"/>
  <c r="GM19" i="49"/>
  <c r="GX18" i="49"/>
  <c r="GW18" i="49"/>
  <c r="GV18" i="49"/>
  <c r="GU18" i="49"/>
  <c r="GT18" i="49"/>
  <c r="GS18" i="49"/>
  <c r="GR18" i="49"/>
  <c r="GQ18" i="49"/>
  <c r="GP18" i="49"/>
  <c r="GO18" i="49"/>
  <c r="GN18" i="49"/>
  <c r="GM18" i="49"/>
  <c r="GX17" i="49"/>
  <c r="GW17" i="49"/>
  <c r="GV17" i="49"/>
  <c r="GU17" i="49"/>
  <c r="GT17" i="49"/>
  <c r="GS17" i="49"/>
  <c r="GR17" i="49"/>
  <c r="GQ17" i="49"/>
  <c r="GP17" i="49"/>
  <c r="GO17" i="49"/>
  <c r="GN17" i="49"/>
  <c r="GM17" i="49"/>
  <c r="GX16" i="49"/>
  <c r="GW16" i="49"/>
  <c r="GV16" i="49"/>
  <c r="GU16" i="49"/>
  <c r="GT16" i="49"/>
  <c r="GS16" i="49"/>
  <c r="GR16" i="49"/>
  <c r="GQ16" i="49"/>
  <c r="GP16" i="49"/>
  <c r="GO16" i="49"/>
  <c r="GN16" i="49"/>
  <c r="GM16" i="49"/>
  <c r="GX15" i="49"/>
  <c r="GW15" i="49"/>
  <c r="GV15" i="49"/>
  <c r="GU15" i="49"/>
  <c r="GT15" i="49"/>
  <c r="GS15" i="49"/>
  <c r="GR15" i="49"/>
  <c r="GQ15" i="49"/>
  <c r="GP15" i="49"/>
  <c r="GO15" i="49"/>
  <c r="GN15" i="49"/>
  <c r="GM15" i="49"/>
  <c r="GX14" i="49"/>
  <c r="GW14" i="49"/>
  <c r="GV14" i="49"/>
  <c r="GU14" i="49"/>
  <c r="GT14" i="49"/>
  <c r="GS14" i="49"/>
  <c r="GR14" i="49"/>
  <c r="GQ14" i="49"/>
  <c r="GP14" i="49"/>
  <c r="GO14" i="49"/>
  <c r="GN14" i="49"/>
  <c r="GM14" i="49"/>
  <c r="GX13" i="49"/>
  <c r="GW13" i="49"/>
  <c r="GV13" i="49"/>
  <c r="GU13" i="49"/>
  <c r="GT13" i="49"/>
  <c r="GS13" i="49"/>
  <c r="GR13" i="49"/>
  <c r="GQ13" i="49"/>
  <c r="GP13" i="49"/>
  <c r="GO13" i="49"/>
  <c r="GN13" i="49"/>
  <c r="GM13" i="49"/>
  <c r="GX12" i="49"/>
  <c r="GW12" i="49"/>
  <c r="GV12" i="49"/>
  <c r="GU12" i="49"/>
  <c r="GT12" i="49"/>
  <c r="GS12" i="49"/>
  <c r="GR12" i="49"/>
  <c r="GQ12" i="49"/>
  <c r="GP12" i="49"/>
  <c r="GO12" i="49"/>
  <c r="GN12" i="49"/>
  <c r="GM12" i="49"/>
  <c r="GX11" i="49"/>
  <c r="GW11" i="49"/>
  <c r="GV11" i="49"/>
  <c r="GU11" i="49"/>
  <c r="GT11" i="49"/>
  <c r="GS11" i="49"/>
  <c r="GR11" i="49"/>
  <c r="GQ11" i="49"/>
  <c r="GP11" i="49"/>
  <c r="GO11" i="49"/>
  <c r="GN11" i="49"/>
  <c r="GM11" i="49"/>
  <c r="GX10" i="49"/>
  <c r="GW10" i="49"/>
  <c r="GV10" i="49"/>
  <c r="GU10" i="49"/>
  <c r="GT10" i="49"/>
  <c r="GS10" i="49"/>
  <c r="GR10" i="49"/>
  <c r="GQ10" i="49"/>
  <c r="GP10" i="49"/>
  <c r="GO10" i="49"/>
  <c r="GN10" i="49"/>
  <c r="GM10" i="49"/>
  <c r="GX9" i="49"/>
  <c r="GW9" i="49"/>
  <c r="GV9" i="49"/>
  <c r="GU9" i="49"/>
  <c r="GT9" i="49"/>
  <c r="GS9" i="49"/>
  <c r="GR9" i="49"/>
  <c r="GQ9" i="49"/>
  <c r="GP9" i="49"/>
  <c r="GO9" i="49"/>
  <c r="GN9" i="49"/>
  <c r="GM9" i="49"/>
  <c r="GX8" i="49"/>
  <c r="GW8" i="49"/>
  <c r="GV8" i="49"/>
  <c r="GU8" i="49"/>
  <c r="GT8" i="49"/>
  <c r="GS8" i="49"/>
  <c r="GR8" i="49"/>
  <c r="GQ8" i="49"/>
  <c r="GP8" i="49"/>
  <c r="GO8" i="49"/>
  <c r="GN8" i="49"/>
  <c r="GM8" i="49"/>
  <c r="GX7" i="49"/>
  <c r="GW7" i="49"/>
  <c r="GV7" i="49"/>
  <c r="GU7" i="49"/>
  <c r="GT7" i="49"/>
  <c r="GS7" i="49"/>
  <c r="GR7" i="49"/>
  <c r="GQ7" i="49"/>
  <c r="GP7" i="49"/>
  <c r="GO7" i="49"/>
  <c r="GN7" i="49"/>
  <c r="GM7" i="49"/>
  <c r="GX6" i="49"/>
  <c r="GW6" i="49"/>
  <c r="GV6" i="49"/>
  <c r="GU6" i="49"/>
  <c r="GT6" i="49"/>
  <c r="GS6" i="49"/>
  <c r="GR6" i="49"/>
  <c r="GQ6" i="49"/>
  <c r="GP6" i="49"/>
  <c r="GO6" i="49"/>
  <c r="GN6" i="49"/>
  <c r="GM6" i="49"/>
  <c r="GL33" i="49"/>
  <c r="GK33" i="49"/>
  <c r="GJ33" i="49"/>
  <c r="GI33" i="49"/>
  <c r="GH33" i="49"/>
  <c r="GG33" i="49"/>
  <c r="GF33" i="49"/>
  <c r="GE33" i="49"/>
  <c r="GD33" i="49"/>
  <c r="GC33" i="49"/>
  <c r="GB33" i="49"/>
  <c r="GA33" i="49"/>
  <c r="GL32" i="49"/>
  <c r="GK32" i="49"/>
  <c r="GJ32" i="49"/>
  <c r="GI32" i="49"/>
  <c r="GH32" i="49"/>
  <c r="GG32" i="49"/>
  <c r="GF32" i="49"/>
  <c r="GE32" i="49"/>
  <c r="GD32" i="49"/>
  <c r="GC32" i="49"/>
  <c r="GB32" i="49"/>
  <c r="GA32" i="49"/>
  <c r="GL31" i="49"/>
  <c r="GK31" i="49"/>
  <c r="GJ31" i="49"/>
  <c r="GI31" i="49"/>
  <c r="GH31" i="49"/>
  <c r="GG31" i="49"/>
  <c r="GF31" i="49"/>
  <c r="GE31" i="49"/>
  <c r="GD31" i="49"/>
  <c r="GC31" i="49"/>
  <c r="GB31" i="49"/>
  <c r="GA31" i="49"/>
  <c r="GL30" i="49"/>
  <c r="GK30" i="49"/>
  <c r="GJ30" i="49"/>
  <c r="GI30" i="49"/>
  <c r="GH30" i="49"/>
  <c r="GG30" i="49"/>
  <c r="GF30" i="49"/>
  <c r="GE30" i="49"/>
  <c r="GD30" i="49"/>
  <c r="GC30" i="49"/>
  <c r="GB30" i="49"/>
  <c r="GA30" i="49"/>
  <c r="GL29" i="49"/>
  <c r="GK29" i="49"/>
  <c r="GJ29" i="49"/>
  <c r="GI29" i="49"/>
  <c r="GH29" i="49"/>
  <c r="GG29" i="49"/>
  <c r="GF29" i="49"/>
  <c r="GE29" i="49"/>
  <c r="GD29" i="49"/>
  <c r="GC29" i="49"/>
  <c r="GB29" i="49"/>
  <c r="GA29" i="49"/>
  <c r="GL28" i="49"/>
  <c r="GK28" i="49"/>
  <c r="GJ28" i="49"/>
  <c r="GI28" i="49"/>
  <c r="GH28" i="49"/>
  <c r="GG28" i="49"/>
  <c r="GF28" i="49"/>
  <c r="GE28" i="49"/>
  <c r="GD28" i="49"/>
  <c r="GC28" i="49"/>
  <c r="GB28" i="49"/>
  <c r="GA28" i="49"/>
  <c r="GL27" i="49"/>
  <c r="GK27" i="49"/>
  <c r="GJ27" i="49"/>
  <c r="GI27" i="49"/>
  <c r="GH27" i="49"/>
  <c r="GG27" i="49"/>
  <c r="GF27" i="49"/>
  <c r="GE27" i="49"/>
  <c r="GD27" i="49"/>
  <c r="GC27" i="49"/>
  <c r="GB27" i="49"/>
  <c r="GA27" i="49"/>
  <c r="GL26" i="49"/>
  <c r="GK26" i="49"/>
  <c r="GJ26" i="49"/>
  <c r="GI26" i="49"/>
  <c r="GH26" i="49"/>
  <c r="GG26" i="49"/>
  <c r="GF26" i="49"/>
  <c r="GE26" i="49"/>
  <c r="GD26" i="49"/>
  <c r="GC26" i="49"/>
  <c r="GB26" i="49"/>
  <c r="GA26" i="49"/>
  <c r="GL25" i="49"/>
  <c r="GK25" i="49"/>
  <c r="GJ25" i="49"/>
  <c r="GI25" i="49"/>
  <c r="GH25" i="49"/>
  <c r="GG25" i="49"/>
  <c r="GF25" i="49"/>
  <c r="GE25" i="49"/>
  <c r="GD25" i="49"/>
  <c r="GC25" i="49"/>
  <c r="GB25" i="49"/>
  <c r="GA25" i="49"/>
  <c r="GL24" i="49"/>
  <c r="GK24" i="49"/>
  <c r="GJ24" i="49"/>
  <c r="GI24" i="49"/>
  <c r="GH24" i="49"/>
  <c r="GG24" i="49"/>
  <c r="GF24" i="49"/>
  <c r="GE24" i="49"/>
  <c r="GD24" i="49"/>
  <c r="GC24" i="49"/>
  <c r="GB24" i="49"/>
  <c r="GA24" i="49"/>
  <c r="GL23" i="49"/>
  <c r="GK23" i="49"/>
  <c r="GJ23" i="49"/>
  <c r="GI23" i="49"/>
  <c r="GH23" i="49"/>
  <c r="GG23" i="49"/>
  <c r="GF23" i="49"/>
  <c r="GE23" i="49"/>
  <c r="GD23" i="49"/>
  <c r="GC23" i="49"/>
  <c r="GB23" i="49"/>
  <c r="GA23" i="49"/>
  <c r="GL22" i="49"/>
  <c r="GK22" i="49"/>
  <c r="GJ22" i="49"/>
  <c r="GI22" i="49"/>
  <c r="GH22" i="49"/>
  <c r="GG22" i="49"/>
  <c r="GF22" i="49"/>
  <c r="GE22" i="49"/>
  <c r="GD22" i="49"/>
  <c r="GC22" i="49"/>
  <c r="GB22" i="49"/>
  <c r="GA22" i="49"/>
  <c r="GL21" i="49"/>
  <c r="GK21" i="49"/>
  <c r="GJ21" i="49"/>
  <c r="GI21" i="49"/>
  <c r="GH21" i="49"/>
  <c r="GG21" i="49"/>
  <c r="GF21" i="49"/>
  <c r="GE21" i="49"/>
  <c r="GD21" i="49"/>
  <c r="GC21" i="49"/>
  <c r="GB21" i="49"/>
  <c r="GA21" i="49"/>
  <c r="GL20" i="49"/>
  <c r="GK20" i="49"/>
  <c r="GJ20" i="49"/>
  <c r="GI20" i="49"/>
  <c r="GH20" i="49"/>
  <c r="GG20" i="49"/>
  <c r="GF20" i="49"/>
  <c r="GE20" i="49"/>
  <c r="GD20" i="49"/>
  <c r="GC20" i="49"/>
  <c r="GB20" i="49"/>
  <c r="GA20" i="49"/>
  <c r="GL19" i="49"/>
  <c r="GK19" i="49"/>
  <c r="GJ19" i="49"/>
  <c r="GI19" i="49"/>
  <c r="GH19" i="49"/>
  <c r="GG19" i="49"/>
  <c r="GF19" i="49"/>
  <c r="GE19" i="49"/>
  <c r="GD19" i="49"/>
  <c r="GC19" i="49"/>
  <c r="GB19" i="49"/>
  <c r="GA19" i="49"/>
  <c r="GL18" i="49"/>
  <c r="GK18" i="49"/>
  <c r="GJ18" i="49"/>
  <c r="GI18" i="49"/>
  <c r="GH18" i="49"/>
  <c r="GG18" i="49"/>
  <c r="GF18" i="49"/>
  <c r="GE18" i="49"/>
  <c r="GD18" i="49"/>
  <c r="GC18" i="49"/>
  <c r="GB18" i="49"/>
  <c r="GA18" i="49"/>
  <c r="GL17" i="49"/>
  <c r="GK17" i="49"/>
  <c r="GJ17" i="49"/>
  <c r="GI17" i="49"/>
  <c r="GH17" i="49"/>
  <c r="GG17" i="49"/>
  <c r="GF17" i="49"/>
  <c r="GE17" i="49"/>
  <c r="GD17" i="49"/>
  <c r="GC17" i="49"/>
  <c r="GB17" i="49"/>
  <c r="GA17" i="49"/>
  <c r="GL16" i="49"/>
  <c r="GK16" i="49"/>
  <c r="GJ16" i="49"/>
  <c r="GI16" i="49"/>
  <c r="GH16" i="49"/>
  <c r="GG16" i="49"/>
  <c r="GF16" i="49"/>
  <c r="GE16" i="49"/>
  <c r="GD16" i="49"/>
  <c r="GC16" i="49"/>
  <c r="GB16" i="49"/>
  <c r="GA16" i="49"/>
  <c r="GL15" i="49"/>
  <c r="GK15" i="49"/>
  <c r="GJ15" i="49"/>
  <c r="GI15" i="49"/>
  <c r="GH15" i="49"/>
  <c r="GG15" i="49"/>
  <c r="GF15" i="49"/>
  <c r="GE15" i="49"/>
  <c r="GD15" i="49"/>
  <c r="GC15" i="49"/>
  <c r="GB15" i="49"/>
  <c r="GA15" i="49"/>
  <c r="GL14" i="49"/>
  <c r="GK14" i="49"/>
  <c r="GJ14" i="49"/>
  <c r="GI14" i="49"/>
  <c r="GH14" i="49"/>
  <c r="GG14" i="49"/>
  <c r="GF14" i="49"/>
  <c r="GE14" i="49"/>
  <c r="GD14" i="49"/>
  <c r="GC14" i="49"/>
  <c r="GB14" i="49"/>
  <c r="GA14" i="49"/>
  <c r="GL13" i="49"/>
  <c r="GK13" i="49"/>
  <c r="GJ13" i="49"/>
  <c r="GI13" i="49"/>
  <c r="GH13" i="49"/>
  <c r="GG13" i="49"/>
  <c r="GF13" i="49"/>
  <c r="GE13" i="49"/>
  <c r="GD13" i="49"/>
  <c r="GC13" i="49"/>
  <c r="GB13" i="49"/>
  <c r="GA13" i="49"/>
  <c r="GL12" i="49"/>
  <c r="GK12" i="49"/>
  <c r="GJ12" i="49"/>
  <c r="GI12" i="49"/>
  <c r="GH12" i="49"/>
  <c r="GG12" i="49"/>
  <c r="GF12" i="49"/>
  <c r="GE12" i="49"/>
  <c r="GD12" i="49"/>
  <c r="GC12" i="49"/>
  <c r="GB12" i="49"/>
  <c r="GA12" i="49"/>
  <c r="GL11" i="49"/>
  <c r="GK11" i="49"/>
  <c r="GJ11" i="49"/>
  <c r="GI11" i="49"/>
  <c r="GH11" i="49"/>
  <c r="GG11" i="49"/>
  <c r="GF11" i="49"/>
  <c r="GE11" i="49"/>
  <c r="GD11" i="49"/>
  <c r="GC11" i="49"/>
  <c r="GB11" i="49"/>
  <c r="GA11" i="49"/>
  <c r="GL10" i="49"/>
  <c r="GK10" i="49"/>
  <c r="GJ10" i="49"/>
  <c r="GI10" i="49"/>
  <c r="GH10" i="49"/>
  <c r="GG10" i="49"/>
  <c r="GF10" i="49"/>
  <c r="GE10" i="49"/>
  <c r="GD10" i="49"/>
  <c r="GC10" i="49"/>
  <c r="GB10" i="49"/>
  <c r="GA10" i="49"/>
  <c r="GL9" i="49"/>
  <c r="GK9" i="49"/>
  <c r="GJ9" i="49"/>
  <c r="GI9" i="49"/>
  <c r="GH9" i="49"/>
  <c r="GG9" i="49"/>
  <c r="GF9" i="49"/>
  <c r="GE9" i="49"/>
  <c r="GD9" i="49"/>
  <c r="GC9" i="49"/>
  <c r="GB9" i="49"/>
  <c r="GA9" i="49"/>
  <c r="GL8" i="49"/>
  <c r="GK8" i="49"/>
  <c r="GJ8" i="49"/>
  <c r="GI8" i="49"/>
  <c r="GH8" i="49"/>
  <c r="GG8" i="49"/>
  <c r="GF8" i="49"/>
  <c r="GE8" i="49"/>
  <c r="GD8" i="49"/>
  <c r="GC8" i="49"/>
  <c r="GB8" i="49"/>
  <c r="GA8" i="49"/>
  <c r="GL7" i="49"/>
  <c r="GK7" i="49"/>
  <c r="GJ7" i="49"/>
  <c r="GI7" i="49"/>
  <c r="GH7" i="49"/>
  <c r="GG7" i="49"/>
  <c r="GF7" i="49"/>
  <c r="GE7" i="49"/>
  <c r="GD7" i="49"/>
  <c r="GC7" i="49"/>
  <c r="GB7" i="49"/>
  <c r="GA7" i="49"/>
  <c r="GL6" i="49"/>
  <c r="GK6" i="49"/>
  <c r="GJ6" i="49"/>
  <c r="GI6" i="49"/>
  <c r="GH6" i="49"/>
  <c r="GG6" i="49"/>
  <c r="GF6" i="49"/>
  <c r="GE6" i="49"/>
  <c r="GD6" i="49"/>
  <c r="GC6" i="49"/>
  <c r="GB6" i="49"/>
  <c r="GA6" i="49"/>
  <c r="FZ33" i="49"/>
  <c r="FY33" i="49"/>
  <c r="FX33" i="49"/>
  <c r="FW33" i="49"/>
  <c r="FV33" i="49"/>
  <c r="FU33" i="49"/>
  <c r="FT33" i="49"/>
  <c r="FS33" i="49"/>
  <c r="FR33" i="49"/>
  <c r="FQ33" i="49"/>
  <c r="FP33" i="49"/>
  <c r="FO33" i="49"/>
  <c r="FZ32" i="49"/>
  <c r="FY32" i="49"/>
  <c r="FX32" i="49"/>
  <c r="FW32" i="49"/>
  <c r="FV32" i="49"/>
  <c r="FU32" i="49"/>
  <c r="FT32" i="49"/>
  <c r="FS32" i="49"/>
  <c r="FR32" i="49"/>
  <c r="FQ32" i="49"/>
  <c r="FP32" i="49"/>
  <c r="FO32" i="49"/>
  <c r="FZ31" i="49"/>
  <c r="FY31" i="49"/>
  <c r="FX31" i="49"/>
  <c r="FW31" i="49"/>
  <c r="FV31" i="49"/>
  <c r="FU31" i="49"/>
  <c r="FT31" i="49"/>
  <c r="FS31" i="49"/>
  <c r="FR31" i="49"/>
  <c r="FQ31" i="49"/>
  <c r="FP31" i="49"/>
  <c r="FO31" i="49"/>
  <c r="FZ30" i="49"/>
  <c r="FY30" i="49"/>
  <c r="FX30" i="49"/>
  <c r="FW30" i="49"/>
  <c r="FV30" i="49"/>
  <c r="FU30" i="49"/>
  <c r="FT30" i="49"/>
  <c r="FS30" i="49"/>
  <c r="FR30" i="49"/>
  <c r="FQ30" i="49"/>
  <c r="FP30" i="49"/>
  <c r="FO30" i="49"/>
  <c r="FZ29" i="49"/>
  <c r="FY29" i="49"/>
  <c r="FX29" i="49"/>
  <c r="FW29" i="49"/>
  <c r="FV29" i="49"/>
  <c r="FU29" i="49"/>
  <c r="FT29" i="49"/>
  <c r="FS29" i="49"/>
  <c r="FR29" i="49"/>
  <c r="FQ29" i="49"/>
  <c r="FP29" i="49"/>
  <c r="FO29" i="49"/>
  <c r="FZ28" i="49"/>
  <c r="FY28" i="49"/>
  <c r="FX28" i="49"/>
  <c r="FW28" i="49"/>
  <c r="FV28" i="49"/>
  <c r="FU28" i="49"/>
  <c r="FT28" i="49"/>
  <c r="FS28" i="49"/>
  <c r="FR28" i="49"/>
  <c r="FQ28" i="49"/>
  <c r="FP28" i="49"/>
  <c r="FO28" i="49"/>
  <c r="FZ27" i="49"/>
  <c r="FY27" i="49"/>
  <c r="FX27" i="49"/>
  <c r="FW27" i="49"/>
  <c r="FV27" i="49"/>
  <c r="FU27" i="49"/>
  <c r="FT27" i="49"/>
  <c r="FS27" i="49"/>
  <c r="FR27" i="49"/>
  <c r="FQ27" i="49"/>
  <c r="FP27" i="49"/>
  <c r="FO27" i="49"/>
  <c r="FZ26" i="49"/>
  <c r="FY26" i="49"/>
  <c r="FX26" i="49"/>
  <c r="FW26" i="49"/>
  <c r="FV26" i="49"/>
  <c r="FU26" i="49"/>
  <c r="FT26" i="49"/>
  <c r="FS26" i="49"/>
  <c r="FR26" i="49"/>
  <c r="FQ26" i="49"/>
  <c r="FP26" i="49"/>
  <c r="FO26" i="49"/>
  <c r="FZ25" i="49"/>
  <c r="FY25" i="49"/>
  <c r="FX25" i="49"/>
  <c r="FW25" i="49"/>
  <c r="FV25" i="49"/>
  <c r="FU25" i="49"/>
  <c r="FT25" i="49"/>
  <c r="FS25" i="49"/>
  <c r="FR25" i="49"/>
  <c r="FQ25" i="49"/>
  <c r="FP25" i="49"/>
  <c r="FO25" i="49"/>
  <c r="FZ24" i="49"/>
  <c r="FY24" i="49"/>
  <c r="FX24" i="49"/>
  <c r="FW24" i="49"/>
  <c r="FV24" i="49"/>
  <c r="FU24" i="49"/>
  <c r="FT24" i="49"/>
  <c r="FS24" i="49"/>
  <c r="FR24" i="49"/>
  <c r="FQ24" i="49"/>
  <c r="FP24" i="49"/>
  <c r="FO24" i="49"/>
  <c r="FZ23" i="49"/>
  <c r="FY23" i="49"/>
  <c r="FX23" i="49"/>
  <c r="FW23" i="49"/>
  <c r="FV23" i="49"/>
  <c r="FU23" i="49"/>
  <c r="FT23" i="49"/>
  <c r="FS23" i="49"/>
  <c r="FR23" i="49"/>
  <c r="FQ23" i="49"/>
  <c r="FP23" i="49"/>
  <c r="FO23" i="49"/>
  <c r="FZ22" i="49"/>
  <c r="FY22" i="49"/>
  <c r="FX22" i="49"/>
  <c r="FW22" i="49"/>
  <c r="FV22" i="49"/>
  <c r="FU22" i="49"/>
  <c r="FT22" i="49"/>
  <c r="FS22" i="49"/>
  <c r="FR22" i="49"/>
  <c r="FQ22" i="49"/>
  <c r="FP22" i="49"/>
  <c r="FO22" i="49"/>
  <c r="FZ21" i="49"/>
  <c r="FY21" i="49"/>
  <c r="FX21" i="49"/>
  <c r="FW21" i="49"/>
  <c r="FV21" i="49"/>
  <c r="FU21" i="49"/>
  <c r="FT21" i="49"/>
  <c r="FS21" i="49"/>
  <c r="FR21" i="49"/>
  <c r="FQ21" i="49"/>
  <c r="FP21" i="49"/>
  <c r="FO21" i="49"/>
  <c r="FZ20" i="49"/>
  <c r="FY20" i="49"/>
  <c r="FX20" i="49"/>
  <c r="FW20" i="49"/>
  <c r="FV20" i="49"/>
  <c r="FU20" i="49"/>
  <c r="FT20" i="49"/>
  <c r="FS20" i="49"/>
  <c r="FR20" i="49"/>
  <c r="FQ20" i="49"/>
  <c r="FP20" i="49"/>
  <c r="FO20" i="49"/>
  <c r="FZ19" i="49"/>
  <c r="FY19" i="49"/>
  <c r="FX19" i="49"/>
  <c r="FW19" i="49"/>
  <c r="FV19" i="49"/>
  <c r="FU19" i="49"/>
  <c r="FT19" i="49"/>
  <c r="FS19" i="49"/>
  <c r="FR19" i="49"/>
  <c r="FQ19" i="49"/>
  <c r="FP19" i="49"/>
  <c r="FO19" i="49"/>
  <c r="FZ18" i="49"/>
  <c r="FY18" i="49"/>
  <c r="FX18" i="49"/>
  <c r="FW18" i="49"/>
  <c r="FV18" i="49"/>
  <c r="FU18" i="49"/>
  <c r="FT18" i="49"/>
  <c r="FS18" i="49"/>
  <c r="FR18" i="49"/>
  <c r="FQ18" i="49"/>
  <c r="FP18" i="49"/>
  <c r="FO18" i="49"/>
  <c r="FZ17" i="49"/>
  <c r="FY17" i="49"/>
  <c r="FX17" i="49"/>
  <c r="FW17" i="49"/>
  <c r="FV17" i="49"/>
  <c r="FU17" i="49"/>
  <c r="FT17" i="49"/>
  <c r="FS17" i="49"/>
  <c r="FR17" i="49"/>
  <c r="FQ17" i="49"/>
  <c r="FP17" i="49"/>
  <c r="FO17" i="49"/>
  <c r="FZ16" i="49"/>
  <c r="FY16" i="49"/>
  <c r="FX16" i="49"/>
  <c r="FW16" i="49"/>
  <c r="FV16" i="49"/>
  <c r="FU16" i="49"/>
  <c r="FT16" i="49"/>
  <c r="FS16" i="49"/>
  <c r="FR16" i="49"/>
  <c r="FQ16" i="49"/>
  <c r="FP16" i="49"/>
  <c r="FO16" i="49"/>
  <c r="FZ15" i="49"/>
  <c r="FY15" i="49"/>
  <c r="FX15" i="49"/>
  <c r="FW15" i="49"/>
  <c r="FV15" i="49"/>
  <c r="FU15" i="49"/>
  <c r="FT15" i="49"/>
  <c r="FS15" i="49"/>
  <c r="FR15" i="49"/>
  <c r="FQ15" i="49"/>
  <c r="FP15" i="49"/>
  <c r="FO15" i="49"/>
  <c r="FZ14" i="49"/>
  <c r="FY14" i="49"/>
  <c r="FX14" i="49"/>
  <c r="FW14" i="49"/>
  <c r="FV14" i="49"/>
  <c r="FU14" i="49"/>
  <c r="FT14" i="49"/>
  <c r="FS14" i="49"/>
  <c r="FR14" i="49"/>
  <c r="FQ14" i="49"/>
  <c r="FP14" i="49"/>
  <c r="FO14" i="49"/>
  <c r="FZ13" i="49"/>
  <c r="FY13" i="49"/>
  <c r="FX13" i="49"/>
  <c r="FW13" i="49"/>
  <c r="FV13" i="49"/>
  <c r="FU13" i="49"/>
  <c r="FT13" i="49"/>
  <c r="FS13" i="49"/>
  <c r="FR13" i="49"/>
  <c r="FQ13" i="49"/>
  <c r="FP13" i="49"/>
  <c r="FO13" i="49"/>
  <c r="FZ12" i="49"/>
  <c r="FY12" i="49"/>
  <c r="FX12" i="49"/>
  <c r="FW12" i="49"/>
  <c r="FV12" i="49"/>
  <c r="FU12" i="49"/>
  <c r="FT12" i="49"/>
  <c r="FS12" i="49"/>
  <c r="FR12" i="49"/>
  <c r="FQ12" i="49"/>
  <c r="FP12" i="49"/>
  <c r="FO12" i="49"/>
  <c r="FZ11" i="49"/>
  <c r="FY11" i="49"/>
  <c r="FX11" i="49"/>
  <c r="FW11" i="49"/>
  <c r="FV11" i="49"/>
  <c r="FU11" i="49"/>
  <c r="FT11" i="49"/>
  <c r="FS11" i="49"/>
  <c r="FR11" i="49"/>
  <c r="FQ11" i="49"/>
  <c r="FP11" i="49"/>
  <c r="FO11" i="49"/>
  <c r="FZ10" i="49"/>
  <c r="FY10" i="49"/>
  <c r="FX10" i="49"/>
  <c r="FW10" i="49"/>
  <c r="FV10" i="49"/>
  <c r="FU10" i="49"/>
  <c r="FT10" i="49"/>
  <c r="FS10" i="49"/>
  <c r="FR10" i="49"/>
  <c r="FQ10" i="49"/>
  <c r="FP10" i="49"/>
  <c r="FO10" i="49"/>
  <c r="FZ9" i="49"/>
  <c r="FY9" i="49"/>
  <c r="FX9" i="49"/>
  <c r="FW9" i="49"/>
  <c r="FV9" i="49"/>
  <c r="FU9" i="49"/>
  <c r="FT9" i="49"/>
  <c r="FS9" i="49"/>
  <c r="FR9" i="49"/>
  <c r="FQ9" i="49"/>
  <c r="FP9" i="49"/>
  <c r="FO9" i="49"/>
  <c r="FZ8" i="49"/>
  <c r="FY8" i="49"/>
  <c r="FX8" i="49"/>
  <c r="FW8" i="49"/>
  <c r="FV8" i="49"/>
  <c r="FU8" i="49"/>
  <c r="FT8" i="49"/>
  <c r="FS8" i="49"/>
  <c r="FR8" i="49"/>
  <c r="FQ8" i="49"/>
  <c r="FP8" i="49"/>
  <c r="FO8" i="49"/>
  <c r="FZ7" i="49"/>
  <c r="FY7" i="49"/>
  <c r="FX7" i="49"/>
  <c r="FW7" i="49"/>
  <c r="FV7" i="49"/>
  <c r="FU7" i="49"/>
  <c r="FT7" i="49"/>
  <c r="FS7" i="49"/>
  <c r="FR7" i="49"/>
  <c r="FQ7" i="49"/>
  <c r="FP7" i="49"/>
  <c r="FO7" i="49"/>
  <c r="FZ6" i="49"/>
  <c r="FY6" i="49"/>
  <c r="FX6" i="49"/>
  <c r="FW6" i="49"/>
  <c r="FV6" i="49"/>
  <c r="FU6" i="49"/>
  <c r="FT6" i="49"/>
  <c r="FS6" i="49"/>
  <c r="FR6" i="49"/>
  <c r="FQ6" i="49"/>
  <c r="FP6" i="49"/>
  <c r="FO6" i="49"/>
  <c r="FN33" i="49"/>
  <c r="FM33" i="49"/>
  <c r="FL33" i="49"/>
  <c r="FK33" i="49"/>
  <c r="FJ33" i="49"/>
  <c r="FI33" i="49"/>
  <c r="FH33" i="49"/>
  <c r="FG33" i="49"/>
  <c r="FF33" i="49"/>
  <c r="FE33" i="49"/>
  <c r="FD33" i="49"/>
  <c r="FC33" i="49"/>
  <c r="FN32" i="49"/>
  <c r="FM32" i="49"/>
  <c r="FL32" i="49"/>
  <c r="FK32" i="49"/>
  <c r="FJ32" i="49"/>
  <c r="FI32" i="49"/>
  <c r="FH32" i="49"/>
  <c r="FG32" i="49"/>
  <c r="FF32" i="49"/>
  <c r="FE32" i="49"/>
  <c r="FD32" i="49"/>
  <c r="FC32" i="49"/>
  <c r="FN31" i="49"/>
  <c r="FM31" i="49"/>
  <c r="FL31" i="49"/>
  <c r="FK31" i="49"/>
  <c r="FJ31" i="49"/>
  <c r="FI31" i="49"/>
  <c r="FH31" i="49"/>
  <c r="FG31" i="49"/>
  <c r="FF31" i="49"/>
  <c r="FE31" i="49"/>
  <c r="FD31" i="49"/>
  <c r="FC31" i="49"/>
  <c r="FN30" i="49"/>
  <c r="FM30" i="49"/>
  <c r="FL30" i="49"/>
  <c r="FK30" i="49"/>
  <c r="FJ30" i="49"/>
  <c r="FI30" i="49"/>
  <c r="FH30" i="49"/>
  <c r="FG30" i="49"/>
  <c r="FF30" i="49"/>
  <c r="FE30" i="49"/>
  <c r="FD30" i="49"/>
  <c r="FC30" i="49"/>
  <c r="FN29" i="49"/>
  <c r="FM29" i="49"/>
  <c r="FL29" i="49"/>
  <c r="FK29" i="49"/>
  <c r="FJ29" i="49"/>
  <c r="FI29" i="49"/>
  <c r="FH29" i="49"/>
  <c r="FG29" i="49"/>
  <c r="FF29" i="49"/>
  <c r="FE29" i="49"/>
  <c r="FD29" i="49"/>
  <c r="FC29" i="49"/>
  <c r="FN28" i="49"/>
  <c r="FM28" i="49"/>
  <c r="FL28" i="49"/>
  <c r="FK28" i="49"/>
  <c r="FJ28" i="49"/>
  <c r="FI28" i="49"/>
  <c r="FH28" i="49"/>
  <c r="FG28" i="49"/>
  <c r="FF28" i="49"/>
  <c r="FE28" i="49"/>
  <c r="FD28" i="49"/>
  <c r="FC28" i="49"/>
  <c r="FN27" i="49"/>
  <c r="FM27" i="49"/>
  <c r="FL27" i="49"/>
  <c r="FK27" i="49"/>
  <c r="FJ27" i="49"/>
  <c r="FI27" i="49"/>
  <c r="FH27" i="49"/>
  <c r="FG27" i="49"/>
  <c r="FF27" i="49"/>
  <c r="FE27" i="49"/>
  <c r="FD27" i="49"/>
  <c r="FC27" i="49"/>
  <c r="FN26" i="49"/>
  <c r="FM26" i="49"/>
  <c r="FL26" i="49"/>
  <c r="FK26" i="49"/>
  <c r="FJ26" i="49"/>
  <c r="FI26" i="49"/>
  <c r="FH26" i="49"/>
  <c r="FG26" i="49"/>
  <c r="FF26" i="49"/>
  <c r="FE26" i="49"/>
  <c r="FD26" i="49"/>
  <c r="FC26" i="49"/>
  <c r="FN25" i="49"/>
  <c r="FM25" i="49"/>
  <c r="FL25" i="49"/>
  <c r="FK25" i="49"/>
  <c r="FJ25" i="49"/>
  <c r="FI25" i="49"/>
  <c r="FH25" i="49"/>
  <c r="FG25" i="49"/>
  <c r="FF25" i="49"/>
  <c r="FE25" i="49"/>
  <c r="FD25" i="49"/>
  <c r="FC25" i="49"/>
  <c r="FN24" i="49"/>
  <c r="FM24" i="49"/>
  <c r="FL24" i="49"/>
  <c r="FK24" i="49"/>
  <c r="FJ24" i="49"/>
  <c r="FI24" i="49"/>
  <c r="FH24" i="49"/>
  <c r="FG24" i="49"/>
  <c r="FF24" i="49"/>
  <c r="FE24" i="49"/>
  <c r="FD24" i="49"/>
  <c r="FC24" i="49"/>
  <c r="FN23" i="49"/>
  <c r="FM23" i="49"/>
  <c r="FL23" i="49"/>
  <c r="FK23" i="49"/>
  <c r="FJ23" i="49"/>
  <c r="FI23" i="49"/>
  <c r="FH23" i="49"/>
  <c r="FG23" i="49"/>
  <c r="FF23" i="49"/>
  <c r="FE23" i="49"/>
  <c r="FD23" i="49"/>
  <c r="FC23" i="49"/>
  <c r="FN22" i="49"/>
  <c r="FM22" i="49"/>
  <c r="FL22" i="49"/>
  <c r="FK22" i="49"/>
  <c r="FJ22" i="49"/>
  <c r="FI22" i="49"/>
  <c r="FH22" i="49"/>
  <c r="FG22" i="49"/>
  <c r="FF22" i="49"/>
  <c r="FE22" i="49"/>
  <c r="FD22" i="49"/>
  <c r="FC22" i="49"/>
  <c r="FN21" i="49"/>
  <c r="FM21" i="49"/>
  <c r="FL21" i="49"/>
  <c r="FK21" i="49"/>
  <c r="FJ21" i="49"/>
  <c r="FI21" i="49"/>
  <c r="FH21" i="49"/>
  <c r="FG21" i="49"/>
  <c r="FF21" i="49"/>
  <c r="FE21" i="49"/>
  <c r="FD21" i="49"/>
  <c r="FC21" i="49"/>
  <c r="FN20" i="49"/>
  <c r="FM20" i="49"/>
  <c r="FL20" i="49"/>
  <c r="FK20" i="49"/>
  <c r="FJ20" i="49"/>
  <c r="FI20" i="49"/>
  <c r="FH20" i="49"/>
  <c r="FG20" i="49"/>
  <c r="FF20" i="49"/>
  <c r="FE20" i="49"/>
  <c r="FD20" i="49"/>
  <c r="FC20" i="49"/>
  <c r="FN19" i="49"/>
  <c r="FM19" i="49"/>
  <c r="FL19" i="49"/>
  <c r="FK19" i="49"/>
  <c r="FJ19" i="49"/>
  <c r="FI19" i="49"/>
  <c r="FH19" i="49"/>
  <c r="FG19" i="49"/>
  <c r="FF19" i="49"/>
  <c r="FE19" i="49"/>
  <c r="FD19" i="49"/>
  <c r="FC19" i="49"/>
  <c r="FN18" i="49"/>
  <c r="FM18" i="49"/>
  <c r="FL18" i="49"/>
  <c r="FK18" i="49"/>
  <c r="FJ18" i="49"/>
  <c r="FI18" i="49"/>
  <c r="FH18" i="49"/>
  <c r="FG18" i="49"/>
  <c r="FF18" i="49"/>
  <c r="FE18" i="49"/>
  <c r="FD18" i="49"/>
  <c r="FC18" i="49"/>
  <c r="FN17" i="49"/>
  <c r="FM17" i="49"/>
  <c r="FL17" i="49"/>
  <c r="FK17" i="49"/>
  <c r="FJ17" i="49"/>
  <c r="FI17" i="49"/>
  <c r="FH17" i="49"/>
  <c r="FG17" i="49"/>
  <c r="FF17" i="49"/>
  <c r="FE17" i="49"/>
  <c r="FD17" i="49"/>
  <c r="FC17" i="49"/>
  <c r="FN16" i="49"/>
  <c r="FM16" i="49"/>
  <c r="FL16" i="49"/>
  <c r="FK16" i="49"/>
  <c r="FJ16" i="49"/>
  <c r="FI16" i="49"/>
  <c r="FH16" i="49"/>
  <c r="FG16" i="49"/>
  <c r="FF16" i="49"/>
  <c r="FE16" i="49"/>
  <c r="FD16" i="49"/>
  <c r="FC16" i="49"/>
  <c r="FN15" i="49"/>
  <c r="FM15" i="49"/>
  <c r="FL15" i="49"/>
  <c r="FK15" i="49"/>
  <c r="FJ15" i="49"/>
  <c r="FI15" i="49"/>
  <c r="FH15" i="49"/>
  <c r="FG15" i="49"/>
  <c r="FF15" i="49"/>
  <c r="FE15" i="49"/>
  <c r="FD15" i="49"/>
  <c r="FC15" i="49"/>
  <c r="FN14" i="49"/>
  <c r="FM14" i="49"/>
  <c r="FL14" i="49"/>
  <c r="FK14" i="49"/>
  <c r="FJ14" i="49"/>
  <c r="FI14" i="49"/>
  <c r="FH14" i="49"/>
  <c r="FG14" i="49"/>
  <c r="FF14" i="49"/>
  <c r="FE14" i="49"/>
  <c r="FD14" i="49"/>
  <c r="FC14" i="49"/>
  <c r="FN13" i="49"/>
  <c r="FM13" i="49"/>
  <c r="FL13" i="49"/>
  <c r="FK13" i="49"/>
  <c r="FJ13" i="49"/>
  <c r="FI13" i="49"/>
  <c r="FH13" i="49"/>
  <c r="FG13" i="49"/>
  <c r="FF13" i="49"/>
  <c r="FE13" i="49"/>
  <c r="FD13" i="49"/>
  <c r="FC13" i="49"/>
  <c r="FN12" i="49"/>
  <c r="FM12" i="49"/>
  <c r="FL12" i="49"/>
  <c r="FK12" i="49"/>
  <c r="FJ12" i="49"/>
  <c r="FI12" i="49"/>
  <c r="FH12" i="49"/>
  <c r="FG12" i="49"/>
  <c r="FF12" i="49"/>
  <c r="FE12" i="49"/>
  <c r="FD12" i="49"/>
  <c r="FC12" i="49"/>
  <c r="FN11" i="49"/>
  <c r="FM11" i="49"/>
  <c r="FL11" i="49"/>
  <c r="FK11" i="49"/>
  <c r="FJ11" i="49"/>
  <c r="FI11" i="49"/>
  <c r="FH11" i="49"/>
  <c r="FG11" i="49"/>
  <c r="FF11" i="49"/>
  <c r="FE11" i="49"/>
  <c r="FD11" i="49"/>
  <c r="FC11" i="49"/>
  <c r="FN10" i="49"/>
  <c r="FM10" i="49"/>
  <c r="FL10" i="49"/>
  <c r="FK10" i="49"/>
  <c r="FJ10" i="49"/>
  <c r="FI10" i="49"/>
  <c r="FH10" i="49"/>
  <c r="FG10" i="49"/>
  <c r="FF10" i="49"/>
  <c r="FE10" i="49"/>
  <c r="FD10" i="49"/>
  <c r="FC10" i="49"/>
  <c r="FN9" i="49"/>
  <c r="FM9" i="49"/>
  <c r="FL9" i="49"/>
  <c r="FK9" i="49"/>
  <c r="FJ9" i="49"/>
  <c r="FI9" i="49"/>
  <c r="FH9" i="49"/>
  <c r="FG9" i="49"/>
  <c r="FF9" i="49"/>
  <c r="FE9" i="49"/>
  <c r="FD9" i="49"/>
  <c r="FC9" i="49"/>
  <c r="FN8" i="49"/>
  <c r="FM8" i="49"/>
  <c r="FL8" i="49"/>
  <c r="FK8" i="49"/>
  <c r="FJ8" i="49"/>
  <c r="FI8" i="49"/>
  <c r="FH8" i="49"/>
  <c r="FG8" i="49"/>
  <c r="FF8" i="49"/>
  <c r="FE8" i="49"/>
  <c r="FD8" i="49"/>
  <c r="FC8" i="49"/>
  <c r="FN7" i="49"/>
  <c r="FM7" i="49"/>
  <c r="FL7" i="49"/>
  <c r="FK7" i="49"/>
  <c r="FJ7" i="49"/>
  <c r="FI7" i="49"/>
  <c r="FH7" i="49"/>
  <c r="FG7" i="49"/>
  <c r="FF7" i="49"/>
  <c r="FE7" i="49"/>
  <c r="FD7" i="49"/>
  <c r="FC7" i="49"/>
  <c r="FN6" i="49"/>
  <c r="FM6" i="49"/>
  <c r="FL6" i="49"/>
  <c r="FK6" i="49"/>
  <c r="FJ6" i="49"/>
  <c r="FI6" i="49"/>
  <c r="FH6" i="49"/>
  <c r="FG6" i="49"/>
  <c r="FF6" i="49"/>
  <c r="FE6" i="49"/>
  <c r="FD6" i="49"/>
  <c r="FC6" i="49"/>
  <c r="FB33" i="49"/>
  <c r="FA33" i="49"/>
  <c r="EZ33" i="49"/>
  <c r="EY33" i="49"/>
  <c r="EX33" i="49"/>
  <c r="EW33" i="49"/>
  <c r="EV33" i="49"/>
  <c r="EU33" i="49"/>
  <c r="ET33" i="49"/>
  <c r="ES33" i="49"/>
  <c r="ER33" i="49"/>
  <c r="EQ33" i="49"/>
  <c r="FB32" i="49"/>
  <c r="FA32" i="49"/>
  <c r="EZ32" i="49"/>
  <c r="EY32" i="49"/>
  <c r="EX32" i="49"/>
  <c r="EW32" i="49"/>
  <c r="EV32" i="49"/>
  <c r="EU32" i="49"/>
  <c r="ET32" i="49"/>
  <c r="ES32" i="49"/>
  <c r="ER32" i="49"/>
  <c r="EQ32" i="49"/>
  <c r="FB31" i="49"/>
  <c r="FA31" i="49"/>
  <c r="EZ31" i="49"/>
  <c r="EY31" i="49"/>
  <c r="EX31" i="49"/>
  <c r="EW31" i="49"/>
  <c r="EV31" i="49"/>
  <c r="EU31" i="49"/>
  <c r="ET31" i="49"/>
  <c r="ES31" i="49"/>
  <c r="ER31" i="49"/>
  <c r="EQ31" i="49"/>
  <c r="FB30" i="49"/>
  <c r="FA30" i="49"/>
  <c r="EZ30" i="49"/>
  <c r="EY30" i="49"/>
  <c r="EX30" i="49"/>
  <c r="EW30" i="49"/>
  <c r="EV30" i="49"/>
  <c r="EU30" i="49"/>
  <c r="ET30" i="49"/>
  <c r="ES30" i="49"/>
  <c r="ER30" i="49"/>
  <c r="EQ30" i="49"/>
  <c r="FB29" i="49"/>
  <c r="FA29" i="49"/>
  <c r="EZ29" i="49"/>
  <c r="EY29" i="49"/>
  <c r="EX29" i="49"/>
  <c r="EW29" i="49"/>
  <c r="EV29" i="49"/>
  <c r="EU29" i="49"/>
  <c r="ET29" i="49"/>
  <c r="ES29" i="49"/>
  <c r="ER29" i="49"/>
  <c r="EQ29" i="49"/>
  <c r="FB28" i="49"/>
  <c r="FA28" i="49"/>
  <c r="EZ28" i="49"/>
  <c r="EY28" i="49"/>
  <c r="EX28" i="49"/>
  <c r="EW28" i="49"/>
  <c r="EV28" i="49"/>
  <c r="EU28" i="49"/>
  <c r="ET28" i="49"/>
  <c r="ES28" i="49"/>
  <c r="ER28" i="49"/>
  <c r="EQ28" i="49"/>
  <c r="FB27" i="49"/>
  <c r="FA27" i="49"/>
  <c r="EZ27" i="49"/>
  <c r="EY27" i="49"/>
  <c r="EX27" i="49"/>
  <c r="EW27" i="49"/>
  <c r="EV27" i="49"/>
  <c r="EU27" i="49"/>
  <c r="ET27" i="49"/>
  <c r="ES27" i="49"/>
  <c r="ER27" i="49"/>
  <c r="EQ27" i="49"/>
  <c r="FB26" i="49"/>
  <c r="FA26" i="49"/>
  <c r="EZ26" i="49"/>
  <c r="EY26" i="49"/>
  <c r="EX26" i="49"/>
  <c r="EW26" i="49"/>
  <c r="EV26" i="49"/>
  <c r="EU26" i="49"/>
  <c r="ET26" i="49"/>
  <c r="ES26" i="49"/>
  <c r="ER26" i="49"/>
  <c r="EQ26" i="49"/>
  <c r="FB25" i="49"/>
  <c r="FA25" i="49"/>
  <c r="EZ25" i="49"/>
  <c r="EY25" i="49"/>
  <c r="EX25" i="49"/>
  <c r="EW25" i="49"/>
  <c r="EV25" i="49"/>
  <c r="EU25" i="49"/>
  <c r="ET25" i="49"/>
  <c r="ES25" i="49"/>
  <c r="ER25" i="49"/>
  <c r="EQ25" i="49"/>
  <c r="FB24" i="49"/>
  <c r="FA24" i="49"/>
  <c r="EZ24" i="49"/>
  <c r="EY24" i="49"/>
  <c r="EX24" i="49"/>
  <c r="EW24" i="49"/>
  <c r="EV24" i="49"/>
  <c r="EU24" i="49"/>
  <c r="ET24" i="49"/>
  <c r="ES24" i="49"/>
  <c r="ER24" i="49"/>
  <c r="EQ24" i="49"/>
  <c r="FB23" i="49"/>
  <c r="FA23" i="49"/>
  <c r="EZ23" i="49"/>
  <c r="EY23" i="49"/>
  <c r="EX23" i="49"/>
  <c r="EW23" i="49"/>
  <c r="EV23" i="49"/>
  <c r="EU23" i="49"/>
  <c r="ET23" i="49"/>
  <c r="ES23" i="49"/>
  <c r="ER23" i="49"/>
  <c r="EQ23" i="49"/>
  <c r="FB22" i="49"/>
  <c r="FA22" i="49"/>
  <c r="EZ22" i="49"/>
  <c r="EY22" i="49"/>
  <c r="EX22" i="49"/>
  <c r="EW22" i="49"/>
  <c r="EV22" i="49"/>
  <c r="EU22" i="49"/>
  <c r="ET22" i="49"/>
  <c r="ES22" i="49"/>
  <c r="ER22" i="49"/>
  <c r="EQ22" i="49"/>
  <c r="FB21" i="49"/>
  <c r="FA21" i="49"/>
  <c r="EZ21" i="49"/>
  <c r="EY21" i="49"/>
  <c r="EX21" i="49"/>
  <c r="EW21" i="49"/>
  <c r="EV21" i="49"/>
  <c r="EU21" i="49"/>
  <c r="ET21" i="49"/>
  <c r="ES21" i="49"/>
  <c r="ER21" i="49"/>
  <c r="EQ21" i="49"/>
  <c r="FB20" i="49"/>
  <c r="FA20" i="49"/>
  <c r="EZ20" i="49"/>
  <c r="EY20" i="49"/>
  <c r="EX20" i="49"/>
  <c r="EW20" i="49"/>
  <c r="EV20" i="49"/>
  <c r="EU20" i="49"/>
  <c r="ET20" i="49"/>
  <c r="ES20" i="49"/>
  <c r="ER20" i="49"/>
  <c r="EQ20" i="49"/>
  <c r="FB19" i="49"/>
  <c r="FA19" i="49"/>
  <c r="EZ19" i="49"/>
  <c r="EY19" i="49"/>
  <c r="EX19" i="49"/>
  <c r="EW19" i="49"/>
  <c r="EV19" i="49"/>
  <c r="EU19" i="49"/>
  <c r="ET19" i="49"/>
  <c r="ES19" i="49"/>
  <c r="ER19" i="49"/>
  <c r="EQ19" i="49"/>
  <c r="FB18" i="49"/>
  <c r="FA18" i="49"/>
  <c r="EZ18" i="49"/>
  <c r="EY18" i="49"/>
  <c r="EX18" i="49"/>
  <c r="EW18" i="49"/>
  <c r="EV18" i="49"/>
  <c r="EU18" i="49"/>
  <c r="ET18" i="49"/>
  <c r="ES18" i="49"/>
  <c r="ER18" i="49"/>
  <c r="EQ18" i="49"/>
  <c r="FB17" i="49"/>
  <c r="FA17" i="49"/>
  <c r="EZ17" i="49"/>
  <c r="EY17" i="49"/>
  <c r="EX17" i="49"/>
  <c r="EW17" i="49"/>
  <c r="EV17" i="49"/>
  <c r="EU17" i="49"/>
  <c r="ET17" i="49"/>
  <c r="ES17" i="49"/>
  <c r="ER17" i="49"/>
  <c r="EQ17" i="49"/>
  <c r="FB16" i="49"/>
  <c r="FA16" i="49"/>
  <c r="EZ16" i="49"/>
  <c r="EY16" i="49"/>
  <c r="EX16" i="49"/>
  <c r="EW16" i="49"/>
  <c r="EV16" i="49"/>
  <c r="EU16" i="49"/>
  <c r="ET16" i="49"/>
  <c r="ES16" i="49"/>
  <c r="ER16" i="49"/>
  <c r="EQ16" i="49"/>
  <c r="FB15" i="49"/>
  <c r="FA15" i="49"/>
  <c r="EZ15" i="49"/>
  <c r="EY15" i="49"/>
  <c r="EX15" i="49"/>
  <c r="EW15" i="49"/>
  <c r="EV15" i="49"/>
  <c r="EU15" i="49"/>
  <c r="ET15" i="49"/>
  <c r="ES15" i="49"/>
  <c r="ER15" i="49"/>
  <c r="EQ15" i="49"/>
  <c r="FB14" i="49"/>
  <c r="FA14" i="49"/>
  <c r="EZ14" i="49"/>
  <c r="EY14" i="49"/>
  <c r="EX14" i="49"/>
  <c r="EW14" i="49"/>
  <c r="EV14" i="49"/>
  <c r="EU14" i="49"/>
  <c r="ET14" i="49"/>
  <c r="ES14" i="49"/>
  <c r="ER14" i="49"/>
  <c r="EQ14" i="49"/>
  <c r="FB13" i="49"/>
  <c r="FA13" i="49"/>
  <c r="EZ13" i="49"/>
  <c r="EY13" i="49"/>
  <c r="EX13" i="49"/>
  <c r="EW13" i="49"/>
  <c r="EV13" i="49"/>
  <c r="EU13" i="49"/>
  <c r="ET13" i="49"/>
  <c r="ES13" i="49"/>
  <c r="ER13" i="49"/>
  <c r="EQ13" i="49"/>
  <c r="FB12" i="49"/>
  <c r="FA12" i="49"/>
  <c r="EZ12" i="49"/>
  <c r="EY12" i="49"/>
  <c r="EX12" i="49"/>
  <c r="EW12" i="49"/>
  <c r="EV12" i="49"/>
  <c r="EU12" i="49"/>
  <c r="ET12" i="49"/>
  <c r="ES12" i="49"/>
  <c r="ER12" i="49"/>
  <c r="EQ12" i="49"/>
  <c r="FB11" i="49"/>
  <c r="FA11" i="49"/>
  <c r="EZ11" i="49"/>
  <c r="EY11" i="49"/>
  <c r="EX11" i="49"/>
  <c r="EW11" i="49"/>
  <c r="EV11" i="49"/>
  <c r="EU11" i="49"/>
  <c r="ET11" i="49"/>
  <c r="ES11" i="49"/>
  <c r="ER11" i="49"/>
  <c r="EQ11" i="49"/>
  <c r="FB10" i="49"/>
  <c r="FA10" i="49"/>
  <c r="EZ10" i="49"/>
  <c r="EY10" i="49"/>
  <c r="EX10" i="49"/>
  <c r="EW10" i="49"/>
  <c r="EV10" i="49"/>
  <c r="EU10" i="49"/>
  <c r="ET10" i="49"/>
  <c r="ES10" i="49"/>
  <c r="ER10" i="49"/>
  <c r="EQ10" i="49"/>
  <c r="FB9" i="49"/>
  <c r="FA9" i="49"/>
  <c r="EZ9" i="49"/>
  <c r="EY9" i="49"/>
  <c r="EX9" i="49"/>
  <c r="EW9" i="49"/>
  <c r="EV9" i="49"/>
  <c r="EU9" i="49"/>
  <c r="ET9" i="49"/>
  <c r="ES9" i="49"/>
  <c r="ER9" i="49"/>
  <c r="EQ9" i="49"/>
  <c r="FB8" i="49"/>
  <c r="FA8" i="49"/>
  <c r="EZ8" i="49"/>
  <c r="EY8" i="49"/>
  <c r="EX8" i="49"/>
  <c r="EW8" i="49"/>
  <c r="EV8" i="49"/>
  <c r="EU8" i="49"/>
  <c r="ET8" i="49"/>
  <c r="ES8" i="49"/>
  <c r="ER8" i="49"/>
  <c r="EQ8" i="49"/>
  <c r="FB7" i="49"/>
  <c r="FA7" i="49"/>
  <c r="EZ7" i="49"/>
  <c r="EY7" i="49"/>
  <c r="EX7" i="49"/>
  <c r="EW7" i="49"/>
  <c r="EV7" i="49"/>
  <c r="EU7" i="49"/>
  <c r="ET7" i="49"/>
  <c r="ES7" i="49"/>
  <c r="ER7" i="49"/>
  <c r="EQ7" i="49"/>
  <c r="FB6" i="49"/>
  <c r="FA6" i="49"/>
  <c r="EZ6" i="49"/>
  <c r="EY6" i="49"/>
  <c r="EX6" i="49"/>
  <c r="EW6" i="49"/>
  <c r="EV6" i="49"/>
  <c r="EU6" i="49"/>
  <c r="ET6" i="49"/>
  <c r="ES6" i="49"/>
  <c r="ER6" i="49"/>
  <c r="EQ6" i="49"/>
  <c r="EP33" i="49"/>
  <c r="EO33" i="49"/>
  <c r="EN33" i="49"/>
  <c r="EM33" i="49"/>
  <c r="EL33" i="49"/>
  <c r="EK33" i="49"/>
  <c r="EJ33" i="49"/>
  <c r="EI33" i="49"/>
  <c r="EH33" i="49"/>
  <c r="EG33" i="49"/>
  <c r="EF33" i="49"/>
  <c r="EE33" i="49"/>
  <c r="EP32" i="49"/>
  <c r="EO32" i="49"/>
  <c r="EN32" i="49"/>
  <c r="EM32" i="49"/>
  <c r="EL32" i="49"/>
  <c r="EK32" i="49"/>
  <c r="EJ32" i="49"/>
  <c r="EI32" i="49"/>
  <c r="EH32" i="49"/>
  <c r="EG32" i="49"/>
  <c r="EF32" i="49"/>
  <c r="EE32" i="49"/>
  <c r="EP31" i="49"/>
  <c r="EO31" i="49"/>
  <c r="EN31" i="49"/>
  <c r="EM31" i="49"/>
  <c r="EL31" i="49"/>
  <c r="EK31" i="49"/>
  <c r="EJ31" i="49"/>
  <c r="EI31" i="49"/>
  <c r="EH31" i="49"/>
  <c r="EG31" i="49"/>
  <c r="EF31" i="49"/>
  <c r="EE31" i="49"/>
  <c r="EP30" i="49"/>
  <c r="EO30" i="49"/>
  <c r="EN30" i="49"/>
  <c r="EM30" i="49"/>
  <c r="EL30" i="49"/>
  <c r="EK30" i="49"/>
  <c r="EJ30" i="49"/>
  <c r="EI30" i="49"/>
  <c r="EH30" i="49"/>
  <c r="EG30" i="49"/>
  <c r="EF30" i="49"/>
  <c r="EE30" i="49"/>
  <c r="EP29" i="49"/>
  <c r="EO29" i="49"/>
  <c r="EN29" i="49"/>
  <c r="EM29" i="49"/>
  <c r="EL29" i="49"/>
  <c r="EK29" i="49"/>
  <c r="EJ29" i="49"/>
  <c r="EI29" i="49"/>
  <c r="EH29" i="49"/>
  <c r="EG29" i="49"/>
  <c r="EF29" i="49"/>
  <c r="EE29" i="49"/>
  <c r="EP28" i="49"/>
  <c r="EO28" i="49"/>
  <c r="EN28" i="49"/>
  <c r="EM28" i="49"/>
  <c r="EL28" i="49"/>
  <c r="EK28" i="49"/>
  <c r="EJ28" i="49"/>
  <c r="EI28" i="49"/>
  <c r="EH28" i="49"/>
  <c r="EG28" i="49"/>
  <c r="EF28" i="49"/>
  <c r="EE28" i="49"/>
  <c r="EP27" i="49"/>
  <c r="EO27" i="49"/>
  <c r="EN27" i="49"/>
  <c r="EM27" i="49"/>
  <c r="EL27" i="49"/>
  <c r="EK27" i="49"/>
  <c r="EJ27" i="49"/>
  <c r="EI27" i="49"/>
  <c r="EH27" i="49"/>
  <c r="EG27" i="49"/>
  <c r="EF27" i="49"/>
  <c r="EE27" i="49"/>
  <c r="EP26" i="49"/>
  <c r="EO26" i="49"/>
  <c r="EN26" i="49"/>
  <c r="EM26" i="49"/>
  <c r="EL26" i="49"/>
  <c r="EK26" i="49"/>
  <c r="EJ26" i="49"/>
  <c r="EI26" i="49"/>
  <c r="EH26" i="49"/>
  <c r="EG26" i="49"/>
  <c r="EF26" i="49"/>
  <c r="EE26" i="49"/>
  <c r="EP25" i="49"/>
  <c r="EO25" i="49"/>
  <c r="EN25" i="49"/>
  <c r="EM25" i="49"/>
  <c r="EL25" i="49"/>
  <c r="EK25" i="49"/>
  <c r="EJ25" i="49"/>
  <c r="EI25" i="49"/>
  <c r="EH25" i="49"/>
  <c r="EG25" i="49"/>
  <c r="EF25" i="49"/>
  <c r="EE25" i="49"/>
  <c r="EP24" i="49"/>
  <c r="EO24" i="49"/>
  <c r="EN24" i="49"/>
  <c r="EM24" i="49"/>
  <c r="EL24" i="49"/>
  <c r="EK24" i="49"/>
  <c r="EJ24" i="49"/>
  <c r="EI24" i="49"/>
  <c r="EH24" i="49"/>
  <c r="EG24" i="49"/>
  <c r="EF24" i="49"/>
  <c r="EE24" i="49"/>
  <c r="EP23" i="49"/>
  <c r="EO23" i="49"/>
  <c r="EN23" i="49"/>
  <c r="EM23" i="49"/>
  <c r="EL23" i="49"/>
  <c r="EK23" i="49"/>
  <c r="EJ23" i="49"/>
  <c r="EI23" i="49"/>
  <c r="EH23" i="49"/>
  <c r="EG23" i="49"/>
  <c r="EF23" i="49"/>
  <c r="EE23" i="49"/>
  <c r="EP22" i="49"/>
  <c r="EO22" i="49"/>
  <c r="EN22" i="49"/>
  <c r="EM22" i="49"/>
  <c r="EL22" i="49"/>
  <c r="EK22" i="49"/>
  <c r="EJ22" i="49"/>
  <c r="EI22" i="49"/>
  <c r="EH22" i="49"/>
  <c r="EG22" i="49"/>
  <c r="EF22" i="49"/>
  <c r="EE22" i="49"/>
  <c r="EP21" i="49"/>
  <c r="EO21" i="49"/>
  <c r="EN21" i="49"/>
  <c r="EM21" i="49"/>
  <c r="EL21" i="49"/>
  <c r="EK21" i="49"/>
  <c r="EJ21" i="49"/>
  <c r="EI21" i="49"/>
  <c r="EH21" i="49"/>
  <c r="EG21" i="49"/>
  <c r="EF21" i="49"/>
  <c r="EE21" i="49"/>
  <c r="EP20" i="49"/>
  <c r="EO20" i="49"/>
  <c r="EN20" i="49"/>
  <c r="EM20" i="49"/>
  <c r="EL20" i="49"/>
  <c r="EK20" i="49"/>
  <c r="EJ20" i="49"/>
  <c r="EI20" i="49"/>
  <c r="EH20" i="49"/>
  <c r="EG20" i="49"/>
  <c r="EF20" i="49"/>
  <c r="EE20" i="49"/>
  <c r="EP19" i="49"/>
  <c r="EO19" i="49"/>
  <c r="EN19" i="49"/>
  <c r="EM19" i="49"/>
  <c r="EL19" i="49"/>
  <c r="EK19" i="49"/>
  <c r="EJ19" i="49"/>
  <c r="EI19" i="49"/>
  <c r="EH19" i="49"/>
  <c r="EG19" i="49"/>
  <c r="EF19" i="49"/>
  <c r="EE19" i="49"/>
  <c r="EP18" i="49"/>
  <c r="EO18" i="49"/>
  <c r="EN18" i="49"/>
  <c r="EM18" i="49"/>
  <c r="EL18" i="49"/>
  <c r="EK18" i="49"/>
  <c r="EJ18" i="49"/>
  <c r="EI18" i="49"/>
  <c r="EH18" i="49"/>
  <c r="EG18" i="49"/>
  <c r="EF18" i="49"/>
  <c r="EE18" i="49"/>
  <c r="EP17" i="49"/>
  <c r="EO17" i="49"/>
  <c r="EN17" i="49"/>
  <c r="EM17" i="49"/>
  <c r="EL17" i="49"/>
  <c r="EK17" i="49"/>
  <c r="EJ17" i="49"/>
  <c r="EI17" i="49"/>
  <c r="EH17" i="49"/>
  <c r="EG17" i="49"/>
  <c r="EF17" i="49"/>
  <c r="EE17" i="49"/>
  <c r="EP16" i="49"/>
  <c r="EO16" i="49"/>
  <c r="EN16" i="49"/>
  <c r="EM16" i="49"/>
  <c r="EL16" i="49"/>
  <c r="EK16" i="49"/>
  <c r="EJ16" i="49"/>
  <c r="EI16" i="49"/>
  <c r="EH16" i="49"/>
  <c r="EG16" i="49"/>
  <c r="EF16" i="49"/>
  <c r="EE16" i="49"/>
  <c r="EP15" i="49"/>
  <c r="EO15" i="49"/>
  <c r="EN15" i="49"/>
  <c r="EM15" i="49"/>
  <c r="EL15" i="49"/>
  <c r="EK15" i="49"/>
  <c r="EJ15" i="49"/>
  <c r="EI15" i="49"/>
  <c r="EH15" i="49"/>
  <c r="EG15" i="49"/>
  <c r="EF15" i="49"/>
  <c r="EE15" i="49"/>
  <c r="EP14" i="49"/>
  <c r="EO14" i="49"/>
  <c r="EN14" i="49"/>
  <c r="EM14" i="49"/>
  <c r="EL14" i="49"/>
  <c r="EK14" i="49"/>
  <c r="EJ14" i="49"/>
  <c r="EI14" i="49"/>
  <c r="EH14" i="49"/>
  <c r="EG14" i="49"/>
  <c r="EF14" i="49"/>
  <c r="EE14" i="49"/>
  <c r="EP13" i="49"/>
  <c r="EO13" i="49"/>
  <c r="EN13" i="49"/>
  <c r="EM13" i="49"/>
  <c r="EL13" i="49"/>
  <c r="EK13" i="49"/>
  <c r="EJ13" i="49"/>
  <c r="EI13" i="49"/>
  <c r="EH13" i="49"/>
  <c r="EG13" i="49"/>
  <c r="EF13" i="49"/>
  <c r="EE13" i="49"/>
  <c r="EP12" i="49"/>
  <c r="EO12" i="49"/>
  <c r="EN12" i="49"/>
  <c r="EM12" i="49"/>
  <c r="EL12" i="49"/>
  <c r="EK12" i="49"/>
  <c r="EJ12" i="49"/>
  <c r="EI12" i="49"/>
  <c r="EH12" i="49"/>
  <c r="EG12" i="49"/>
  <c r="EF12" i="49"/>
  <c r="EE12" i="49"/>
  <c r="EP11" i="49"/>
  <c r="EO11" i="49"/>
  <c r="EN11" i="49"/>
  <c r="EM11" i="49"/>
  <c r="EL11" i="49"/>
  <c r="EK11" i="49"/>
  <c r="EJ11" i="49"/>
  <c r="EI11" i="49"/>
  <c r="EH11" i="49"/>
  <c r="EG11" i="49"/>
  <c r="EF11" i="49"/>
  <c r="EE11" i="49"/>
  <c r="EP10" i="49"/>
  <c r="EO10" i="49"/>
  <c r="EN10" i="49"/>
  <c r="EM10" i="49"/>
  <c r="EL10" i="49"/>
  <c r="EK10" i="49"/>
  <c r="EJ10" i="49"/>
  <c r="EI10" i="49"/>
  <c r="EH10" i="49"/>
  <c r="EG10" i="49"/>
  <c r="EF10" i="49"/>
  <c r="EE10" i="49"/>
  <c r="EP9" i="49"/>
  <c r="EO9" i="49"/>
  <c r="EN9" i="49"/>
  <c r="EM9" i="49"/>
  <c r="EL9" i="49"/>
  <c r="EK9" i="49"/>
  <c r="EJ9" i="49"/>
  <c r="EI9" i="49"/>
  <c r="EH9" i="49"/>
  <c r="EG9" i="49"/>
  <c r="EF9" i="49"/>
  <c r="EE9" i="49"/>
  <c r="EP8" i="49"/>
  <c r="EO8" i="49"/>
  <c r="EN8" i="49"/>
  <c r="EM8" i="49"/>
  <c r="EL8" i="49"/>
  <c r="EK8" i="49"/>
  <c r="EJ8" i="49"/>
  <c r="EI8" i="49"/>
  <c r="EH8" i="49"/>
  <c r="EG8" i="49"/>
  <c r="EF8" i="49"/>
  <c r="EE8" i="49"/>
  <c r="EP7" i="49"/>
  <c r="EO7" i="49"/>
  <c r="EN7" i="49"/>
  <c r="EM7" i="49"/>
  <c r="EL7" i="49"/>
  <c r="EK7" i="49"/>
  <c r="EJ7" i="49"/>
  <c r="EI7" i="49"/>
  <c r="EH7" i="49"/>
  <c r="EG7" i="49"/>
  <c r="EF7" i="49"/>
  <c r="EE7" i="49"/>
  <c r="EP6" i="49"/>
  <c r="EO6" i="49"/>
  <c r="EN6" i="49"/>
  <c r="EM6" i="49"/>
  <c r="EL6" i="49"/>
  <c r="EK6" i="49"/>
  <c r="EJ6" i="49"/>
  <c r="EI6" i="49"/>
  <c r="EH6" i="49"/>
  <c r="EG6" i="49"/>
  <c r="EF6" i="49"/>
  <c r="EE6" i="49"/>
  <c r="ED33" i="49"/>
  <c r="EC33" i="49"/>
  <c r="EB33" i="49"/>
  <c r="EA33" i="49"/>
  <c r="DZ33" i="49"/>
  <c r="DY33" i="49"/>
  <c r="DX33" i="49"/>
  <c r="DW33" i="49"/>
  <c r="DV33" i="49"/>
  <c r="DU33" i="49"/>
  <c r="DT33" i="49"/>
  <c r="DS33" i="49"/>
  <c r="ED32" i="49"/>
  <c r="EC32" i="49"/>
  <c r="EB32" i="49"/>
  <c r="EA32" i="49"/>
  <c r="DZ32" i="49"/>
  <c r="DY32" i="49"/>
  <c r="DX32" i="49"/>
  <c r="DW32" i="49"/>
  <c r="DV32" i="49"/>
  <c r="DU32" i="49"/>
  <c r="DT32" i="49"/>
  <c r="DS32" i="49"/>
  <c r="ED31" i="49"/>
  <c r="EC31" i="49"/>
  <c r="EB31" i="49"/>
  <c r="EA31" i="49"/>
  <c r="DZ31" i="49"/>
  <c r="DY31" i="49"/>
  <c r="DX31" i="49"/>
  <c r="DW31" i="49"/>
  <c r="DV31" i="49"/>
  <c r="DU31" i="49"/>
  <c r="DT31" i="49"/>
  <c r="DS31" i="49"/>
  <c r="ED30" i="49"/>
  <c r="EC30" i="49"/>
  <c r="EB30" i="49"/>
  <c r="EA30" i="49"/>
  <c r="DZ30" i="49"/>
  <c r="DY30" i="49"/>
  <c r="DX30" i="49"/>
  <c r="DW30" i="49"/>
  <c r="DV30" i="49"/>
  <c r="DU30" i="49"/>
  <c r="DT30" i="49"/>
  <c r="DS30" i="49"/>
  <c r="ED29" i="49"/>
  <c r="EC29" i="49"/>
  <c r="EB29" i="49"/>
  <c r="EA29" i="49"/>
  <c r="DZ29" i="49"/>
  <c r="DY29" i="49"/>
  <c r="DX29" i="49"/>
  <c r="DW29" i="49"/>
  <c r="DV29" i="49"/>
  <c r="DU29" i="49"/>
  <c r="DT29" i="49"/>
  <c r="DS29" i="49"/>
  <c r="ED28" i="49"/>
  <c r="EC28" i="49"/>
  <c r="EB28" i="49"/>
  <c r="EA28" i="49"/>
  <c r="DZ28" i="49"/>
  <c r="DY28" i="49"/>
  <c r="DX28" i="49"/>
  <c r="DW28" i="49"/>
  <c r="DV28" i="49"/>
  <c r="DU28" i="49"/>
  <c r="DT28" i="49"/>
  <c r="DS28" i="49"/>
  <c r="ED27" i="49"/>
  <c r="EC27" i="49"/>
  <c r="EB27" i="49"/>
  <c r="EA27" i="49"/>
  <c r="DZ27" i="49"/>
  <c r="DY27" i="49"/>
  <c r="DX27" i="49"/>
  <c r="DW27" i="49"/>
  <c r="DV27" i="49"/>
  <c r="DU27" i="49"/>
  <c r="DT27" i="49"/>
  <c r="DS27" i="49"/>
  <c r="ED26" i="49"/>
  <c r="EC26" i="49"/>
  <c r="EB26" i="49"/>
  <c r="EA26" i="49"/>
  <c r="DZ26" i="49"/>
  <c r="DY26" i="49"/>
  <c r="DX26" i="49"/>
  <c r="DW26" i="49"/>
  <c r="DV26" i="49"/>
  <c r="DU26" i="49"/>
  <c r="DT26" i="49"/>
  <c r="DS26" i="49"/>
  <c r="ED25" i="49"/>
  <c r="EC25" i="49"/>
  <c r="EB25" i="49"/>
  <c r="EA25" i="49"/>
  <c r="DZ25" i="49"/>
  <c r="DY25" i="49"/>
  <c r="DX25" i="49"/>
  <c r="DW25" i="49"/>
  <c r="DV25" i="49"/>
  <c r="DU25" i="49"/>
  <c r="DT25" i="49"/>
  <c r="DS25" i="49"/>
  <c r="ED24" i="49"/>
  <c r="EC24" i="49"/>
  <c r="EB24" i="49"/>
  <c r="EA24" i="49"/>
  <c r="DZ24" i="49"/>
  <c r="DY24" i="49"/>
  <c r="DX24" i="49"/>
  <c r="DW24" i="49"/>
  <c r="DV24" i="49"/>
  <c r="DU24" i="49"/>
  <c r="DT24" i="49"/>
  <c r="DS24" i="49"/>
  <c r="ED23" i="49"/>
  <c r="EC23" i="49"/>
  <c r="EB23" i="49"/>
  <c r="EA23" i="49"/>
  <c r="DZ23" i="49"/>
  <c r="DY23" i="49"/>
  <c r="DX23" i="49"/>
  <c r="DW23" i="49"/>
  <c r="DV23" i="49"/>
  <c r="DU23" i="49"/>
  <c r="DT23" i="49"/>
  <c r="DS23" i="49"/>
  <c r="ED22" i="49"/>
  <c r="EC22" i="49"/>
  <c r="EB22" i="49"/>
  <c r="EA22" i="49"/>
  <c r="DZ22" i="49"/>
  <c r="DY22" i="49"/>
  <c r="DX22" i="49"/>
  <c r="DW22" i="49"/>
  <c r="DV22" i="49"/>
  <c r="DU22" i="49"/>
  <c r="DT22" i="49"/>
  <c r="DS22" i="49"/>
  <c r="ED21" i="49"/>
  <c r="EC21" i="49"/>
  <c r="EB21" i="49"/>
  <c r="EA21" i="49"/>
  <c r="DZ21" i="49"/>
  <c r="DY21" i="49"/>
  <c r="DX21" i="49"/>
  <c r="DW21" i="49"/>
  <c r="DV21" i="49"/>
  <c r="DU21" i="49"/>
  <c r="DT21" i="49"/>
  <c r="DS21" i="49"/>
  <c r="ED20" i="49"/>
  <c r="EC20" i="49"/>
  <c r="EB20" i="49"/>
  <c r="EA20" i="49"/>
  <c r="DZ20" i="49"/>
  <c r="DY20" i="49"/>
  <c r="DX20" i="49"/>
  <c r="DW20" i="49"/>
  <c r="DV20" i="49"/>
  <c r="DU20" i="49"/>
  <c r="DT20" i="49"/>
  <c r="DS20" i="49"/>
  <c r="ED19" i="49"/>
  <c r="EC19" i="49"/>
  <c r="EB19" i="49"/>
  <c r="EA19" i="49"/>
  <c r="DZ19" i="49"/>
  <c r="DY19" i="49"/>
  <c r="DX19" i="49"/>
  <c r="DW19" i="49"/>
  <c r="DV19" i="49"/>
  <c r="DU19" i="49"/>
  <c r="DT19" i="49"/>
  <c r="DS19" i="49"/>
  <c r="ED18" i="49"/>
  <c r="EC18" i="49"/>
  <c r="EB18" i="49"/>
  <c r="EA18" i="49"/>
  <c r="DZ18" i="49"/>
  <c r="DY18" i="49"/>
  <c r="DX18" i="49"/>
  <c r="DW18" i="49"/>
  <c r="DV18" i="49"/>
  <c r="DU18" i="49"/>
  <c r="DT18" i="49"/>
  <c r="DS18" i="49"/>
  <c r="ED17" i="49"/>
  <c r="EC17" i="49"/>
  <c r="EB17" i="49"/>
  <c r="EA17" i="49"/>
  <c r="DZ17" i="49"/>
  <c r="DY17" i="49"/>
  <c r="DX17" i="49"/>
  <c r="DW17" i="49"/>
  <c r="DV17" i="49"/>
  <c r="DU17" i="49"/>
  <c r="DT17" i="49"/>
  <c r="DS17" i="49"/>
  <c r="ED16" i="49"/>
  <c r="EC16" i="49"/>
  <c r="EB16" i="49"/>
  <c r="EA16" i="49"/>
  <c r="DZ16" i="49"/>
  <c r="DY16" i="49"/>
  <c r="DX16" i="49"/>
  <c r="DW16" i="49"/>
  <c r="DV16" i="49"/>
  <c r="DU16" i="49"/>
  <c r="DT16" i="49"/>
  <c r="DS16" i="49"/>
  <c r="ED15" i="49"/>
  <c r="EC15" i="49"/>
  <c r="EB15" i="49"/>
  <c r="EA15" i="49"/>
  <c r="DZ15" i="49"/>
  <c r="DY15" i="49"/>
  <c r="DX15" i="49"/>
  <c r="DW15" i="49"/>
  <c r="DV15" i="49"/>
  <c r="DU15" i="49"/>
  <c r="DT15" i="49"/>
  <c r="DS15" i="49"/>
  <c r="ED14" i="49"/>
  <c r="EC14" i="49"/>
  <c r="EB14" i="49"/>
  <c r="EA14" i="49"/>
  <c r="DZ14" i="49"/>
  <c r="DY14" i="49"/>
  <c r="DX14" i="49"/>
  <c r="DW14" i="49"/>
  <c r="DV14" i="49"/>
  <c r="DU14" i="49"/>
  <c r="DT14" i="49"/>
  <c r="DS14" i="49"/>
  <c r="ED13" i="49"/>
  <c r="EC13" i="49"/>
  <c r="EB13" i="49"/>
  <c r="EA13" i="49"/>
  <c r="DZ13" i="49"/>
  <c r="DY13" i="49"/>
  <c r="DX13" i="49"/>
  <c r="DW13" i="49"/>
  <c r="DV13" i="49"/>
  <c r="DU13" i="49"/>
  <c r="DT13" i="49"/>
  <c r="DS13" i="49"/>
  <c r="ED12" i="49"/>
  <c r="EC12" i="49"/>
  <c r="EB12" i="49"/>
  <c r="EA12" i="49"/>
  <c r="DZ12" i="49"/>
  <c r="DY12" i="49"/>
  <c r="DX12" i="49"/>
  <c r="DW12" i="49"/>
  <c r="DV12" i="49"/>
  <c r="DU12" i="49"/>
  <c r="DT12" i="49"/>
  <c r="DS12" i="49"/>
  <c r="ED11" i="49"/>
  <c r="EC11" i="49"/>
  <c r="EB11" i="49"/>
  <c r="EA11" i="49"/>
  <c r="DZ11" i="49"/>
  <c r="DY11" i="49"/>
  <c r="DX11" i="49"/>
  <c r="DW11" i="49"/>
  <c r="DV11" i="49"/>
  <c r="DU11" i="49"/>
  <c r="DT11" i="49"/>
  <c r="DS11" i="49"/>
  <c r="ED10" i="49"/>
  <c r="EC10" i="49"/>
  <c r="EB10" i="49"/>
  <c r="EA10" i="49"/>
  <c r="DZ10" i="49"/>
  <c r="DY10" i="49"/>
  <c r="DX10" i="49"/>
  <c r="DW10" i="49"/>
  <c r="DV10" i="49"/>
  <c r="DU10" i="49"/>
  <c r="DT10" i="49"/>
  <c r="DS10" i="49"/>
  <c r="ED9" i="49"/>
  <c r="EC9" i="49"/>
  <c r="EB9" i="49"/>
  <c r="EA9" i="49"/>
  <c r="DZ9" i="49"/>
  <c r="DY9" i="49"/>
  <c r="DX9" i="49"/>
  <c r="DW9" i="49"/>
  <c r="DV9" i="49"/>
  <c r="DU9" i="49"/>
  <c r="DT9" i="49"/>
  <c r="DS9" i="49"/>
  <c r="ED8" i="49"/>
  <c r="EC8" i="49"/>
  <c r="EB8" i="49"/>
  <c r="EA8" i="49"/>
  <c r="DZ8" i="49"/>
  <c r="DY8" i="49"/>
  <c r="DX8" i="49"/>
  <c r="DW8" i="49"/>
  <c r="DV8" i="49"/>
  <c r="DU8" i="49"/>
  <c r="DT8" i="49"/>
  <c r="DS8" i="49"/>
  <c r="ED7" i="49"/>
  <c r="EC7" i="49"/>
  <c r="EB7" i="49"/>
  <c r="EA7" i="49"/>
  <c r="DZ7" i="49"/>
  <c r="DY7" i="49"/>
  <c r="DX7" i="49"/>
  <c r="DW7" i="49"/>
  <c r="DV7" i="49"/>
  <c r="DU7" i="49"/>
  <c r="DT7" i="49"/>
  <c r="DS7" i="49"/>
  <c r="ED6" i="49"/>
  <c r="EC6" i="49"/>
  <c r="EB6" i="49"/>
  <c r="EA6" i="49"/>
  <c r="DZ6" i="49"/>
  <c r="DY6" i="49"/>
  <c r="DX6" i="49"/>
  <c r="DW6" i="49"/>
  <c r="DV6" i="49"/>
  <c r="DU6" i="49"/>
  <c r="DT6" i="49"/>
  <c r="DS6" i="49"/>
  <c r="DR33" i="49"/>
  <c r="DQ33" i="49"/>
  <c r="DP33" i="49"/>
  <c r="DO33" i="49"/>
  <c r="DN33" i="49"/>
  <c r="DM33" i="49"/>
  <c r="DL33" i="49"/>
  <c r="DK33" i="49"/>
  <c r="DJ33" i="49"/>
  <c r="DI33" i="49"/>
  <c r="DH33" i="49"/>
  <c r="DG33" i="49"/>
  <c r="DR32" i="49"/>
  <c r="DQ32" i="49"/>
  <c r="DP32" i="49"/>
  <c r="DO32" i="49"/>
  <c r="DN32" i="49"/>
  <c r="DM32" i="49"/>
  <c r="DL32" i="49"/>
  <c r="DK32" i="49"/>
  <c r="DJ32" i="49"/>
  <c r="DI32" i="49"/>
  <c r="DH32" i="49"/>
  <c r="DG32" i="49"/>
  <c r="DR31" i="49"/>
  <c r="DQ31" i="49"/>
  <c r="DP31" i="49"/>
  <c r="DO31" i="49"/>
  <c r="DN31" i="49"/>
  <c r="DM31" i="49"/>
  <c r="DL31" i="49"/>
  <c r="DK31" i="49"/>
  <c r="DJ31" i="49"/>
  <c r="DI31" i="49"/>
  <c r="DH31" i="49"/>
  <c r="DG31" i="49"/>
  <c r="DR30" i="49"/>
  <c r="DQ30" i="49"/>
  <c r="DP30" i="49"/>
  <c r="DO30" i="49"/>
  <c r="DN30" i="49"/>
  <c r="DM30" i="49"/>
  <c r="DL30" i="49"/>
  <c r="DK30" i="49"/>
  <c r="DJ30" i="49"/>
  <c r="DI30" i="49"/>
  <c r="DH30" i="49"/>
  <c r="DG30" i="49"/>
  <c r="DR29" i="49"/>
  <c r="DQ29" i="49"/>
  <c r="DP29" i="49"/>
  <c r="DO29" i="49"/>
  <c r="DN29" i="49"/>
  <c r="DM29" i="49"/>
  <c r="DL29" i="49"/>
  <c r="DK29" i="49"/>
  <c r="DJ29" i="49"/>
  <c r="DI29" i="49"/>
  <c r="DH29" i="49"/>
  <c r="DG29" i="49"/>
  <c r="DR28" i="49"/>
  <c r="DQ28" i="49"/>
  <c r="DP28" i="49"/>
  <c r="DO28" i="49"/>
  <c r="DN28" i="49"/>
  <c r="DM28" i="49"/>
  <c r="DL28" i="49"/>
  <c r="DK28" i="49"/>
  <c r="DJ28" i="49"/>
  <c r="DI28" i="49"/>
  <c r="DH28" i="49"/>
  <c r="DG28" i="49"/>
  <c r="DR27" i="49"/>
  <c r="DQ27" i="49"/>
  <c r="DP27" i="49"/>
  <c r="DO27" i="49"/>
  <c r="DN27" i="49"/>
  <c r="DM27" i="49"/>
  <c r="DL27" i="49"/>
  <c r="DK27" i="49"/>
  <c r="DJ27" i="49"/>
  <c r="DI27" i="49"/>
  <c r="DH27" i="49"/>
  <c r="DG27" i="49"/>
  <c r="DR26" i="49"/>
  <c r="DQ26" i="49"/>
  <c r="DP26" i="49"/>
  <c r="DO26" i="49"/>
  <c r="DN26" i="49"/>
  <c r="DM26" i="49"/>
  <c r="DL26" i="49"/>
  <c r="DK26" i="49"/>
  <c r="DJ26" i="49"/>
  <c r="DI26" i="49"/>
  <c r="DH26" i="49"/>
  <c r="DG26" i="49"/>
  <c r="DR25" i="49"/>
  <c r="DQ25" i="49"/>
  <c r="DP25" i="49"/>
  <c r="DO25" i="49"/>
  <c r="DN25" i="49"/>
  <c r="DM25" i="49"/>
  <c r="DL25" i="49"/>
  <c r="DK25" i="49"/>
  <c r="DJ25" i="49"/>
  <c r="DI25" i="49"/>
  <c r="DH25" i="49"/>
  <c r="DG25" i="49"/>
  <c r="DR24" i="49"/>
  <c r="DQ24" i="49"/>
  <c r="DP24" i="49"/>
  <c r="DO24" i="49"/>
  <c r="DN24" i="49"/>
  <c r="DM24" i="49"/>
  <c r="DL24" i="49"/>
  <c r="DK24" i="49"/>
  <c r="DJ24" i="49"/>
  <c r="DI24" i="49"/>
  <c r="DH24" i="49"/>
  <c r="DG24" i="49"/>
  <c r="DR23" i="49"/>
  <c r="DQ23" i="49"/>
  <c r="DP23" i="49"/>
  <c r="DO23" i="49"/>
  <c r="DN23" i="49"/>
  <c r="DM23" i="49"/>
  <c r="DL23" i="49"/>
  <c r="DK23" i="49"/>
  <c r="DJ23" i="49"/>
  <c r="DI23" i="49"/>
  <c r="DH23" i="49"/>
  <c r="DG23" i="49"/>
  <c r="DR22" i="49"/>
  <c r="DQ22" i="49"/>
  <c r="DP22" i="49"/>
  <c r="DO22" i="49"/>
  <c r="DN22" i="49"/>
  <c r="DM22" i="49"/>
  <c r="DL22" i="49"/>
  <c r="DK22" i="49"/>
  <c r="DJ22" i="49"/>
  <c r="DI22" i="49"/>
  <c r="DH22" i="49"/>
  <c r="DG22" i="49"/>
  <c r="DR21" i="49"/>
  <c r="DQ21" i="49"/>
  <c r="DP21" i="49"/>
  <c r="DO21" i="49"/>
  <c r="DN21" i="49"/>
  <c r="DM21" i="49"/>
  <c r="DL21" i="49"/>
  <c r="DK21" i="49"/>
  <c r="DJ21" i="49"/>
  <c r="DI21" i="49"/>
  <c r="DH21" i="49"/>
  <c r="DG21" i="49"/>
  <c r="DR20" i="49"/>
  <c r="DQ20" i="49"/>
  <c r="DP20" i="49"/>
  <c r="DO20" i="49"/>
  <c r="DN20" i="49"/>
  <c r="DM20" i="49"/>
  <c r="DL20" i="49"/>
  <c r="DK20" i="49"/>
  <c r="DJ20" i="49"/>
  <c r="DI20" i="49"/>
  <c r="DH20" i="49"/>
  <c r="DG20" i="49"/>
  <c r="DR19" i="49"/>
  <c r="DQ19" i="49"/>
  <c r="DP19" i="49"/>
  <c r="DO19" i="49"/>
  <c r="DN19" i="49"/>
  <c r="DM19" i="49"/>
  <c r="DL19" i="49"/>
  <c r="DK19" i="49"/>
  <c r="DJ19" i="49"/>
  <c r="DI19" i="49"/>
  <c r="DH19" i="49"/>
  <c r="DG19" i="49"/>
  <c r="DR18" i="49"/>
  <c r="DQ18" i="49"/>
  <c r="DP18" i="49"/>
  <c r="DO18" i="49"/>
  <c r="DN18" i="49"/>
  <c r="DM18" i="49"/>
  <c r="DL18" i="49"/>
  <c r="DK18" i="49"/>
  <c r="DJ18" i="49"/>
  <c r="DI18" i="49"/>
  <c r="DH18" i="49"/>
  <c r="DG18" i="49"/>
  <c r="DR17" i="49"/>
  <c r="DQ17" i="49"/>
  <c r="DP17" i="49"/>
  <c r="DO17" i="49"/>
  <c r="DN17" i="49"/>
  <c r="DM17" i="49"/>
  <c r="DL17" i="49"/>
  <c r="DK17" i="49"/>
  <c r="DJ17" i="49"/>
  <c r="DI17" i="49"/>
  <c r="DH17" i="49"/>
  <c r="DG17" i="49"/>
  <c r="DR16" i="49"/>
  <c r="DQ16" i="49"/>
  <c r="DP16" i="49"/>
  <c r="DO16" i="49"/>
  <c r="DN16" i="49"/>
  <c r="DM16" i="49"/>
  <c r="DL16" i="49"/>
  <c r="DK16" i="49"/>
  <c r="DJ16" i="49"/>
  <c r="DI16" i="49"/>
  <c r="DH16" i="49"/>
  <c r="DG16" i="49"/>
  <c r="DR15" i="49"/>
  <c r="DQ15" i="49"/>
  <c r="DP15" i="49"/>
  <c r="DO15" i="49"/>
  <c r="DN15" i="49"/>
  <c r="DM15" i="49"/>
  <c r="DL15" i="49"/>
  <c r="DK15" i="49"/>
  <c r="DJ15" i="49"/>
  <c r="DI15" i="49"/>
  <c r="DH15" i="49"/>
  <c r="DG15" i="49"/>
  <c r="DR14" i="49"/>
  <c r="DQ14" i="49"/>
  <c r="DP14" i="49"/>
  <c r="DO14" i="49"/>
  <c r="DN14" i="49"/>
  <c r="DM14" i="49"/>
  <c r="DL14" i="49"/>
  <c r="DK14" i="49"/>
  <c r="DJ14" i="49"/>
  <c r="DI14" i="49"/>
  <c r="DH14" i="49"/>
  <c r="DG14" i="49"/>
  <c r="DR13" i="49"/>
  <c r="DQ13" i="49"/>
  <c r="DP13" i="49"/>
  <c r="DO13" i="49"/>
  <c r="DN13" i="49"/>
  <c r="DM13" i="49"/>
  <c r="DL13" i="49"/>
  <c r="DK13" i="49"/>
  <c r="DJ13" i="49"/>
  <c r="DI13" i="49"/>
  <c r="DH13" i="49"/>
  <c r="DG13" i="49"/>
  <c r="DR12" i="49"/>
  <c r="DQ12" i="49"/>
  <c r="DP12" i="49"/>
  <c r="DO12" i="49"/>
  <c r="DN12" i="49"/>
  <c r="DM12" i="49"/>
  <c r="DL12" i="49"/>
  <c r="DK12" i="49"/>
  <c r="DJ12" i="49"/>
  <c r="DI12" i="49"/>
  <c r="DH12" i="49"/>
  <c r="DG12" i="49"/>
  <c r="DR11" i="49"/>
  <c r="DQ11" i="49"/>
  <c r="DP11" i="49"/>
  <c r="DO11" i="49"/>
  <c r="DN11" i="49"/>
  <c r="DM11" i="49"/>
  <c r="DL11" i="49"/>
  <c r="DK11" i="49"/>
  <c r="DJ11" i="49"/>
  <c r="DI11" i="49"/>
  <c r="DH11" i="49"/>
  <c r="DG11" i="49"/>
  <c r="DR10" i="49"/>
  <c r="DQ10" i="49"/>
  <c r="DP10" i="49"/>
  <c r="DO10" i="49"/>
  <c r="DN10" i="49"/>
  <c r="DM10" i="49"/>
  <c r="DL10" i="49"/>
  <c r="DK10" i="49"/>
  <c r="DJ10" i="49"/>
  <c r="DI10" i="49"/>
  <c r="DH10" i="49"/>
  <c r="DG10" i="49"/>
  <c r="DR9" i="49"/>
  <c r="DQ9" i="49"/>
  <c r="DP9" i="49"/>
  <c r="DO9" i="49"/>
  <c r="DN9" i="49"/>
  <c r="DM9" i="49"/>
  <c r="DL9" i="49"/>
  <c r="DK9" i="49"/>
  <c r="DJ9" i="49"/>
  <c r="DI9" i="49"/>
  <c r="DH9" i="49"/>
  <c r="DG9" i="49"/>
  <c r="DR8" i="49"/>
  <c r="DQ8" i="49"/>
  <c r="DP8" i="49"/>
  <c r="DO8" i="49"/>
  <c r="DN8" i="49"/>
  <c r="DM8" i="49"/>
  <c r="DL8" i="49"/>
  <c r="DK8" i="49"/>
  <c r="DJ8" i="49"/>
  <c r="DI8" i="49"/>
  <c r="DH8" i="49"/>
  <c r="DG8" i="49"/>
  <c r="DR7" i="49"/>
  <c r="DQ7" i="49"/>
  <c r="DP7" i="49"/>
  <c r="DO7" i="49"/>
  <c r="DN7" i="49"/>
  <c r="DM7" i="49"/>
  <c r="DL7" i="49"/>
  <c r="DK7" i="49"/>
  <c r="DJ7" i="49"/>
  <c r="DI7" i="49"/>
  <c r="DH7" i="49"/>
  <c r="DG7" i="49"/>
  <c r="DR6" i="49"/>
  <c r="DQ6" i="49"/>
  <c r="DP6" i="49"/>
  <c r="DO6" i="49"/>
  <c r="DN6" i="49"/>
  <c r="DM6" i="49"/>
  <c r="DL6" i="49"/>
  <c r="DK6" i="49"/>
  <c r="DJ6" i="49"/>
  <c r="DI6" i="49"/>
  <c r="DH6" i="49"/>
  <c r="DG6" i="49"/>
  <c r="DF33" i="49"/>
  <c r="DE33" i="49"/>
  <c r="DD33" i="49"/>
  <c r="DC33" i="49"/>
  <c r="DB33" i="49"/>
  <c r="DA33" i="49"/>
  <c r="CZ33" i="49"/>
  <c r="CY33" i="49"/>
  <c r="CX33" i="49"/>
  <c r="CW33" i="49"/>
  <c r="CV33" i="49"/>
  <c r="CU33" i="49"/>
  <c r="DF32" i="49"/>
  <c r="DE32" i="49"/>
  <c r="DD32" i="49"/>
  <c r="DC32" i="49"/>
  <c r="DB32" i="49"/>
  <c r="DA32" i="49"/>
  <c r="CZ32" i="49"/>
  <c r="CY32" i="49"/>
  <c r="CX32" i="49"/>
  <c r="CW32" i="49"/>
  <c r="CV32" i="49"/>
  <c r="CU32" i="49"/>
  <c r="DF31" i="49"/>
  <c r="DE31" i="49"/>
  <c r="DD31" i="49"/>
  <c r="DC31" i="49"/>
  <c r="DB31" i="49"/>
  <c r="DA31" i="49"/>
  <c r="CZ31" i="49"/>
  <c r="CY31" i="49"/>
  <c r="CX31" i="49"/>
  <c r="CW31" i="49"/>
  <c r="CV31" i="49"/>
  <c r="CU31" i="49"/>
  <c r="DF30" i="49"/>
  <c r="DE30" i="49"/>
  <c r="DD30" i="49"/>
  <c r="DC30" i="49"/>
  <c r="DB30" i="49"/>
  <c r="DA30" i="49"/>
  <c r="CZ30" i="49"/>
  <c r="CY30" i="49"/>
  <c r="CX30" i="49"/>
  <c r="CW30" i="49"/>
  <c r="CV30" i="49"/>
  <c r="CU30" i="49"/>
  <c r="DF29" i="49"/>
  <c r="DE29" i="49"/>
  <c r="DD29" i="49"/>
  <c r="DC29" i="49"/>
  <c r="DB29" i="49"/>
  <c r="DA29" i="49"/>
  <c r="CZ29" i="49"/>
  <c r="CY29" i="49"/>
  <c r="CX29" i="49"/>
  <c r="CW29" i="49"/>
  <c r="CV29" i="49"/>
  <c r="CU29" i="49"/>
  <c r="DF28" i="49"/>
  <c r="DE28" i="49"/>
  <c r="DD28" i="49"/>
  <c r="DC28" i="49"/>
  <c r="DB28" i="49"/>
  <c r="DA28" i="49"/>
  <c r="CZ28" i="49"/>
  <c r="CY28" i="49"/>
  <c r="CX28" i="49"/>
  <c r="CW28" i="49"/>
  <c r="CV28" i="49"/>
  <c r="CU28" i="49"/>
  <c r="DF27" i="49"/>
  <c r="DE27" i="49"/>
  <c r="DD27" i="49"/>
  <c r="DC27" i="49"/>
  <c r="DB27" i="49"/>
  <c r="DA27" i="49"/>
  <c r="CZ27" i="49"/>
  <c r="CY27" i="49"/>
  <c r="CX27" i="49"/>
  <c r="CW27" i="49"/>
  <c r="CV27" i="49"/>
  <c r="CU27" i="49"/>
  <c r="DF26" i="49"/>
  <c r="DE26" i="49"/>
  <c r="DD26" i="49"/>
  <c r="DC26" i="49"/>
  <c r="DB26" i="49"/>
  <c r="DA26" i="49"/>
  <c r="CZ26" i="49"/>
  <c r="CY26" i="49"/>
  <c r="CX26" i="49"/>
  <c r="CW26" i="49"/>
  <c r="CV26" i="49"/>
  <c r="CU26" i="49"/>
  <c r="DF25" i="49"/>
  <c r="DE25" i="49"/>
  <c r="DD25" i="49"/>
  <c r="DC25" i="49"/>
  <c r="DB25" i="49"/>
  <c r="DA25" i="49"/>
  <c r="CZ25" i="49"/>
  <c r="CY25" i="49"/>
  <c r="CX25" i="49"/>
  <c r="CW25" i="49"/>
  <c r="CV25" i="49"/>
  <c r="CU25" i="49"/>
  <c r="DF24" i="49"/>
  <c r="DE24" i="49"/>
  <c r="DD24" i="49"/>
  <c r="DC24" i="49"/>
  <c r="DB24" i="49"/>
  <c r="DA24" i="49"/>
  <c r="CZ24" i="49"/>
  <c r="CY24" i="49"/>
  <c r="CX24" i="49"/>
  <c r="CW24" i="49"/>
  <c r="CV24" i="49"/>
  <c r="CU24" i="49"/>
  <c r="DF23" i="49"/>
  <c r="DE23" i="49"/>
  <c r="DD23" i="49"/>
  <c r="DC23" i="49"/>
  <c r="DB23" i="49"/>
  <c r="DA23" i="49"/>
  <c r="CZ23" i="49"/>
  <c r="CY23" i="49"/>
  <c r="CX23" i="49"/>
  <c r="CW23" i="49"/>
  <c r="CV23" i="49"/>
  <c r="CU23" i="49"/>
  <c r="DF22" i="49"/>
  <c r="DE22" i="49"/>
  <c r="DD22" i="49"/>
  <c r="DC22" i="49"/>
  <c r="DB22" i="49"/>
  <c r="DA22" i="49"/>
  <c r="CZ22" i="49"/>
  <c r="CY22" i="49"/>
  <c r="CX22" i="49"/>
  <c r="CW22" i="49"/>
  <c r="CV22" i="49"/>
  <c r="CU22" i="49"/>
  <c r="DF21" i="49"/>
  <c r="DE21" i="49"/>
  <c r="DD21" i="49"/>
  <c r="DC21" i="49"/>
  <c r="DB21" i="49"/>
  <c r="DA21" i="49"/>
  <c r="CZ21" i="49"/>
  <c r="CY21" i="49"/>
  <c r="CX21" i="49"/>
  <c r="CW21" i="49"/>
  <c r="CV21" i="49"/>
  <c r="CU21" i="49"/>
  <c r="DF20" i="49"/>
  <c r="DE20" i="49"/>
  <c r="DD20" i="49"/>
  <c r="DC20" i="49"/>
  <c r="DB20" i="49"/>
  <c r="DA20" i="49"/>
  <c r="CZ20" i="49"/>
  <c r="CY20" i="49"/>
  <c r="CX20" i="49"/>
  <c r="CW20" i="49"/>
  <c r="CV20" i="49"/>
  <c r="CU20" i="49"/>
  <c r="DF19" i="49"/>
  <c r="DE19" i="49"/>
  <c r="DD19" i="49"/>
  <c r="DC19" i="49"/>
  <c r="DB19" i="49"/>
  <c r="DA19" i="49"/>
  <c r="CZ19" i="49"/>
  <c r="CY19" i="49"/>
  <c r="CX19" i="49"/>
  <c r="CW19" i="49"/>
  <c r="CV19" i="49"/>
  <c r="CU19" i="49"/>
  <c r="DF18" i="49"/>
  <c r="DE18" i="49"/>
  <c r="DD18" i="49"/>
  <c r="DC18" i="49"/>
  <c r="DB18" i="49"/>
  <c r="DA18" i="49"/>
  <c r="CZ18" i="49"/>
  <c r="CY18" i="49"/>
  <c r="CX18" i="49"/>
  <c r="CW18" i="49"/>
  <c r="CV18" i="49"/>
  <c r="CU18" i="49"/>
  <c r="DF17" i="49"/>
  <c r="DE17" i="49"/>
  <c r="DD17" i="49"/>
  <c r="DC17" i="49"/>
  <c r="DB17" i="49"/>
  <c r="DA17" i="49"/>
  <c r="CZ17" i="49"/>
  <c r="CY17" i="49"/>
  <c r="CX17" i="49"/>
  <c r="CW17" i="49"/>
  <c r="CV17" i="49"/>
  <c r="CU17" i="49"/>
  <c r="DF16" i="49"/>
  <c r="DE16" i="49"/>
  <c r="DD16" i="49"/>
  <c r="DC16" i="49"/>
  <c r="DB16" i="49"/>
  <c r="DA16" i="49"/>
  <c r="CZ16" i="49"/>
  <c r="CY16" i="49"/>
  <c r="CX16" i="49"/>
  <c r="CW16" i="49"/>
  <c r="CV16" i="49"/>
  <c r="CU16" i="49"/>
  <c r="DF15" i="49"/>
  <c r="DE15" i="49"/>
  <c r="DD15" i="49"/>
  <c r="DC15" i="49"/>
  <c r="DB15" i="49"/>
  <c r="DA15" i="49"/>
  <c r="CZ15" i="49"/>
  <c r="CY15" i="49"/>
  <c r="CX15" i="49"/>
  <c r="CW15" i="49"/>
  <c r="CV15" i="49"/>
  <c r="CU15" i="49"/>
  <c r="DF14" i="49"/>
  <c r="DE14" i="49"/>
  <c r="DD14" i="49"/>
  <c r="DC14" i="49"/>
  <c r="DB14" i="49"/>
  <c r="DA14" i="49"/>
  <c r="CZ14" i="49"/>
  <c r="CY14" i="49"/>
  <c r="CX14" i="49"/>
  <c r="CW14" i="49"/>
  <c r="CV14" i="49"/>
  <c r="CU14" i="49"/>
  <c r="DF13" i="49"/>
  <c r="DE13" i="49"/>
  <c r="DD13" i="49"/>
  <c r="DC13" i="49"/>
  <c r="DB13" i="49"/>
  <c r="DA13" i="49"/>
  <c r="CZ13" i="49"/>
  <c r="CY13" i="49"/>
  <c r="CX13" i="49"/>
  <c r="CW13" i="49"/>
  <c r="CV13" i="49"/>
  <c r="CU13" i="49"/>
  <c r="DF12" i="49"/>
  <c r="DE12" i="49"/>
  <c r="DD12" i="49"/>
  <c r="DC12" i="49"/>
  <c r="DB12" i="49"/>
  <c r="DA12" i="49"/>
  <c r="CZ12" i="49"/>
  <c r="CY12" i="49"/>
  <c r="CX12" i="49"/>
  <c r="CW12" i="49"/>
  <c r="CV12" i="49"/>
  <c r="CU12" i="49"/>
  <c r="DF11" i="49"/>
  <c r="DE11" i="49"/>
  <c r="DD11" i="49"/>
  <c r="DC11" i="49"/>
  <c r="DB11" i="49"/>
  <c r="DA11" i="49"/>
  <c r="CZ11" i="49"/>
  <c r="CY11" i="49"/>
  <c r="CX11" i="49"/>
  <c r="CW11" i="49"/>
  <c r="CV11" i="49"/>
  <c r="CU11" i="49"/>
  <c r="DF10" i="49"/>
  <c r="DE10" i="49"/>
  <c r="DD10" i="49"/>
  <c r="DC10" i="49"/>
  <c r="DB10" i="49"/>
  <c r="DA10" i="49"/>
  <c r="CZ10" i="49"/>
  <c r="CY10" i="49"/>
  <c r="CX10" i="49"/>
  <c r="CW10" i="49"/>
  <c r="CV10" i="49"/>
  <c r="CU10" i="49"/>
  <c r="DF9" i="49"/>
  <c r="DE9" i="49"/>
  <c r="DD9" i="49"/>
  <c r="DC9" i="49"/>
  <c r="DB9" i="49"/>
  <c r="DA9" i="49"/>
  <c r="CZ9" i="49"/>
  <c r="CY9" i="49"/>
  <c r="CX9" i="49"/>
  <c r="CW9" i="49"/>
  <c r="CV9" i="49"/>
  <c r="CU9" i="49"/>
  <c r="DF8" i="49"/>
  <c r="DE8" i="49"/>
  <c r="DD8" i="49"/>
  <c r="DC8" i="49"/>
  <c r="DB8" i="49"/>
  <c r="DA8" i="49"/>
  <c r="CZ8" i="49"/>
  <c r="CY8" i="49"/>
  <c r="CX8" i="49"/>
  <c r="CW8" i="49"/>
  <c r="CV8" i="49"/>
  <c r="CU8" i="49"/>
  <c r="DF7" i="49"/>
  <c r="DE7" i="49"/>
  <c r="DD7" i="49"/>
  <c r="DC7" i="49"/>
  <c r="DB7" i="49"/>
  <c r="DA7" i="49"/>
  <c r="CZ7" i="49"/>
  <c r="CY7" i="49"/>
  <c r="CX7" i="49"/>
  <c r="CW7" i="49"/>
  <c r="CV7" i="49"/>
  <c r="CU7" i="49"/>
  <c r="DF6" i="49"/>
  <c r="DE6" i="49"/>
  <c r="DD6" i="49"/>
  <c r="DC6" i="49"/>
  <c r="DB6" i="49"/>
  <c r="DA6" i="49"/>
  <c r="CZ6" i="49"/>
  <c r="CY6" i="49"/>
  <c r="CX6" i="49"/>
  <c r="CW6" i="49"/>
  <c r="CV6" i="49"/>
  <c r="CU6" i="49"/>
  <c r="CT33" i="49"/>
  <c r="CS33" i="49"/>
  <c r="CR33" i="49"/>
  <c r="CQ33" i="49"/>
  <c r="CP33" i="49"/>
  <c r="CO33" i="49"/>
  <c r="CN33" i="49"/>
  <c r="CM33" i="49"/>
  <c r="CL33" i="49"/>
  <c r="CK33" i="49"/>
  <c r="CJ33" i="49"/>
  <c r="CI33" i="49"/>
  <c r="CT32" i="49"/>
  <c r="CS32" i="49"/>
  <c r="CR32" i="49"/>
  <c r="CQ32" i="49"/>
  <c r="CP32" i="49"/>
  <c r="CO32" i="49"/>
  <c r="CN32" i="49"/>
  <c r="CM32" i="49"/>
  <c r="CL32" i="49"/>
  <c r="CK32" i="49"/>
  <c r="CJ32" i="49"/>
  <c r="CI32" i="49"/>
  <c r="CT31" i="49"/>
  <c r="CS31" i="49"/>
  <c r="CR31" i="49"/>
  <c r="CQ31" i="49"/>
  <c r="CP31" i="49"/>
  <c r="CO31" i="49"/>
  <c r="CN31" i="49"/>
  <c r="CM31" i="49"/>
  <c r="CL31" i="49"/>
  <c r="CK31" i="49"/>
  <c r="CJ31" i="49"/>
  <c r="CI31" i="49"/>
  <c r="CT30" i="49"/>
  <c r="CS30" i="49"/>
  <c r="CR30" i="49"/>
  <c r="CQ30" i="49"/>
  <c r="CP30" i="49"/>
  <c r="CO30" i="49"/>
  <c r="CN30" i="49"/>
  <c r="CM30" i="49"/>
  <c r="CL30" i="49"/>
  <c r="CK30" i="49"/>
  <c r="CJ30" i="49"/>
  <c r="CI30" i="49"/>
  <c r="CT29" i="49"/>
  <c r="CS29" i="49"/>
  <c r="CR29" i="49"/>
  <c r="CQ29" i="49"/>
  <c r="CP29" i="49"/>
  <c r="CO29" i="49"/>
  <c r="CN29" i="49"/>
  <c r="CM29" i="49"/>
  <c r="CL29" i="49"/>
  <c r="CK29" i="49"/>
  <c r="CJ29" i="49"/>
  <c r="CI29" i="49"/>
  <c r="CT28" i="49"/>
  <c r="CS28" i="49"/>
  <c r="CR28" i="49"/>
  <c r="CQ28" i="49"/>
  <c r="CP28" i="49"/>
  <c r="CO28" i="49"/>
  <c r="CN28" i="49"/>
  <c r="CM28" i="49"/>
  <c r="CL28" i="49"/>
  <c r="CK28" i="49"/>
  <c r="CJ28" i="49"/>
  <c r="CI28" i="49"/>
  <c r="CT27" i="49"/>
  <c r="CS27" i="49"/>
  <c r="CR27" i="49"/>
  <c r="CQ27" i="49"/>
  <c r="CP27" i="49"/>
  <c r="CO27" i="49"/>
  <c r="CN27" i="49"/>
  <c r="CM27" i="49"/>
  <c r="CL27" i="49"/>
  <c r="CK27" i="49"/>
  <c r="CJ27" i="49"/>
  <c r="CI27" i="49"/>
  <c r="CT26" i="49"/>
  <c r="CS26" i="49"/>
  <c r="CR26" i="49"/>
  <c r="CQ26" i="49"/>
  <c r="CP26" i="49"/>
  <c r="CO26" i="49"/>
  <c r="CN26" i="49"/>
  <c r="CM26" i="49"/>
  <c r="CL26" i="49"/>
  <c r="CK26" i="49"/>
  <c r="CJ26" i="49"/>
  <c r="CI26" i="49"/>
  <c r="CT25" i="49"/>
  <c r="CS25" i="49"/>
  <c r="CR25" i="49"/>
  <c r="CQ25" i="49"/>
  <c r="CP25" i="49"/>
  <c r="CO25" i="49"/>
  <c r="CN25" i="49"/>
  <c r="CM25" i="49"/>
  <c r="CL25" i="49"/>
  <c r="CK25" i="49"/>
  <c r="CJ25" i="49"/>
  <c r="CI25" i="49"/>
  <c r="CT24" i="49"/>
  <c r="CS24" i="49"/>
  <c r="CR24" i="49"/>
  <c r="CQ24" i="49"/>
  <c r="CP24" i="49"/>
  <c r="CO24" i="49"/>
  <c r="CN24" i="49"/>
  <c r="CM24" i="49"/>
  <c r="CL24" i="49"/>
  <c r="CK24" i="49"/>
  <c r="CJ24" i="49"/>
  <c r="CI24" i="49"/>
  <c r="CT23" i="49"/>
  <c r="CS23" i="49"/>
  <c r="CR23" i="49"/>
  <c r="CQ23" i="49"/>
  <c r="CP23" i="49"/>
  <c r="CO23" i="49"/>
  <c r="CN23" i="49"/>
  <c r="CM23" i="49"/>
  <c r="CL23" i="49"/>
  <c r="CK23" i="49"/>
  <c r="CJ23" i="49"/>
  <c r="CI23" i="49"/>
  <c r="CT22" i="49"/>
  <c r="CS22" i="49"/>
  <c r="CR22" i="49"/>
  <c r="CQ22" i="49"/>
  <c r="CP22" i="49"/>
  <c r="CO22" i="49"/>
  <c r="CN22" i="49"/>
  <c r="CM22" i="49"/>
  <c r="CL22" i="49"/>
  <c r="CK22" i="49"/>
  <c r="CJ22" i="49"/>
  <c r="CI22" i="49"/>
  <c r="CT21" i="49"/>
  <c r="CS21" i="49"/>
  <c r="CR21" i="49"/>
  <c r="CQ21" i="49"/>
  <c r="CP21" i="49"/>
  <c r="CO21" i="49"/>
  <c r="CN21" i="49"/>
  <c r="CM21" i="49"/>
  <c r="CL21" i="49"/>
  <c r="CK21" i="49"/>
  <c r="CJ21" i="49"/>
  <c r="CI21" i="49"/>
  <c r="CT20" i="49"/>
  <c r="CS20" i="49"/>
  <c r="CR20" i="49"/>
  <c r="CQ20" i="49"/>
  <c r="CP20" i="49"/>
  <c r="CO20" i="49"/>
  <c r="CN20" i="49"/>
  <c r="CM20" i="49"/>
  <c r="CL20" i="49"/>
  <c r="CK20" i="49"/>
  <c r="CJ20" i="49"/>
  <c r="CI20" i="49"/>
  <c r="CT19" i="49"/>
  <c r="CS19" i="49"/>
  <c r="CR19" i="49"/>
  <c r="CQ19" i="49"/>
  <c r="CP19" i="49"/>
  <c r="CO19" i="49"/>
  <c r="CN19" i="49"/>
  <c r="CM19" i="49"/>
  <c r="CL19" i="49"/>
  <c r="CK19" i="49"/>
  <c r="CJ19" i="49"/>
  <c r="CI19" i="49"/>
  <c r="CT18" i="49"/>
  <c r="CS18" i="49"/>
  <c r="CR18" i="49"/>
  <c r="CQ18" i="49"/>
  <c r="CP18" i="49"/>
  <c r="CO18" i="49"/>
  <c r="CN18" i="49"/>
  <c r="CM18" i="49"/>
  <c r="CL18" i="49"/>
  <c r="CK18" i="49"/>
  <c r="CJ18" i="49"/>
  <c r="CI18" i="49"/>
  <c r="CT17" i="49"/>
  <c r="CS17" i="49"/>
  <c r="CR17" i="49"/>
  <c r="CQ17" i="49"/>
  <c r="CP17" i="49"/>
  <c r="CO17" i="49"/>
  <c r="CN17" i="49"/>
  <c r="CM17" i="49"/>
  <c r="CL17" i="49"/>
  <c r="CK17" i="49"/>
  <c r="CJ17" i="49"/>
  <c r="CI17" i="49"/>
  <c r="CT16" i="49"/>
  <c r="CS16" i="49"/>
  <c r="CR16" i="49"/>
  <c r="CQ16" i="49"/>
  <c r="CP16" i="49"/>
  <c r="CO16" i="49"/>
  <c r="CN16" i="49"/>
  <c r="CM16" i="49"/>
  <c r="CL16" i="49"/>
  <c r="CK16" i="49"/>
  <c r="CJ16" i="49"/>
  <c r="CI16" i="49"/>
  <c r="CT15" i="49"/>
  <c r="CS15" i="49"/>
  <c r="CR15" i="49"/>
  <c r="CQ15" i="49"/>
  <c r="CP15" i="49"/>
  <c r="CO15" i="49"/>
  <c r="CN15" i="49"/>
  <c r="CM15" i="49"/>
  <c r="CL15" i="49"/>
  <c r="CK15" i="49"/>
  <c r="CJ15" i="49"/>
  <c r="CI15" i="49"/>
  <c r="CT14" i="49"/>
  <c r="CS14" i="49"/>
  <c r="CR14" i="49"/>
  <c r="CQ14" i="49"/>
  <c r="CP14" i="49"/>
  <c r="CO14" i="49"/>
  <c r="CN14" i="49"/>
  <c r="CM14" i="49"/>
  <c r="CL14" i="49"/>
  <c r="CK14" i="49"/>
  <c r="CJ14" i="49"/>
  <c r="CI14" i="49"/>
  <c r="CT13" i="49"/>
  <c r="CS13" i="49"/>
  <c r="CR13" i="49"/>
  <c r="CQ13" i="49"/>
  <c r="CP13" i="49"/>
  <c r="CO13" i="49"/>
  <c r="CN13" i="49"/>
  <c r="CM13" i="49"/>
  <c r="CL13" i="49"/>
  <c r="CK13" i="49"/>
  <c r="CJ13" i="49"/>
  <c r="CI13" i="49"/>
  <c r="CT12" i="49"/>
  <c r="CS12" i="49"/>
  <c r="CR12" i="49"/>
  <c r="CQ12" i="49"/>
  <c r="CP12" i="49"/>
  <c r="CO12" i="49"/>
  <c r="CN12" i="49"/>
  <c r="CM12" i="49"/>
  <c r="CL12" i="49"/>
  <c r="CK12" i="49"/>
  <c r="CJ12" i="49"/>
  <c r="CI12" i="49"/>
  <c r="CT11" i="49"/>
  <c r="CS11" i="49"/>
  <c r="CR11" i="49"/>
  <c r="CQ11" i="49"/>
  <c r="CP11" i="49"/>
  <c r="CO11" i="49"/>
  <c r="CN11" i="49"/>
  <c r="CM11" i="49"/>
  <c r="CL11" i="49"/>
  <c r="CK11" i="49"/>
  <c r="CJ11" i="49"/>
  <c r="CI11" i="49"/>
  <c r="CT10" i="49"/>
  <c r="CS10" i="49"/>
  <c r="CR10" i="49"/>
  <c r="CQ10" i="49"/>
  <c r="CP10" i="49"/>
  <c r="CO10" i="49"/>
  <c r="CN10" i="49"/>
  <c r="CM10" i="49"/>
  <c r="CL10" i="49"/>
  <c r="CK10" i="49"/>
  <c r="CJ10" i="49"/>
  <c r="CI10" i="49"/>
  <c r="CT9" i="49"/>
  <c r="CS9" i="49"/>
  <c r="CR9" i="49"/>
  <c r="CQ9" i="49"/>
  <c r="CP9" i="49"/>
  <c r="CO9" i="49"/>
  <c r="CN9" i="49"/>
  <c r="CM9" i="49"/>
  <c r="CL9" i="49"/>
  <c r="CK9" i="49"/>
  <c r="CJ9" i="49"/>
  <c r="CI9" i="49"/>
  <c r="CT8" i="49"/>
  <c r="CS8" i="49"/>
  <c r="CR8" i="49"/>
  <c r="CQ8" i="49"/>
  <c r="CP8" i="49"/>
  <c r="CO8" i="49"/>
  <c r="CN8" i="49"/>
  <c r="CM8" i="49"/>
  <c r="CL8" i="49"/>
  <c r="CK8" i="49"/>
  <c r="CJ8" i="49"/>
  <c r="CI8" i="49"/>
  <c r="CT7" i="49"/>
  <c r="CS7" i="49"/>
  <c r="CR7" i="49"/>
  <c r="CQ7" i="49"/>
  <c r="CP7" i="49"/>
  <c r="CO7" i="49"/>
  <c r="CN7" i="49"/>
  <c r="CM7" i="49"/>
  <c r="CL7" i="49"/>
  <c r="CK7" i="49"/>
  <c r="CJ7" i="49"/>
  <c r="CI7" i="49"/>
  <c r="CT6" i="49"/>
  <c r="CS6" i="49"/>
  <c r="CR6" i="49"/>
  <c r="CQ6" i="49"/>
  <c r="CP6" i="49"/>
  <c r="CO6" i="49"/>
  <c r="CN6" i="49"/>
  <c r="CM6" i="49"/>
  <c r="CL6" i="49"/>
  <c r="CK6" i="49"/>
  <c r="CJ6" i="49"/>
  <c r="CI6" i="49"/>
  <c r="CH33" i="49"/>
  <c r="CG33" i="49"/>
  <c r="CF33" i="49"/>
  <c r="CE33" i="49"/>
  <c r="CD33" i="49"/>
  <c r="CC33" i="49"/>
  <c r="CB33" i="49"/>
  <c r="CA33" i="49"/>
  <c r="BZ33" i="49"/>
  <c r="BY33" i="49"/>
  <c r="BX33" i="49"/>
  <c r="BW33" i="49"/>
  <c r="CH32" i="49"/>
  <c r="CG32" i="49"/>
  <c r="CF32" i="49"/>
  <c r="CE32" i="49"/>
  <c r="CD32" i="49"/>
  <c r="CC32" i="49"/>
  <c r="CB32" i="49"/>
  <c r="CA32" i="49"/>
  <c r="BZ32" i="49"/>
  <c r="BY32" i="49"/>
  <c r="BX32" i="49"/>
  <c r="BW32" i="49"/>
  <c r="CH31" i="49"/>
  <c r="CG31" i="49"/>
  <c r="CF31" i="49"/>
  <c r="CE31" i="49"/>
  <c r="CD31" i="49"/>
  <c r="CC31" i="49"/>
  <c r="CB31" i="49"/>
  <c r="CA31" i="49"/>
  <c r="BZ31" i="49"/>
  <c r="BY31" i="49"/>
  <c r="BX31" i="49"/>
  <c r="BW31" i="49"/>
  <c r="CH30" i="49"/>
  <c r="CG30" i="49"/>
  <c r="CF30" i="49"/>
  <c r="CE30" i="49"/>
  <c r="CD30" i="49"/>
  <c r="CC30" i="49"/>
  <c r="CB30" i="49"/>
  <c r="CA30" i="49"/>
  <c r="BZ30" i="49"/>
  <c r="BY30" i="49"/>
  <c r="BX30" i="49"/>
  <c r="BW30" i="49"/>
  <c r="CH29" i="49"/>
  <c r="CG29" i="49"/>
  <c r="CF29" i="49"/>
  <c r="CE29" i="49"/>
  <c r="CD29" i="49"/>
  <c r="CC29" i="49"/>
  <c r="CB29" i="49"/>
  <c r="CA29" i="49"/>
  <c r="BZ29" i="49"/>
  <c r="BY29" i="49"/>
  <c r="BX29" i="49"/>
  <c r="BW29" i="49"/>
  <c r="CH28" i="49"/>
  <c r="CG28" i="49"/>
  <c r="CF28" i="49"/>
  <c r="CE28" i="49"/>
  <c r="CD28" i="49"/>
  <c r="CC28" i="49"/>
  <c r="CB28" i="49"/>
  <c r="CA28" i="49"/>
  <c r="BZ28" i="49"/>
  <c r="BY28" i="49"/>
  <c r="BX28" i="49"/>
  <c r="BW28" i="49"/>
  <c r="CH27" i="49"/>
  <c r="CG27" i="49"/>
  <c r="CF27" i="49"/>
  <c r="CE27" i="49"/>
  <c r="CD27" i="49"/>
  <c r="CC27" i="49"/>
  <c r="CB27" i="49"/>
  <c r="CA27" i="49"/>
  <c r="BZ27" i="49"/>
  <c r="BY27" i="49"/>
  <c r="BX27" i="49"/>
  <c r="BW27" i="49"/>
  <c r="CH26" i="49"/>
  <c r="CG26" i="49"/>
  <c r="CF26" i="49"/>
  <c r="CE26" i="49"/>
  <c r="CD26" i="49"/>
  <c r="CC26" i="49"/>
  <c r="CB26" i="49"/>
  <c r="CA26" i="49"/>
  <c r="BZ26" i="49"/>
  <c r="BY26" i="49"/>
  <c r="BX26" i="49"/>
  <c r="BW26" i="49"/>
  <c r="CH25" i="49"/>
  <c r="CG25" i="49"/>
  <c r="CF25" i="49"/>
  <c r="CE25" i="49"/>
  <c r="CD25" i="49"/>
  <c r="CC25" i="49"/>
  <c r="CB25" i="49"/>
  <c r="CA25" i="49"/>
  <c r="BZ25" i="49"/>
  <c r="BY25" i="49"/>
  <c r="BX25" i="49"/>
  <c r="BW25" i="49"/>
  <c r="CH24" i="49"/>
  <c r="CG24" i="49"/>
  <c r="CF24" i="49"/>
  <c r="CE24" i="49"/>
  <c r="CD24" i="49"/>
  <c r="CC24" i="49"/>
  <c r="CB24" i="49"/>
  <c r="CA24" i="49"/>
  <c r="BZ24" i="49"/>
  <c r="BY24" i="49"/>
  <c r="BX24" i="49"/>
  <c r="BW24" i="49"/>
  <c r="CH23" i="49"/>
  <c r="CG23" i="49"/>
  <c r="CF23" i="49"/>
  <c r="CE23" i="49"/>
  <c r="CD23" i="49"/>
  <c r="CC23" i="49"/>
  <c r="CB23" i="49"/>
  <c r="CA23" i="49"/>
  <c r="BZ23" i="49"/>
  <c r="BY23" i="49"/>
  <c r="BX23" i="49"/>
  <c r="BW23" i="49"/>
  <c r="CH22" i="49"/>
  <c r="CG22" i="49"/>
  <c r="CF22" i="49"/>
  <c r="CE22" i="49"/>
  <c r="CD22" i="49"/>
  <c r="CC22" i="49"/>
  <c r="CB22" i="49"/>
  <c r="CA22" i="49"/>
  <c r="BZ22" i="49"/>
  <c r="BY22" i="49"/>
  <c r="BX22" i="49"/>
  <c r="BW22" i="49"/>
  <c r="CH21" i="49"/>
  <c r="CG21" i="49"/>
  <c r="CF21" i="49"/>
  <c r="CE21" i="49"/>
  <c r="CD21" i="49"/>
  <c r="CC21" i="49"/>
  <c r="CB21" i="49"/>
  <c r="CA21" i="49"/>
  <c r="BZ21" i="49"/>
  <c r="BY21" i="49"/>
  <c r="BX21" i="49"/>
  <c r="BW21" i="49"/>
  <c r="CH20" i="49"/>
  <c r="CG20" i="49"/>
  <c r="CF20" i="49"/>
  <c r="CE20" i="49"/>
  <c r="CD20" i="49"/>
  <c r="CC20" i="49"/>
  <c r="CB20" i="49"/>
  <c r="CA20" i="49"/>
  <c r="BZ20" i="49"/>
  <c r="BY20" i="49"/>
  <c r="BX20" i="49"/>
  <c r="BW20" i="49"/>
  <c r="CH19" i="49"/>
  <c r="CG19" i="49"/>
  <c r="CF19" i="49"/>
  <c r="CE19" i="49"/>
  <c r="CD19" i="49"/>
  <c r="CC19" i="49"/>
  <c r="CB19" i="49"/>
  <c r="CA19" i="49"/>
  <c r="BZ19" i="49"/>
  <c r="BY19" i="49"/>
  <c r="BX19" i="49"/>
  <c r="BW19" i="49"/>
  <c r="CH18" i="49"/>
  <c r="CG18" i="49"/>
  <c r="CF18" i="49"/>
  <c r="CE18" i="49"/>
  <c r="CD18" i="49"/>
  <c r="CC18" i="49"/>
  <c r="CB18" i="49"/>
  <c r="CA18" i="49"/>
  <c r="BZ18" i="49"/>
  <c r="BY18" i="49"/>
  <c r="BX18" i="49"/>
  <c r="BW18" i="49"/>
  <c r="CH17" i="49"/>
  <c r="CG17" i="49"/>
  <c r="CF17" i="49"/>
  <c r="CE17" i="49"/>
  <c r="CD17" i="49"/>
  <c r="CC17" i="49"/>
  <c r="CB17" i="49"/>
  <c r="CA17" i="49"/>
  <c r="BZ17" i="49"/>
  <c r="BY17" i="49"/>
  <c r="BX17" i="49"/>
  <c r="BW17" i="49"/>
  <c r="CH16" i="49"/>
  <c r="CG16" i="49"/>
  <c r="CF16" i="49"/>
  <c r="CE16" i="49"/>
  <c r="CD16" i="49"/>
  <c r="CC16" i="49"/>
  <c r="CB16" i="49"/>
  <c r="CA16" i="49"/>
  <c r="BZ16" i="49"/>
  <c r="BY16" i="49"/>
  <c r="BX16" i="49"/>
  <c r="BW16" i="49"/>
  <c r="CH15" i="49"/>
  <c r="CG15" i="49"/>
  <c r="CF15" i="49"/>
  <c r="CE15" i="49"/>
  <c r="CD15" i="49"/>
  <c r="CC15" i="49"/>
  <c r="CB15" i="49"/>
  <c r="CA15" i="49"/>
  <c r="BZ15" i="49"/>
  <c r="BY15" i="49"/>
  <c r="BX15" i="49"/>
  <c r="BW15" i="49"/>
  <c r="CH14" i="49"/>
  <c r="CG14" i="49"/>
  <c r="CF14" i="49"/>
  <c r="CE14" i="49"/>
  <c r="CD14" i="49"/>
  <c r="CC14" i="49"/>
  <c r="CB14" i="49"/>
  <c r="CA14" i="49"/>
  <c r="BZ14" i="49"/>
  <c r="BY14" i="49"/>
  <c r="BX14" i="49"/>
  <c r="BW14" i="49"/>
  <c r="CH13" i="49"/>
  <c r="CG13" i="49"/>
  <c r="CF13" i="49"/>
  <c r="CE13" i="49"/>
  <c r="CD13" i="49"/>
  <c r="CC13" i="49"/>
  <c r="CB13" i="49"/>
  <c r="CA13" i="49"/>
  <c r="BZ13" i="49"/>
  <c r="BY13" i="49"/>
  <c r="BX13" i="49"/>
  <c r="BW13" i="49"/>
  <c r="CH12" i="49"/>
  <c r="CG12" i="49"/>
  <c r="CF12" i="49"/>
  <c r="CE12" i="49"/>
  <c r="CD12" i="49"/>
  <c r="CC12" i="49"/>
  <c r="CB12" i="49"/>
  <c r="CA12" i="49"/>
  <c r="BZ12" i="49"/>
  <c r="BY12" i="49"/>
  <c r="BX12" i="49"/>
  <c r="BW12" i="49"/>
  <c r="CH11" i="49"/>
  <c r="CG11" i="49"/>
  <c r="CF11" i="49"/>
  <c r="CE11" i="49"/>
  <c r="CD11" i="49"/>
  <c r="CC11" i="49"/>
  <c r="CB11" i="49"/>
  <c r="CA11" i="49"/>
  <c r="BZ11" i="49"/>
  <c r="BY11" i="49"/>
  <c r="BX11" i="49"/>
  <c r="BW11" i="49"/>
  <c r="CH10" i="49"/>
  <c r="CG10" i="49"/>
  <c r="CF10" i="49"/>
  <c r="CE10" i="49"/>
  <c r="CD10" i="49"/>
  <c r="CC10" i="49"/>
  <c r="CB10" i="49"/>
  <c r="CA10" i="49"/>
  <c r="BZ10" i="49"/>
  <c r="BY10" i="49"/>
  <c r="BX10" i="49"/>
  <c r="BW10" i="49"/>
  <c r="CH9" i="49"/>
  <c r="CG9" i="49"/>
  <c r="CF9" i="49"/>
  <c r="CE9" i="49"/>
  <c r="CD9" i="49"/>
  <c r="CC9" i="49"/>
  <c r="CB9" i="49"/>
  <c r="CA9" i="49"/>
  <c r="BZ9" i="49"/>
  <c r="BY9" i="49"/>
  <c r="BX9" i="49"/>
  <c r="BW9" i="49"/>
  <c r="CH8" i="49"/>
  <c r="CG8" i="49"/>
  <c r="CF8" i="49"/>
  <c r="CE8" i="49"/>
  <c r="CD8" i="49"/>
  <c r="CC8" i="49"/>
  <c r="CB8" i="49"/>
  <c r="CA8" i="49"/>
  <c r="BZ8" i="49"/>
  <c r="BY8" i="49"/>
  <c r="BX8" i="49"/>
  <c r="BW8" i="49"/>
  <c r="CH7" i="49"/>
  <c r="CG7" i="49"/>
  <c r="CF7" i="49"/>
  <c r="CE7" i="49"/>
  <c r="CD7" i="49"/>
  <c r="CC7" i="49"/>
  <c r="CB7" i="49"/>
  <c r="CA7" i="49"/>
  <c r="BZ7" i="49"/>
  <c r="BY7" i="49"/>
  <c r="BX7" i="49"/>
  <c r="BW7" i="49"/>
  <c r="CH6" i="49"/>
  <c r="CG6" i="49"/>
  <c r="CF6" i="49"/>
  <c r="CE6" i="49"/>
  <c r="CD6" i="49"/>
  <c r="CC6" i="49"/>
  <c r="CB6" i="49"/>
  <c r="CA6" i="49"/>
  <c r="BZ6" i="49"/>
  <c r="BY6" i="49"/>
  <c r="BX6" i="49"/>
  <c r="BW6" i="49"/>
  <c r="BV33" i="49"/>
  <c r="BU33" i="49"/>
  <c r="BT33" i="49"/>
  <c r="BS33" i="49"/>
  <c r="BR33" i="49"/>
  <c r="BQ33" i="49"/>
  <c r="BP33" i="49"/>
  <c r="BO33" i="49"/>
  <c r="BN33" i="49"/>
  <c r="BM33" i="49"/>
  <c r="BL33" i="49"/>
  <c r="BK33" i="49"/>
  <c r="BV32" i="49"/>
  <c r="BU32" i="49"/>
  <c r="BT32" i="49"/>
  <c r="BS32" i="49"/>
  <c r="BR32" i="49"/>
  <c r="BQ32" i="49"/>
  <c r="BP32" i="49"/>
  <c r="BO32" i="49"/>
  <c r="BN32" i="49"/>
  <c r="BM32" i="49"/>
  <c r="BL32" i="49"/>
  <c r="BK32" i="49"/>
  <c r="BV31" i="49"/>
  <c r="BU31" i="49"/>
  <c r="BT31" i="49"/>
  <c r="BS31" i="49"/>
  <c r="BR31" i="49"/>
  <c r="BQ31" i="49"/>
  <c r="BP31" i="49"/>
  <c r="BO31" i="49"/>
  <c r="BN31" i="49"/>
  <c r="BM31" i="49"/>
  <c r="BL31" i="49"/>
  <c r="BK31" i="49"/>
  <c r="BV30" i="49"/>
  <c r="BU30" i="49"/>
  <c r="BT30" i="49"/>
  <c r="BS30" i="49"/>
  <c r="BR30" i="49"/>
  <c r="BQ30" i="49"/>
  <c r="BP30" i="49"/>
  <c r="BO30" i="49"/>
  <c r="BN30" i="49"/>
  <c r="BM30" i="49"/>
  <c r="BL30" i="49"/>
  <c r="BK30" i="49"/>
  <c r="BV29" i="49"/>
  <c r="BU29" i="49"/>
  <c r="BT29" i="49"/>
  <c r="BS29" i="49"/>
  <c r="BR29" i="49"/>
  <c r="BQ29" i="49"/>
  <c r="BP29" i="49"/>
  <c r="BO29" i="49"/>
  <c r="BN29" i="49"/>
  <c r="BM29" i="49"/>
  <c r="BL29" i="49"/>
  <c r="BK29" i="49"/>
  <c r="BV28" i="49"/>
  <c r="BU28" i="49"/>
  <c r="BT28" i="49"/>
  <c r="BS28" i="49"/>
  <c r="BR28" i="49"/>
  <c r="BQ28" i="49"/>
  <c r="BP28" i="49"/>
  <c r="BO28" i="49"/>
  <c r="BN28" i="49"/>
  <c r="BM28" i="49"/>
  <c r="BL28" i="49"/>
  <c r="BK28" i="49"/>
  <c r="BV27" i="49"/>
  <c r="BU27" i="49"/>
  <c r="BT27" i="49"/>
  <c r="BS27" i="49"/>
  <c r="BR27" i="49"/>
  <c r="BQ27" i="49"/>
  <c r="BP27" i="49"/>
  <c r="BO27" i="49"/>
  <c r="BN27" i="49"/>
  <c r="BM27" i="49"/>
  <c r="BL27" i="49"/>
  <c r="BK27" i="49"/>
  <c r="BV26" i="49"/>
  <c r="BU26" i="49"/>
  <c r="BT26" i="49"/>
  <c r="BS26" i="49"/>
  <c r="BR26" i="49"/>
  <c r="BQ26" i="49"/>
  <c r="BP26" i="49"/>
  <c r="BO26" i="49"/>
  <c r="BN26" i="49"/>
  <c r="BM26" i="49"/>
  <c r="BL26" i="49"/>
  <c r="BK26" i="49"/>
  <c r="BV25" i="49"/>
  <c r="BU25" i="49"/>
  <c r="BT25" i="49"/>
  <c r="BS25" i="49"/>
  <c r="BR25" i="49"/>
  <c r="BQ25" i="49"/>
  <c r="BP25" i="49"/>
  <c r="BO25" i="49"/>
  <c r="BN25" i="49"/>
  <c r="BM25" i="49"/>
  <c r="BL25" i="49"/>
  <c r="BK25" i="49"/>
  <c r="BV24" i="49"/>
  <c r="BU24" i="49"/>
  <c r="BT24" i="49"/>
  <c r="BS24" i="49"/>
  <c r="BR24" i="49"/>
  <c r="BQ24" i="49"/>
  <c r="BP24" i="49"/>
  <c r="BO24" i="49"/>
  <c r="BN24" i="49"/>
  <c r="BM24" i="49"/>
  <c r="BL24" i="49"/>
  <c r="BK24" i="49"/>
  <c r="BV23" i="49"/>
  <c r="BU23" i="49"/>
  <c r="BT23" i="49"/>
  <c r="BS23" i="49"/>
  <c r="BR23" i="49"/>
  <c r="BQ23" i="49"/>
  <c r="BP23" i="49"/>
  <c r="BO23" i="49"/>
  <c r="BN23" i="49"/>
  <c r="BM23" i="49"/>
  <c r="BL23" i="49"/>
  <c r="BK23" i="49"/>
  <c r="BV22" i="49"/>
  <c r="BU22" i="49"/>
  <c r="BT22" i="49"/>
  <c r="BS22" i="49"/>
  <c r="BR22" i="49"/>
  <c r="BQ22" i="49"/>
  <c r="BP22" i="49"/>
  <c r="BO22" i="49"/>
  <c r="BN22" i="49"/>
  <c r="BM22" i="49"/>
  <c r="BL22" i="49"/>
  <c r="BK22" i="49"/>
  <c r="BV21" i="49"/>
  <c r="BU21" i="49"/>
  <c r="BT21" i="49"/>
  <c r="BS21" i="49"/>
  <c r="BR21" i="49"/>
  <c r="BQ21" i="49"/>
  <c r="BP21" i="49"/>
  <c r="BO21" i="49"/>
  <c r="BN21" i="49"/>
  <c r="BM21" i="49"/>
  <c r="BL21" i="49"/>
  <c r="BK21" i="49"/>
  <c r="BV20" i="49"/>
  <c r="BU20" i="49"/>
  <c r="BT20" i="49"/>
  <c r="BS20" i="49"/>
  <c r="BR20" i="49"/>
  <c r="BQ20" i="49"/>
  <c r="BP20" i="49"/>
  <c r="BO20" i="49"/>
  <c r="BN20" i="49"/>
  <c r="BM20" i="49"/>
  <c r="BL20" i="49"/>
  <c r="BK20" i="49"/>
  <c r="BV19" i="49"/>
  <c r="BU19" i="49"/>
  <c r="BT19" i="49"/>
  <c r="BS19" i="49"/>
  <c r="BR19" i="49"/>
  <c r="BQ19" i="49"/>
  <c r="BP19" i="49"/>
  <c r="BO19" i="49"/>
  <c r="BN19" i="49"/>
  <c r="BM19" i="49"/>
  <c r="BL19" i="49"/>
  <c r="BK19" i="49"/>
  <c r="BV18" i="49"/>
  <c r="BU18" i="49"/>
  <c r="BT18" i="49"/>
  <c r="BS18" i="49"/>
  <c r="BR18" i="49"/>
  <c r="BQ18" i="49"/>
  <c r="BP18" i="49"/>
  <c r="BO18" i="49"/>
  <c r="BN18" i="49"/>
  <c r="BM18" i="49"/>
  <c r="BL18" i="49"/>
  <c r="BK18" i="49"/>
  <c r="BV17" i="49"/>
  <c r="BU17" i="49"/>
  <c r="BT17" i="49"/>
  <c r="BS17" i="49"/>
  <c r="BR17" i="49"/>
  <c r="BQ17" i="49"/>
  <c r="BP17" i="49"/>
  <c r="BO17" i="49"/>
  <c r="BN17" i="49"/>
  <c r="BM17" i="49"/>
  <c r="BL17" i="49"/>
  <c r="BK17" i="49"/>
  <c r="BV16" i="49"/>
  <c r="BU16" i="49"/>
  <c r="BT16" i="49"/>
  <c r="BS16" i="49"/>
  <c r="BR16" i="49"/>
  <c r="BQ16" i="49"/>
  <c r="BP16" i="49"/>
  <c r="BO16" i="49"/>
  <c r="BN16" i="49"/>
  <c r="BM16" i="49"/>
  <c r="BL16" i="49"/>
  <c r="BK16" i="49"/>
  <c r="BV15" i="49"/>
  <c r="BU15" i="49"/>
  <c r="BT15" i="49"/>
  <c r="BS15" i="49"/>
  <c r="BR15" i="49"/>
  <c r="BQ15" i="49"/>
  <c r="BP15" i="49"/>
  <c r="BO15" i="49"/>
  <c r="BN15" i="49"/>
  <c r="BM15" i="49"/>
  <c r="BL15" i="49"/>
  <c r="BK15" i="49"/>
  <c r="BV14" i="49"/>
  <c r="BU14" i="49"/>
  <c r="BT14" i="49"/>
  <c r="BS14" i="49"/>
  <c r="BR14" i="49"/>
  <c r="BQ14" i="49"/>
  <c r="BP14" i="49"/>
  <c r="BO14" i="49"/>
  <c r="BN14" i="49"/>
  <c r="BM14" i="49"/>
  <c r="BL14" i="49"/>
  <c r="BK14" i="49"/>
  <c r="BV13" i="49"/>
  <c r="BU13" i="49"/>
  <c r="BT13" i="49"/>
  <c r="BS13" i="49"/>
  <c r="BR13" i="49"/>
  <c r="BQ13" i="49"/>
  <c r="BP13" i="49"/>
  <c r="BO13" i="49"/>
  <c r="BN13" i="49"/>
  <c r="BM13" i="49"/>
  <c r="BL13" i="49"/>
  <c r="BK13" i="49"/>
  <c r="BV12" i="49"/>
  <c r="BU12" i="49"/>
  <c r="BT12" i="49"/>
  <c r="BS12" i="49"/>
  <c r="BR12" i="49"/>
  <c r="BQ12" i="49"/>
  <c r="BP12" i="49"/>
  <c r="BO12" i="49"/>
  <c r="BN12" i="49"/>
  <c r="BM12" i="49"/>
  <c r="BL12" i="49"/>
  <c r="BK12" i="49"/>
  <c r="BV11" i="49"/>
  <c r="BU11" i="49"/>
  <c r="BT11" i="49"/>
  <c r="BS11" i="49"/>
  <c r="BR11" i="49"/>
  <c r="BQ11" i="49"/>
  <c r="BP11" i="49"/>
  <c r="BO11" i="49"/>
  <c r="BN11" i="49"/>
  <c r="BM11" i="49"/>
  <c r="BL11" i="49"/>
  <c r="BK11" i="49"/>
  <c r="BV10" i="49"/>
  <c r="BU10" i="49"/>
  <c r="BT10" i="49"/>
  <c r="BS10" i="49"/>
  <c r="BR10" i="49"/>
  <c r="BQ10" i="49"/>
  <c r="BP10" i="49"/>
  <c r="BO10" i="49"/>
  <c r="BN10" i="49"/>
  <c r="BM10" i="49"/>
  <c r="BL10" i="49"/>
  <c r="BK10" i="49"/>
  <c r="BV9" i="49"/>
  <c r="BU9" i="49"/>
  <c r="BT9" i="49"/>
  <c r="BS9" i="49"/>
  <c r="BR9" i="49"/>
  <c r="BQ9" i="49"/>
  <c r="BP9" i="49"/>
  <c r="BO9" i="49"/>
  <c r="BN9" i="49"/>
  <c r="BM9" i="49"/>
  <c r="BL9" i="49"/>
  <c r="BK9" i="49"/>
  <c r="BV8" i="49"/>
  <c r="BU8" i="49"/>
  <c r="BT8" i="49"/>
  <c r="BS8" i="49"/>
  <c r="BR8" i="49"/>
  <c r="BQ8" i="49"/>
  <c r="BP8" i="49"/>
  <c r="BO8" i="49"/>
  <c r="BN8" i="49"/>
  <c r="BM8" i="49"/>
  <c r="BL8" i="49"/>
  <c r="BK8" i="49"/>
  <c r="BV7" i="49"/>
  <c r="BU7" i="49"/>
  <c r="BT7" i="49"/>
  <c r="BS7" i="49"/>
  <c r="BR7" i="49"/>
  <c r="BQ7" i="49"/>
  <c r="BP7" i="49"/>
  <c r="BO7" i="49"/>
  <c r="BN7" i="49"/>
  <c r="BM7" i="49"/>
  <c r="BL7" i="49"/>
  <c r="BK7" i="49"/>
  <c r="BV6" i="49"/>
  <c r="BU6" i="49"/>
  <c r="BT6" i="49"/>
  <c r="BS6" i="49"/>
  <c r="BR6" i="49"/>
  <c r="BQ6" i="49"/>
  <c r="BP6" i="49"/>
  <c r="BO6" i="49"/>
  <c r="BN6" i="49"/>
  <c r="BM6" i="49"/>
  <c r="BL6" i="49"/>
  <c r="BK6" i="49"/>
  <c r="BJ33" i="49"/>
  <c r="BI33" i="49"/>
  <c r="BH33" i="49"/>
  <c r="BG33" i="49"/>
  <c r="BF33" i="49"/>
  <c r="BE33" i="49"/>
  <c r="BD33" i="49"/>
  <c r="BC33" i="49"/>
  <c r="BB33" i="49"/>
  <c r="BA33" i="49"/>
  <c r="AZ33" i="49"/>
  <c r="AY33" i="49"/>
  <c r="BJ32" i="49"/>
  <c r="BI32" i="49"/>
  <c r="BH32" i="49"/>
  <c r="BG32" i="49"/>
  <c r="BF32" i="49"/>
  <c r="BE32" i="49"/>
  <c r="BD32" i="49"/>
  <c r="BC32" i="49"/>
  <c r="BB32" i="49"/>
  <c r="BA32" i="49"/>
  <c r="AZ32" i="49"/>
  <c r="AY32" i="49"/>
  <c r="BJ31" i="49"/>
  <c r="BI31" i="49"/>
  <c r="BH31" i="49"/>
  <c r="BG31" i="49"/>
  <c r="BF31" i="49"/>
  <c r="BE31" i="49"/>
  <c r="BD31" i="49"/>
  <c r="BC31" i="49"/>
  <c r="BB31" i="49"/>
  <c r="BA31" i="49"/>
  <c r="AZ31" i="49"/>
  <c r="AY31" i="49"/>
  <c r="BJ30" i="49"/>
  <c r="BI30" i="49"/>
  <c r="BH30" i="49"/>
  <c r="BG30" i="49"/>
  <c r="BF30" i="49"/>
  <c r="BE30" i="49"/>
  <c r="BD30" i="49"/>
  <c r="BC30" i="49"/>
  <c r="BB30" i="49"/>
  <c r="BA30" i="49"/>
  <c r="AZ30" i="49"/>
  <c r="AY30" i="49"/>
  <c r="BJ29" i="49"/>
  <c r="BI29" i="49"/>
  <c r="BH29" i="49"/>
  <c r="BG29" i="49"/>
  <c r="BF29" i="49"/>
  <c r="BE29" i="49"/>
  <c r="BD29" i="49"/>
  <c r="BC29" i="49"/>
  <c r="BB29" i="49"/>
  <c r="BA29" i="49"/>
  <c r="AZ29" i="49"/>
  <c r="AY29" i="49"/>
  <c r="BJ28" i="49"/>
  <c r="BI28" i="49"/>
  <c r="BH28" i="49"/>
  <c r="BG28" i="49"/>
  <c r="BF28" i="49"/>
  <c r="BE28" i="49"/>
  <c r="BD28" i="49"/>
  <c r="BC28" i="49"/>
  <c r="BB28" i="49"/>
  <c r="BA28" i="49"/>
  <c r="AZ28" i="49"/>
  <c r="AY28" i="49"/>
  <c r="BJ27" i="49"/>
  <c r="BI27" i="49"/>
  <c r="BH27" i="49"/>
  <c r="BG27" i="49"/>
  <c r="BF27" i="49"/>
  <c r="BE27" i="49"/>
  <c r="BD27" i="49"/>
  <c r="BC27" i="49"/>
  <c r="BB27" i="49"/>
  <c r="BA27" i="49"/>
  <c r="AZ27" i="49"/>
  <c r="AY27" i="49"/>
  <c r="BJ26" i="49"/>
  <c r="BI26" i="49"/>
  <c r="BH26" i="49"/>
  <c r="BG26" i="49"/>
  <c r="BF26" i="49"/>
  <c r="BE26" i="49"/>
  <c r="BD26" i="49"/>
  <c r="BC26" i="49"/>
  <c r="BB26" i="49"/>
  <c r="BA26" i="49"/>
  <c r="AZ26" i="49"/>
  <c r="AY26" i="49"/>
  <c r="BJ25" i="49"/>
  <c r="BI25" i="49"/>
  <c r="BH25" i="49"/>
  <c r="BG25" i="49"/>
  <c r="BF25" i="49"/>
  <c r="BE25" i="49"/>
  <c r="BD25" i="49"/>
  <c r="BC25" i="49"/>
  <c r="BB25" i="49"/>
  <c r="BA25" i="49"/>
  <c r="AZ25" i="49"/>
  <c r="AY25" i="49"/>
  <c r="BJ24" i="49"/>
  <c r="BI24" i="49"/>
  <c r="BH24" i="49"/>
  <c r="BG24" i="49"/>
  <c r="BF24" i="49"/>
  <c r="BE24" i="49"/>
  <c r="BD24" i="49"/>
  <c r="BC24" i="49"/>
  <c r="BB24" i="49"/>
  <c r="BA24" i="49"/>
  <c r="AZ24" i="49"/>
  <c r="AY24" i="49"/>
  <c r="BJ23" i="49"/>
  <c r="BI23" i="49"/>
  <c r="BH23" i="49"/>
  <c r="BG23" i="49"/>
  <c r="BF23" i="49"/>
  <c r="BE23" i="49"/>
  <c r="BD23" i="49"/>
  <c r="BC23" i="49"/>
  <c r="BB23" i="49"/>
  <c r="BA23" i="49"/>
  <c r="AZ23" i="49"/>
  <c r="AY23" i="49"/>
  <c r="BJ22" i="49"/>
  <c r="BI22" i="49"/>
  <c r="BH22" i="49"/>
  <c r="BG22" i="49"/>
  <c r="BF22" i="49"/>
  <c r="BE22" i="49"/>
  <c r="BD22" i="49"/>
  <c r="BC22" i="49"/>
  <c r="BB22" i="49"/>
  <c r="BA22" i="49"/>
  <c r="AZ22" i="49"/>
  <c r="AY22" i="49"/>
  <c r="BJ21" i="49"/>
  <c r="BI21" i="49"/>
  <c r="BH21" i="49"/>
  <c r="BG21" i="49"/>
  <c r="BF21" i="49"/>
  <c r="BE21" i="49"/>
  <c r="BD21" i="49"/>
  <c r="BC21" i="49"/>
  <c r="BB21" i="49"/>
  <c r="BA21" i="49"/>
  <c r="AZ21" i="49"/>
  <c r="AY21" i="49"/>
  <c r="BJ20" i="49"/>
  <c r="BI20" i="49"/>
  <c r="BH20" i="49"/>
  <c r="BG20" i="49"/>
  <c r="BF20" i="49"/>
  <c r="BE20" i="49"/>
  <c r="BD20" i="49"/>
  <c r="BC20" i="49"/>
  <c r="BB20" i="49"/>
  <c r="BA20" i="49"/>
  <c r="AZ20" i="49"/>
  <c r="AY20" i="49"/>
  <c r="BJ19" i="49"/>
  <c r="BI19" i="49"/>
  <c r="BH19" i="49"/>
  <c r="BG19" i="49"/>
  <c r="BF19" i="49"/>
  <c r="BE19" i="49"/>
  <c r="BD19" i="49"/>
  <c r="BC19" i="49"/>
  <c r="BB19" i="49"/>
  <c r="BA19" i="49"/>
  <c r="AZ19" i="49"/>
  <c r="AY19" i="49"/>
  <c r="BJ18" i="49"/>
  <c r="BI18" i="49"/>
  <c r="BH18" i="49"/>
  <c r="BG18" i="49"/>
  <c r="BF18" i="49"/>
  <c r="BE18" i="49"/>
  <c r="BD18" i="49"/>
  <c r="BC18" i="49"/>
  <c r="BB18" i="49"/>
  <c r="BA18" i="49"/>
  <c r="AZ18" i="49"/>
  <c r="AY18" i="49"/>
  <c r="BJ17" i="49"/>
  <c r="BI17" i="49"/>
  <c r="BH17" i="49"/>
  <c r="BG17" i="49"/>
  <c r="BF17" i="49"/>
  <c r="BE17" i="49"/>
  <c r="BD17" i="49"/>
  <c r="BC17" i="49"/>
  <c r="BB17" i="49"/>
  <c r="BA17" i="49"/>
  <c r="AZ17" i="49"/>
  <c r="AY17" i="49"/>
  <c r="BJ16" i="49"/>
  <c r="BI16" i="49"/>
  <c r="BH16" i="49"/>
  <c r="BG16" i="49"/>
  <c r="BF16" i="49"/>
  <c r="BE16" i="49"/>
  <c r="BD16" i="49"/>
  <c r="BC16" i="49"/>
  <c r="BB16" i="49"/>
  <c r="BA16" i="49"/>
  <c r="AZ16" i="49"/>
  <c r="AY16" i="49"/>
  <c r="BJ15" i="49"/>
  <c r="BI15" i="49"/>
  <c r="BH15" i="49"/>
  <c r="BG15" i="49"/>
  <c r="BF15" i="49"/>
  <c r="BE15" i="49"/>
  <c r="BD15" i="49"/>
  <c r="BC15" i="49"/>
  <c r="BB15" i="49"/>
  <c r="BA15" i="49"/>
  <c r="AZ15" i="49"/>
  <c r="AY15" i="49"/>
  <c r="BJ14" i="49"/>
  <c r="BI14" i="49"/>
  <c r="BH14" i="49"/>
  <c r="BG14" i="49"/>
  <c r="BF14" i="49"/>
  <c r="BE14" i="49"/>
  <c r="BD14" i="49"/>
  <c r="BC14" i="49"/>
  <c r="BB14" i="49"/>
  <c r="BA14" i="49"/>
  <c r="AZ14" i="49"/>
  <c r="AY14" i="49"/>
  <c r="BJ13" i="49"/>
  <c r="BI13" i="49"/>
  <c r="BH13" i="49"/>
  <c r="BG13" i="49"/>
  <c r="BF13" i="49"/>
  <c r="BE13" i="49"/>
  <c r="BD13" i="49"/>
  <c r="BC13" i="49"/>
  <c r="BB13" i="49"/>
  <c r="BA13" i="49"/>
  <c r="AZ13" i="49"/>
  <c r="AY13" i="49"/>
  <c r="BJ12" i="49"/>
  <c r="BI12" i="49"/>
  <c r="BH12" i="49"/>
  <c r="BG12" i="49"/>
  <c r="BF12" i="49"/>
  <c r="BE12" i="49"/>
  <c r="BD12" i="49"/>
  <c r="BC12" i="49"/>
  <c r="BB12" i="49"/>
  <c r="BA12" i="49"/>
  <c r="AZ12" i="49"/>
  <c r="AY12" i="49"/>
  <c r="BJ11" i="49"/>
  <c r="BI11" i="49"/>
  <c r="BH11" i="49"/>
  <c r="BG11" i="49"/>
  <c r="BF11" i="49"/>
  <c r="BE11" i="49"/>
  <c r="BD11" i="49"/>
  <c r="BC11" i="49"/>
  <c r="BB11" i="49"/>
  <c r="BA11" i="49"/>
  <c r="AZ11" i="49"/>
  <c r="AY11" i="49"/>
  <c r="BJ10" i="49"/>
  <c r="BI10" i="49"/>
  <c r="BH10" i="49"/>
  <c r="BG10" i="49"/>
  <c r="BF10" i="49"/>
  <c r="BE10" i="49"/>
  <c r="BD10" i="49"/>
  <c r="BC10" i="49"/>
  <c r="BB10" i="49"/>
  <c r="BA10" i="49"/>
  <c r="AZ10" i="49"/>
  <c r="AY10" i="49"/>
  <c r="BJ9" i="49"/>
  <c r="BI9" i="49"/>
  <c r="BH9" i="49"/>
  <c r="BG9" i="49"/>
  <c r="BF9" i="49"/>
  <c r="BE9" i="49"/>
  <c r="BD9" i="49"/>
  <c r="BC9" i="49"/>
  <c r="BB9" i="49"/>
  <c r="BA9" i="49"/>
  <c r="AZ9" i="49"/>
  <c r="AY9" i="49"/>
  <c r="BJ8" i="49"/>
  <c r="BI8" i="49"/>
  <c r="BH8" i="49"/>
  <c r="BG8" i="49"/>
  <c r="BF8" i="49"/>
  <c r="BE8" i="49"/>
  <c r="BD8" i="49"/>
  <c r="BC8" i="49"/>
  <c r="BB8" i="49"/>
  <c r="BA8" i="49"/>
  <c r="AZ8" i="49"/>
  <c r="AY8" i="49"/>
  <c r="BJ7" i="49"/>
  <c r="BI7" i="49"/>
  <c r="BH7" i="49"/>
  <c r="BG7" i="49"/>
  <c r="BF7" i="49"/>
  <c r="BE7" i="49"/>
  <c r="BD7" i="49"/>
  <c r="BC7" i="49"/>
  <c r="BB7" i="49"/>
  <c r="BA7" i="49"/>
  <c r="AZ7" i="49"/>
  <c r="AY7" i="49"/>
  <c r="BJ6" i="49"/>
  <c r="BI6" i="49"/>
  <c r="BH6" i="49"/>
  <c r="BG6" i="49"/>
  <c r="BF6" i="49"/>
  <c r="BE6" i="49"/>
  <c r="BD6" i="49"/>
  <c r="BC6" i="49"/>
  <c r="BB6" i="49"/>
  <c r="BA6" i="49"/>
  <c r="AZ6" i="49"/>
  <c r="AY6" i="49"/>
  <c r="AX33" i="49"/>
  <c r="AW33" i="49"/>
  <c r="AV33" i="49"/>
  <c r="AU33" i="49"/>
  <c r="AT33" i="49"/>
  <c r="AS33" i="49"/>
  <c r="AR33" i="49"/>
  <c r="AQ33" i="49"/>
  <c r="AP33" i="49"/>
  <c r="AO33" i="49"/>
  <c r="AN33" i="49"/>
  <c r="AM33" i="49"/>
  <c r="AX32" i="49"/>
  <c r="AW32" i="49"/>
  <c r="AV32" i="49"/>
  <c r="AU32" i="49"/>
  <c r="AT32" i="49"/>
  <c r="AS32" i="49"/>
  <c r="AR32" i="49"/>
  <c r="AQ32" i="49"/>
  <c r="AP32" i="49"/>
  <c r="AO32" i="49"/>
  <c r="AN32" i="49"/>
  <c r="AM32" i="49"/>
  <c r="AX31" i="49"/>
  <c r="AW31" i="49"/>
  <c r="AV31" i="49"/>
  <c r="AU31" i="49"/>
  <c r="AT31" i="49"/>
  <c r="AS31" i="49"/>
  <c r="AR31" i="49"/>
  <c r="AQ31" i="49"/>
  <c r="AP31" i="49"/>
  <c r="AO31" i="49"/>
  <c r="AN31" i="49"/>
  <c r="AM31" i="49"/>
  <c r="AX30" i="49"/>
  <c r="AW30" i="49"/>
  <c r="AV30" i="49"/>
  <c r="AU30" i="49"/>
  <c r="AT30" i="49"/>
  <c r="AS30" i="49"/>
  <c r="AR30" i="49"/>
  <c r="AQ30" i="49"/>
  <c r="AP30" i="49"/>
  <c r="AO30" i="49"/>
  <c r="AN30" i="49"/>
  <c r="AM30" i="49"/>
  <c r="AX29" i="49"/>
  <c r="AW29" i="49"/>
  <c r="AV29" i="49"/>
  <c r="AU29" i="49"/>
  <c r="AT29" i="49"/>
  <c r="AS29" i="49"/>
  <c r="AR29" i="49"/>
  <c r="AQ29" i="49"/>
  <c r="AP29" i="49"/>
  <c r="AO29" i="49"/>
  <c r="AN29" i="49"/>
  <c r="AM29" i="49"/>
  <c r="AX28" i="49"/>
  <c r="AW28" i="49"/>
  <c r="AV28" i="49"/>
  <c r="AU28" i="49"/>
  <c r="AT28" i="49"/>
  <c r="AS28" i="49"/>
  <c r="AR28" i="49"/>
  <c r="AQ28" i="49"/>
  <c r="AP28" i="49"/>
  <c r="AO28" i="49"/>
  <c r="AN28" i="49"/>
  <c r="AM28" i="49"/>
  <c r="AX27" i="49"/>
  <c r="AW27" i="49"/>
  <c r="AV27" i="49"/>
  <c r="AU27" i="49"/>
  <c r="AT27" i="49"/>
  <c r="AS27" i="49"/>
  <c r="AR27" i="49"/>
  <c r="AQ27" i="49"/>
  <c r="AP27" i="49"/>
  <c r="AO27" i="49"/>
  <c r="AN27" i="49"/>
  <c r="AM27" i="49"/>
  <c r="AX26" i="49"/>
  <c r="AW26" i="49"/>
  <c r="AV26" i="49"/>
  <c r="AU26" i="49"/>
  <c r="AT26" i="49"/>
  <c r="AS26" i="49"/>
  <c r="AR26" i="49"/>
  <c r="AQ26" i="49"/>
  <c r="AP26" i="49"/>
  <c r="AO26" i="49"/>
  <c r="AN26" i="49"/>
  <c r="AM26" i="49"/>
  <c r="AX25" i="49"/>
  <c r="AW25" i="49"/>
  <c r="AV25" i="49"/>
  <c r="AU25" i="49"/>
  <c r="AT25" i="49"/>
  <c r="AS25" i="49"/>
  <c r="AR25" i="49"/>
  <c r="AQ25" i="49"/>
  <c r="AP25" i="49"/>
  <c r="AO25" i="49"/>
  <c r="AN25" i="49"/>
  <c r="AM25" i="49"/>
  <c r="AX24" i="49"/>
  <c r="AW24" i="49"/>
  <c r="AV24" i="49"/>
  <c r="AU24" i="49"/>
  <c r="AT24" i="49"/>
  <c r="AS24" i="49"/>
  <c r="AR24" i="49"/>
  <c r="AQ24" i="49"/>
  <c r="AP24" i="49"/>
  <c r="AO24" i="49"/>
  <c r="AN24" i="49"/>
  <c r="AM24" i="49"/>
  <c r="AX23" i="49"/>
  <c r="AW23" i="49"/>
  <c r="AV23" i="49"/>
  <c r="AU23" i="49"/>
  <c r="AT23" i="49"/>
  <c r="AS23" i="49"/>
  <c r="AR23" i="49"/>
  <c r="AQ23" i="49"/>
  <c r="AP23" i="49"/>
  <c r="AO23" i="49"/>
  <c r="AN23" i="49"/>
  <c r="AM23" i="49"/>
  <c r="AX22" i="49"/>
  <c r="AW22" i="49"/>
  <c r="AV22" i="49"/>
  <c r="AU22" i="49"/>
  <c r="AT22" i="49"/>
  <c r="AS22" i="49"/>
  <c r="AR22" i="49"/>
  <c r="AQ22" i="49"/>
  <c r="AP22" i="49"/>
  <c r="AO22" i="49"/>
  <c r="AN22" i="49"/>
  <c r="AM22" i="49"/>
  <c r="AX21" i="49"/>
  <c r="AW21" i="49"/>
  <c r="AV21" i="49"/>
  <c r="AU21" i="49"/>
  <c r="AT21" i="49"/>
  <c r="AS21" i="49"/>
  <c r="AR21" i="49"/>
  <c r="AQ21" i="49"/>
  <c r="AP21" i="49"/>
  <c r="AO21" i="49"/>
  <c r="AN21" i="49"/>
  <c r="AM21" i="49"/>
  <c r="AX20" i="49"/>
  <c r="AW20" i="49"/>
  <c r="AV20" i="49"/>
  <c r="AU20" i="49"/>
  <c r="AT20" i="49"/>
  <c r="AS20" i="49"/>
  <c r="AR20" i="49"/>
  <c r="AQ20" i="49"/>
  <c r="AP20" i="49"/>
  <c r="AO20" i="49"/>
  <c r="AN20" i="49"/>
  <c r="AM20" i="49"/>
  <c r="AX19" i="49"/>
  <c r="AW19" i="49"/>
  <c r="AV19" i="49"/>
  <c r="AU19" i="49"/>
  <c r="AT19" i="49"/>
  <c r="AS19" i="49"/>
  <c r="AR19" i="49"/>
  <c r="AQ19" i="49"/>
  <c r="AP19" i="49"/>
  <c r="AO19" i="49"/>
  <c r="AN19" i="49"/>
  <c r="AM19" i="49"/>
  <c r="AX18" i="49"/>
  <c r="AW18" i="49"/>
  <c r="AV18" i="49"/>
  <c r="AU18" i="49"/>
  <c r="AT18" i="49"/>
  <c r="AS18" i="49"/>
  <c r="AR18" i="49"/>
  <c r="AQ18" i="49"/>
  <c r="AP18" i="49"/>
  <c r="AO18" i="49"/>
  <c r="AN18" i="49"/>
  <c r="AM18" i="49"/>
  <c r="AX17" i="49"/>
  <c r="AW17" i="49"/>
  <c r="AV17" i="49"/>
  <c r="AU17" i="49"/>
  <c r="AT17" i="49"/>
  <c r="AS17" i="49"/>
  <c r="AR17" i="49"/>
  <c r="AQ17" i="49"/>
  <c r="AP17" i="49"/>
  <c r="AO17" i="49"/>
  <c r="AN17" i="49"/>
  <c r="AM17" i="49"/>
  <c r="AX16" i="49"/>
  <c r="AW16" i="49"/>
  <c r="AV16" i="49"/>
  <c r="AU16" i="49"/>
  <c r="AT16" i="49"/>
  <c r="AS16" i="49"/>
  <c r="AR16" i="49"/>
  <c r="AQ16" i="49"/>
  <c r="AP16" i="49"/>
  <c r="AO16" i="49"/>
  <c r="AN16" i="49"/>
  <c r="AM16" i="49"/>
  <c r="AX15" i="49"/>
  <c r="AW15" i="49"/>
  <c r="AV15" i="49"/>
  <c r="AU15" i="49"/>
  <c r="AT15" i="49"/>
  <c r="AS15" i="49"/>
  <c r="AR15" i="49"/>
  <c r="AQ15" i="49"/>
  <c r="AP15" i="49"/>
  <c r="AO15" i="49"/>
  <c r="AN15" i="49"/>
  <c r="AM15" i="49"/>
  <c r="AX14" i="49"/>
  <c r="AW14" i="49"/>
  <c r="AV14" i="49"/>
  <c r="AU14" i="49"/>
  <c r="AT14" i="49"/>
  <c r="AS14" i="49"/>
  <c r="AR14" i="49"/>
  <c r="AQ14" i="49"/>
  <c r="AP14" i="49"/>
  <c r="AO14" i="49"/>
  <c r="AN14" i="49"/>
  <c r="AM14" i="49"/>
  <c r="AX13" i="49"/>
  <c r="AW13" i="49"/>
  <c r="AV13" i="49"/>
  <c r="AU13" i="49"/>
  <c r="AT13" i="49"/>
  <c r="AS13" i="49"/>
  <c r="AR13" i="49"/>
  <c r="AQ13" i="49"/>
  <c r="AP13" i="49"/>
  <c r="AO13" i="49"/>
  <c r="AN13" i="49"/>
  <c r="AM13" i="49"/>
  <c r="AX12" i="49"/>
  <c r="AW12" i="49"/>
  <c r="AV12" i="49"/>
  <c r="AU12" i="49"/>
  <c r="AT12" i="49"/>
  <c r="AS12" i="49"/>
  <c r="AR12" i="49"/>
  <c r="AQ12" i="49"/>
  <c r="AP12" i="49"/>
  <c r="AO12" i="49"/>
  <c r="AN12" i="49"/>
  <c r="AM12" i="49"/>
  <c r="AX11" i="49"/>
  <c r="AW11" i="49"/>
  <c r="AV11" i="49"/>
  <c r="AU11" i="49"/>
  <c r="AT11" i="49"/>
  <c r="AS11" i="49"/>
  <c r="AR11" i="49"/>
  <c r="AQ11" i="49"/>
  <c r="AP11" i="49"/>
  <c r="AO11" i="49"/>
  <c r="AN11" i="49"/>
  <c r="AM11" i="49"/>
  <c r="AX10" i="49"/>
  <c r="AW10" i="49"/>
  <c r="AV10" i="49"/>
  <c r="AU10" i="49"/>
  <c r="AT10" i="49"/>
  <c r="AS10" i="49"/>
  <c r="AR10" i="49"/>
  <c r="AQ10" i="49"/>
  <c r="AP10" i="49"/>
  <c r="AO10" i="49"/>
  <c r="AN10" i="49"/>
  <c r="AM10" i="49"/>
  <c r="AX9" i="49"/>
  <c r="AW9" i="49"/>
  <c r="AV9" i="49"/>
  <c r="AU9" i="49"/>
  <c r="AT9" i="49"/>
  <c r="AS9" i="49"/>
  <c r="AR9" i="49"/>
  <c r="AQ9" i="49"/>
  <c r="AP9" i="49"/>
  <c r="AO9" i="49"/>
  <c r="AN9" i="49"/>
  <c r="AM9" i="49"/>
  <c r="AX8" i="49"/>
  <c r="AW8" i="49"/>
  <c r="AV8" i="49"/>
  <c r="AU8" i="49"/>
  <c r="AT8" i="49"/>
  <c r="AS8" i="49"/>
  <c r="AR8" i="49"/>
  <c r="AQ8" i="49"/>
  <c r="AP8" i="49"/>
  <c r="AO8" i="49"/>
  <c r="AN8" i="49"/>
  <c r="AM8" i="49"/>
  <c r="AX7" i="49"/>
  <c r="AW7" i="49"/>
  <c r="AV7" i="49"/>
  <c r="AU7" i="49"/>
  <c r="AT7" i="49"/>
  <c r="AS7" i="49"/>
  <c r="AR7" i="49"/>
  <c r="AQ7" i="49"/>
  <c r="AP7" i="49"/>
  <c r="AO7" i="49"/>
  <c r="AN7" i="49"/>
  <c r="AM7" i="49"/>
  <c r="AX6" i="49"/>
  <c r="AW6" i="49"/>
  <c r="AV6" i="49"/>
  <c r="AU6" i="49"/>
  <c r="AT6" i="49"/>
  <c r="AS6" i="49"/>
  <c r="AR6" i="49"/>
  <c r="AQ6" i="49"/>
  <c r="AP6" i="49"/>
  <c r="AO6" i="49"/>
  <c r="AN6" i="49"/>
  <c r="AM6" i="49"/>
  <c r="AL33" i="49"/>
  <c r="AK33" i="49"/>
  <c r="AJ33" i="49"/>
  <c r="AI33" i="49"/>
  <c r="AH33" i="49"/>
  <c r="AG33" i="49"/>
  <c r="AF33" i="49"/>
  <c r="AE33" i="49"/>
  <c r="AD33" i="49"/>
  <c r="AC33" i="49"/>
  <c r="AB33" i="49"/>
  <c r="AA33" i="49"/>
  <c r="AL32" i="49"/>
  <c r="AK32" i="49"/>
  <c r="AJ32" i="49"/>
  <c r="AI32" i="49"/>
  <c r="AH32" i="49"/>
  <c r="AG32" i="49"/>
  <c r="AF32" i="49"/>
  <c r="AE32" i="49"/>
  <c r="AD32" i="49"/>
  <c r="AC32" i="49"/>
  <c r="AB32" i="49"/>
  <c r="AA32" i="49"/>
  <c r="AL31" i="49"/>
  <c r="AK31" i="49"/>
  <c r="AJ31" i="49"/>
  <c r="AI31" i="49"/>
  <c r="AH31" i="49"/>
  <c r="AG31" i="49"/>
  <c r="AF31" i="49"/>
  <c r="AE31" i="49"/>
  <c r="AD31" i="49"/>
  <c r="AC31" i="49"/>
  <c r="AB31" i="49"/>
  <c r="AA31" i="49"/>
  <c r="AL30" i="49"/>
  <c r="AK30" i="49"/>
  <c r="AJ30" i="49"/>
  <c r="AI30" i="49"/>
  <c r="AH30" i="49"/>
  <c r="AG30" i="49"/>
  <c r="AF30" i="49"/>
  <c r="AE30" i="49"/>
  <c r="AD30" i="49"/>
  <c r="AC30" i="49"/>
  <c r="AB30" i="49"/>
  <c r="AA30" i="49"/>
  <c r="AL29" i="49"/>
  <c r="AK29" i="49"/>
  <c r="AJ29" i="49"/>
  <c r="AI29" i="49"/>
  <c r="AH29" i="49"/>
  <c r="AG29" i="49"/>
  <c r="AF29" i="49"/>
  <c r="AE29" i="49"/>
  <c r="AD29" i="49"/>
  <c r="AC29" i="49"/>
  <c r="AB29" i="49"/>
  <c r="AA29" i="49"/>
  <c r="AL28" i="49"/>
  <c r="AK28" i="49"/>
  <c r="AJ28" i="49"/>
  <c r="AI28" i="49"/>
  <c r="AH28" i="49"/>
  <c r="AG28" i="49"/>
  <c r="AF28" i="49"/>
  <c r="AE28" i="49"/>
  <c r="AD28" i="49"/>
  <c r="AC28" i="49"/>
  <c r="AB28" i="49"/>
  <c r="AA28" i="49"/>
  <c r="AL27" i="49"/>
  <c r="AK27" i="49"/>
  <c r="AJ27" i="49"/>
  <c r="AI27" i="49"/>
  <c r="AH27" i="49"/>
  <c r="AG27" i="49"/>
  <c r="AF27" i="49"/>
  <c r="AE27" i="49"/>
  <c r="AD27" i="49"/>
  <c r="AC27" i="49"/>
  <c r="AB27" i="49"/>
  <c r="AA27" i="49"/>
  <c r="AL26" i="49"/>
  <c r="AK26" i="49"/>
  <c r="AJ26" i="49"/>
  <c r="AI26" i="49"/>
  <c r="AH26" i="49"/>
  <c r="AG26" i="49"/>
  <c r="AF26" i="49"/>
  <c r="AE26" i="49"/>
  <c r="AD26" i="49"/>
  <c r="AC26" i="49"/>
  <c r="AB26" i="49"/>
  <c r="AA26" i="49"/>
  <c r="AL25" i="49"/>
  <c r="AK25" i="49"/>
  <c r="AJ25" i="49"/>
  <c r="AI25" i="49"/>
  <c r="AH25" i="49"/>
  <c r="AG25" i="49"/>
  <c r="AF25" i="49"/>
  <c r="AE25" i="49"/>
  <c r="AD25" i="49"/>
  <c r="AC25" i="49"/>
  <c r="AB25" i="49"/>
  <c r="AA25" i="49"/>
  <c r="AL24" i="49"/>
  <c r="AK24" i="49"/>
  <c r="AJ24" i="49"/>
  <c r="AI24" i="49"/>
  <c r="AH24" i="49"/>
  <c r="AG24" i="49"/>
  <c r="AF24" i="49"/>
  <c r="AE24" i="49"/>
  <c r="AD24" i="49"/>
  <c r="AC24" i="49"/>
  <c r="AB24" i="49"/>
  <c r="AA24" i="49"/>
  <c r="AL23" i="49"/>
  <c r="AK23" i="49"/>
  <c r="AJ23" i="49"/>
  <c r="AI23" i="49"/>
  <c r="AH23" i="49"/>
  <c r="AG23" i="49"/>
  <c r="AF23" i="49"/>
  <c r="AE23" i="49"/>
  <c r="AD23" i="49"/>
  <c r="AC23" i="49"/>
  <c r="AB23" i="49"/>
  <c r="AA23" i="49"/>
  <c r="AL22" i="49"/>
  <c r="AK22" i="49"/>
  <c r="AJ22" i="49"/>
  <c r="AI22" i="49"/>
  <c r="AH22" i="49"/>
  <c r="AG22" i="49"/>
  <c r="AF22" i="49"/>
  <c r="AE22" i="49"/>
  <c r="AD22" i="49"/>
  <c r="AC22" i="49"/>
  <c r="AB22" i="49"/>
  <c r="AA22" i="49"/>
  <c r="AL21" i="49"/>
  <c r="AK21" i="49"/>
  <c r="AJ21" i="49"/>
  <c r="AI21" i="49"/>
  <c r="AH21" i="49"/>
  <c r="AG21" i="49"/>
  <c r="AF21" i="49"/>
  <c r="AE21" i="49"/>
  <c r="AD21" i="49"/>
  <c r="AC21" i="49"/>
  <c r="AB21" i="49"/>
  <c r="AA21" i="49"/>
  <c r="AL20" i="49"/>
  <c r="AK20" i="49"/>
  <c r="AJ20" i="49"/>
  <c r="AI20" i="49"/>
  <c r="AH20" i="49"/>
  <c r="AG20" i="49"/>
  <c r="AF20" i="49"/>
  <c r="AE20" i="49"/>
  <c r="AD20" i="49"/>
  <c r="AC20" i="49"/>
  <c r="AB20" i="49"/>
  <c r="AA20" i="49"/>
  <c r="AL19" i="49"/>
  <c r="AK19" i="49"/>
  <c r="AJ19" i="49"/>
  <c r="AI19" i="49"/>
  <c r="AH19" i="49"/>
  <c r="AG19" i="49"/>
  <c r="AF19" i="49"/>
  <c r="AE19" i="49"/>
  <c r="AD19" i="49"/>
  <c r="AC19" i="49"/>
  <c r="AB19" i="49"/>
  <c r="AA19" i="49"/>
  <c r="AL18" i="49"/>
  <c r="AK18" i="49"/>
  <c r="AJ18" i="49"/>
  <c r="AI18" i="49"/>
  <c r="AH18" i="49"/>
  <c r="AG18" i="49"/>
  <c r="AF18" i="49"/>
  <c r="AE18" i="49"/>
  <c r="AD18" i="49"/>
  <c r="AC18" i="49"/>
  <c r="AB18" i="49"/>
  <c r="AA18" i="49"/>
  <c r="AL17" i="49"/>
  <c r="AK17" i="49"/>
  <c r="AJ17" i="49"/>
  <c r="AI17" i="49"/>
  <c r="AH17" i="49"/>
  <c r="AG17" i="49"/>
  <c r="AF17" i="49"/>
  <c r="AE17" i="49"/>
  <c r="AD17" i="49"/>
  <c r="AC17" i="49"/>
  <c r="AB17" i="49"/>
  <c r="AA17" i="49"/>
  <c r="AL16" i="49"/>
  <c r="AK16" i="49"/>
  <c r="AJ16" i="49"/>
  <c r="AI16" i="49"/>
  <c r="AH16" i="49"/>
  <c r="AG16" i="49"/>
  <c r="AF16" i="49"/>
  <c r="AE16" i="49"/>
  <c r="AD16" i="49"/>
  <c r="AC16" i="49"/>
  <c r="AB16" i="49"/>
  <c r="AA16" i="49"/>
  <c r="AL15" i="49"/>
  <c r="AK15" i="49"/>
  <c r="AJ15" i="49"/>
  <c r="AI15" i="49"/>
  <c r="AH15" i="49"/>
  <c r="AG15" i="49"/>
  <c r="AF15" i="49"/>
  <c r="AE15" i="49"/>
  <c r="AD15" i="49"/>
  <c r="AC15" i="49"/>
  <c r="AB15" i="49"/>
  <c r="AA15" i="49"/>
  <c r="AL14" i="49"/>
  <c r="AK14" i="49"/>
  <c r="AJ14" i="49"/>
  <c r="AI14" i="49"/>
  <c r="AH14" i="49"/>
  <c r="AG14" i="49"/>
  <c r="AF14" i="49"/>
  <c r="AE14" i="49"/>
  <c r="AD14" i="49"/>
  <c r="AC14" i="49"/>
  <c r="AB14" i="49"/>
  <c r="AA14" i="49"/>
  <c r="AL13" i="49"/>
  <c r="AK13" i="49"/>
  <c r="AJ13" i="49"/>
  <c r="AI13" i="49"/>
  <c r="AH13" i="49"/>
  <c r="AG13" i="49"/>
  <c r="AF13" i="49"/>
  <c r="AE13" i="49"/>
  <c r="AD13" i="49"/>
  <c r="AC13" i="49"/>
  <c r="AB13" i="49"/>
  <c r="AA13" i="49"/>
  <c r="AL12" i="49"/>
  <c r="AK12" i="49"/>
  <c r="AJ12" i="49"/>
  <c r="AI12" i="49"/>
  <c r="AH12" i="49"/>
  <c r="AG12" i="49"/>
  <c r="AF12" i="49"/>
  <c r="AE12" i="49"/>
  <c r="AD12" i="49"/>
  <c r="AC12" i="49"/>
  <c r="AB12" i="49"/>
  <c r="AA12" i="49"/>
  <c r="AL11" i="49"/>
  <c r="AK11" i="49"/>
  <c r="AJ11" i="49"/>
  <c r="AI11" i="49"/>
  <c r="AH11" i="49"/>
  <c r="AG11" i="49"/>
  <c r="AF11" i="49"/>
  <c r="AE11" i="49"/>
  <c r="AD11" i="49"/>
  <c r="AC11" i="49"/>
  <c r="AB11" i="49"/>
  <c r="AA11" i="49"/>
  <c r="AL10" i="49"/>
  <c r="AK10" i="49"/>
  <c r="AJ10" i="49"/>
  <c r="AI10" i="49"/>
  <c r="AH10" i="49"/>
  <c r="AG10" i="49"/>
  <c r="AF10" i="49"/>
  <c r="AE10" i="49"/>
  <c r="AD10" i="49"/>
  <c r="AC10" i="49"/>
  <c r="AB10" i="49"/>
  <c r="AA10" i="49"/>
  <c r="AL9" i="49"/>
  <c r="AK9" i="49"/>
  <c r="AJ9" i="49"/>
  <c r="AI9" i="49"/>
  <c r="AH9" i="49"/>
  <c r="AG9" i="49"/>
  <c r="AF9" i="49"/>
  <c r="AE9" i="49"/>
  <c r="AD9" i="49"/>
  <c r="AC9" i="49"/>
  <c r="AB9" i="49"/>
  <c r="AA9" i="49"/>
  <c r="AL8" i="49"/>
  <c r="AK8" i="49"/>
  <c r="AJ8" i="49"/>
  <c r="AI8" i="49"/>
  <c r="AH8" i="49"/>
  <c r="AG8" i="49"/>
  <c r="AF8" i="49"/>
  <c r="AE8" i="49"/>
  <c r="AD8" i="49"/>
  <c r="AC8" i="49"/>
  <c r="AB8" i="49"/>
  <c r="AA8" i="49"/>
  <c r="AL7" i="49"/>
  <c r="AK7" i="49"/>
  <c r="AJ7" i="49"/>
  <c r="AI7" i="49"/>
  <c r="AH7" i="49"/>
  <c r="AG7" i="49"/>
  <c r="AF7" i="49"/>
  <c r="AE7" i="49"/>
  <c r="AD7" i="49"/>
  <c r="AC7" i="49"/>
  <c r="AB7" i="49"/>
  <c r="AA7" i="49"/>
  <c r="AL6" i="49"/>
  <c r="AK6" i="49"/>
  <c r="AJ6" i="49"/>
  <c r="AI6" i="49"/>
  <c r="AH6" i="49"/>
  <c r="AG6" i="49"/>
  <c r="AF6" i="49"/>
  <c r="AE6" i="49"/>
  <c r="AD6" i="49"/>
  <c r="AC6" i="49"/>
  <c r="AB6" i="49"/>
  <c r="AA6" i="49"/>
  <c r="Z33" i="49"/>
  <c r="Y33" i="49"/>
  <c r="X33" i="49"/>
  <c r="W33" i="49"/>
  <c r="V33" i="49"/>
  <c r="U33" i="49"/>
  <c r="T33" i="49"/>
  <c r="S33" i="49"/>
  <c r="R33" i="49"/>
  <c r="Q33" i="49"/>
  <c r="P33" i="49"/>
  <c r="O33" i="49"/>
  <c r="Z32" i="49"/>
  <c r="Y32" i="49"/>
  <c r="X32" i="49"/>
  <c r="W32" i="49"/>
  <c r="V32" i="49"/>
  <c r="U32" i="49"/>
  <c r="T32" i="49"/>
  <c r="S32" i="49"/>
  <c r="R32" i="49"/>
  <c r="Q32" i="49"/>
  <c r="P32" i="49"/>
  <c r="O32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Z9" i="49"/>
  <c r="Y9" i="49"/>
  <c r="X9" i="49"/>
  <c r="W9" i="49"/>
  <c r="V9" i="49"/>
  <c r="U9" i="49"/>
  <c r="T9" i="49"/>
  <c r="S9" i="49"/>
  <c r="R9" i="49"/>
  <c r="Q9" i="49"/>
  <c r="P9" i="49"/>
  <c r="O9" i="49"/>
  <c r="Z8" i="49"/>
  <c r="Y8" i="49"/>
  <c r="X8" i="49"/>
  <c r="W8" i="49"/>
  <c r="V8" i="49"/>
  <c r="U8" i="49"/>
  <c r="T8" i="49"/>
  <c r="S8" i="49"/>
  <c r="R8" i="49"/>
  <c r="Q8" i="49"/>
  <c r="P8" i="49"/>
  <c r="O8" i="49"/>
  <c r="Z7" i="49"/>
  <c r="Y7" i="49"/>
  <c r="X7" i="49"/>
  <c r="W7" i="49"/>
  <c r="V7" i="49"/>
  <c r="U7" i="49"/>
  <c r="T7" i="49"/>
  <c r="S7" i="49"/>
  <c r="R7" i="49"/>
  <c r="Q7" i="49"/>
  <c r="P7" i="49"/>
  <c r="O7" i="49"/>
  <c r="Z6" i="49"/>
  <c r="Y6" i="49"/>
  <c r="X6" i="49"/>
  <c r="W6" i="49"/>
  <c r="V6" i="49"/>
  <c r="U6" i="49"/>
  <c r="T6" i="49"/>
  <c r="S6" i="49"/>
  <c r="R6" i="49"/>
  <c r="Q6" i="49"/>
  <c r="P6" i="49"/>
  <c r="O6" i="49"/>
  <c r="N27" i="49"/>
  <c r="N26" i="49"/>
  <c r="N25" i="49"/>
  <c r="N24" i="49"/>
  <c r="N23" i="49"/>
  <c r="N22" i="49"/>
  <c r="N21" i="49"/>
  <c r="N20" i="49"/>
  <c r="N19" i="49"/>
  <c r="N18" i="49"/>
  <c r="N17" i="49"/>
  <c r="N16" i="49"/>
  <c r="N15" i="49"/>
  <c r="N14" i="49"/>
  <c r="N13" i="49"/>
  <c r="N12" i="49"/>
  <c r="N11" i="49"/>
  <c r="N10" i="49"/>
  <c r="N9" i="49"/>
  <c r="N8" i="49"/>
  <c r="N7" i="49"/>
  <c r="N6" i="49"/>
  <c r="M27" i="49"/>
  <c r="M26" i="49"/>
  <c r="M25" i="49"/>
  <c r="M24" i="49"/>
  <c r="M23" i="49"/>
  <c r="M22" i="49"/>
  <c r="M21" i="49"/>
  <c r="M20" i="49"/>
  <c r="M19" i="49"/>
  <c r="M18" i="49"/>
  <c r="M17" i="49"/>
  <c r="M16" i="49"/>
  <c r="M15" i="49"/>
  <c r="M14" i="49"/>
  <c r="M13" i="49"/>
  <c r="M12" i="49"/>
  <c r="M11" i="49"/>
  <c r="M10" i="49"/>
  <c r="M9" i="49"/>
  <c r="M8" i="49"/>
  <c r="M7" i="49"/>
  <c r="M6" i="49"/>
  <c r="L27" i="49"/>
  <c r="L26" i="49"/>
  <c r="L25" i="49"/>
  <c r="L24" i="49"/>
  <c r="L23" i="49"/>
  <c r="L22" i="49"/>
  <c r="L21" i="49"/>
  <c r="L20" i="49"/>
  <c r="L19" i="49"/>
  <c r="L18" i="49"/>
  <c r="L17" i="49"/>
  <c r="L16" i="49"/>
  <c r="L15" i="49"/>
  <c r="L14" i="49"/>
  <c r="L13" i="49"/>
  <c r="L12" i="49"/>
  <c r="L11" i="49"/>
  <c r="L10" i="49"/>
  <c r="L9" i="49"/>
  <c r="L8" i="49"/>
  <c r="L7" i="49"/>
  <c r="L6" i="49"/>
  <c r="K27" i="49"/>
  <c r="K26" i="49"/>
  <c r="K25" i="49"/>
  <c r="K24" i="49"/>
  <c r="K23" i="49"/>
  <c r="K22" i="49"/>
  <c r="K21" i="49"/>
  <c r="K20" i="49"/>
  <c r="K19" i="49"/>
  <c r="K18" i="49"/>
  <c r="K17" i="49"/>
  <c r="K16" i="49"/>
  <c r="K15" i="49"/>
  <c r="K14" i="49"/>
  <c r="K13" i="49"/>
  <c r="K12" i="49"/>
  <c r="K11" i="49"/>
  <c r="K10" i="49"/>
  <c r="K9" i="49"/>
  <c r="K8" i="49"/>
  <c r="K7" i="49"/>
  <c r="K6" i="49"/>
  <c r="J27" i="49"/>
  <c r="J26" i="49"/>
  <c r="J25" i="49"/>
  <c r="J24" i="49"/>
  <c r="J23" i="49"/>
  <c r="J22" i="49"/>
  <c r="J21" i="49"/>
  <c r="J20" i="49"/>
  <c r="J19" i="49"/>
  <c r="J18" i="49"/>
  <c r="J17" i="49"/>
  <c r="J16" i="49"/>
  <c r="J15" i="49"/>
  <c r="J14" i="49"/>
  <c r="J13" i="49"/>
  <c r="J12" i="49"/>
  <c r="J11" i="49"/>
  <c r="J10" i="49"/>
  <c r="J9" i="49"/>
  <c r="J8" i="49"/>
  <c r="J7" i="49"/>
  <c r="J6" i="49"/>
  <c r="I27" i="49"/>
  <c r="I26" i="49"/>
  <c r="I25" i="49"/>
  <c r="I24" i="49"/>
  <c r="I23" i="49"/>
  <c r="I22" i="49"/>
  <c r="I21" i="49"/>
  <c r="I20" i="49"/>
  <c r="I19" i="49"/>
  <c r="I18" i="49"/>
  <c r="I17" i="49"/>
  <c r="I16" i="49"/>
  <c r="I15" i="49"/>
  <c r="I14" i="49"/>
  <c r="I13" i="49"/>
  <c r="I12" i="49"/>
  <c r="I11" i="49"/>
  <c r="I10" i="49"/>
  <c r="I9" i="49"/>
  <c r="I8" i="49"/>
  <c r="I7" i="49"/>
  <c r="I6" i="49"/>
  <c r="H27" i="49"/>
  <c r="H26" i="49"/>
  <c r="H25" i="49"/>
  <c r="H24" i="49"/>
  <c r="H23" i="49"/>
  <c r="H22" i="49"/>
  <c r="H21" i="49"/>
  <c r="H20" i="49"/>
  <c r="H19" i="49"/>
  <c r="H18" i="49"/>
  <c r="H17" i="49"/>
  <c r="H16" i="49"/>
  <c r="H15" i="49"/>
  <c r="H14" i="49"/>
  <c r="H13" i="49"/>
  <c r="H12" i="49"/>
  <c r="H11" i="49"/>
  <c r="H10" i="49"/>
  <c r="H9" i="49"/>
  <c r="H8" i="49"/>
  <c r="H7" i="49"/>
  <c r="H6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G14" i="49"/>
  <c r="G13" i="49"/>
  <c r="G12" i="49"/>
  <c r="G11" i="49"/>
  <c r="G10" i="49"/>
  <c r="G9" i="49"/>
  <c r="G8" i="49"/>
  <c r="G7" i="49"/>
  <c r="G6" i="49"/>
  <c r="F27" i="49"/>
  <c r="F26" i="49"/>
  <c r="F25" i="49"/>
  <c r="F24" i="49"/>
  <c r="F23" i="49"/>
  <c r="F22" i="49"/>
  <c r="F21" i="49"/>
  <c r="F20" i="49"/>
  <c r="F19" i="49"/>
  <c r="F18" i="49"/>
  <c r="F17" i="49"/>
  <c r="F16" i="49"/>
  <c r="F15" i="49"/>
  <c r="F14" i="49"/>
  <c r="F13" i="49"/>
  <c r="F12" i="49"/>
  <c r="F11" i="49"/>
  <c r="F10" i="49"/>
  <c r="F9" i="49"/>
  <c r="F8" i="49"/>
  <c r="F7" i="49"/>
  <c r="F6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D27" i="49"/>
  <c r="D26" i="49"/>
  <c r="D25" i="49"/>
  <c r="D24" i="49"/>
  <c r="D23" i="49"/>
  <c r="D22" i="49"/>
  <c r="D21" i="49"/>
  <c r="D20" i="49"/>
  <c r="D19" i="49"/>
  <c r="D18" i="49"/>
  <c r="D17" i="49"/>
  <c r="D16" i="49"/>
  <c r="D15" i="49"/>
  <c r="D14" i="49"/>
  <c r="D13" i="49"/>
  <c r="D12" i="49"/>
  <c r="D11" i="49"/>
  <c r="D10" i="49"/>
  <c r="D9" i="49"/>
  <c r="D8" i="49"/>
  <c r="D7" i="49"/>
  <c r="D6" i="49"/>
  <c r="C27" i="49"/>
  <c r="C26" i="49"/>
  <c r="C25" i="49"/>
  <c r="C24" i="49"/>
  <c r="C23" i="49"/>
  <c r="C22" i="49"/>
  <c r="C21" i="49"/>
  <c r="C20" i="49"/>
  <c r="C19" i="49"/>
  <c r="C18" i="49"/>
  <c r="C17" i="49"/>
  <c r="C16" i="49"/>
  <c r="C15" i="49"/>
  <c r="C14" i="49"/>
  <c r="C13" i="49"/>
  <c r="C12" i="49"/>
  <c r="C11" i="49"/>
  <c r="C10" i="49"/>
  <c r="C9" i="49"/>
  <c r="C8" i="49"/>
  <c r="C7" i="49"/>
  <c r="C6" i="49"/>
  <c r="D34" i="51" l="1"/>
  <c r="H34" i="51" s="1"/>
  <c r="D33" i="51"/>
  <c r="B33" i="77"/>
  <c r="M34" i="51" s="1"/>
  <c r="B34" i="51"/>
  <c r="G34" i="51" s="1"/>
  <c r="B33" i="75"/>
  <c r="M32" i="51" s="1"/>
  <c r="B32" i="51"/>
  <c r="G32" i="51" s="1"/>
  <c r="AS33" i="63"/>
  <c r="AF33" i="63"/>
  <c r="BK32" i="63"/>
  <c r="BJ32" i="63"/>
  <c r="BG32" i="63"/>
  <c r="BF32" i="63"/>
  <c r="AS32" i="63"/>
  <c r="AF32" i="63"/>
  <c r="M32" i="63"/>
  <c r="BS31" i="63"/>
  <c r="BR31" i="63"/>
  <c r="BQ31" i="63"/>
  <c r="BP31" i="63"/>
  <c r="BO31" i="63"/>
  <c r="BN31" i="63"/>
  <c r="BK31" i="63"/>
  <c r="BJ31" i="63"/>
  <c r="BG31" i="63"/>
  <c r="BF31" i="63"/>
  <c r="M31" i="63"/>
  <c r="AS34" i="62"/>
  <c r="AF34" i="62"/>
  <c r="BK33" i="62"/>
  <c r="BJ33" i="62"/>
  <c r="BL34" i="62" s="1"/>
  <c r="BG33" i="62"/>
  <c r="BF33" i="62"/>
  <c r="BH34" i="62" s="1"/>
  <c r="AS33" i="62"/>
  <c r="AF33" i="62"/>
  <c r="M33" i="62"/>
  <c r="BS32" i="62"/>
  <c r="H25" i="50" s="1"/>
  <c r="BR32" i="62"/>
  <c r="G25" i="50" s="1"/>
  <c r="BQ32" i="62"/>
  <c r="F25" i="50" s="1"/>
  <c r="BP32" i="62"/>
  <c r="D25" i="50" s="1"/>
  <c r="BO32" i="62"/>
  <c r="C25" i="50" s="1"/>
  <c r="BN32" i="62"/>
  <c r="B25" i="50" s="1"/>
  <c r="BK32" i="62"/>
  <c r="BJ32" i="62"/>
  <c r="BG32" i="62"/>
  <c r="BF32" i="62"/>
  <c r="M32" i="62"/>
  <c r="AS33" i="61"/>
  <c r="AF33" i="61"/>
  <c r="BK32" i="61"/>
  <c r="BJ32" i="61"/>
  <c r="BG32" i="61"/>
  <c r="BF32" i="61"/>
  <c r="AS32" i="61"/>
  <c r="AF32" i="61"/>
  <c r="B32" i="61" s="1"/>
  <c r="M32" i="61"/>
  <c r="E24" i="51" s="1"/>
  <c r="BS31" i="61"/>
  <c r="H24" i="50" s="1"/>
  <c r="BR31" i="61"/>
  <c r="G24" i="50" s="1"/>
  <c r="BQ31" i="61"/>
  <c r="F24" i="50" s="1"/>
  <c r="BP31" i="61"/>
  <c r="D24" i="50" s="1"/>
  <c r="BO31" i="61"/>
  <c r="C24" i="50" s="1"/>
  <c r="BN31" i="61"/>
  <c r="B24" i="50" s="1"/>
  <c r="BK31" i="61"/>
  <c r="BJ31" i="61"/>
  <c r="BG31" i="61"/>
  <c r="BF31" i="61"/>
  <c r="M31" i="61"/>
  <c r="C24" i="51" s="1"/>
  <c r="AS33" i="60"/>
  <c r="C32" i="60" s="1"/>
  <c r="AF33" i="60"/>
  <c r="BK32" i="60"/>
  <c r="BJ32" i="60"/>
  <c r="BL33" i="60" s="1"/>
  <c r="BG32" i="60"/>
  <c r="BF32" i="60"/>
  <c r="BH33" i="60" s="1"/>
  <c r="AS32" i="60"/>
  <c r="AF32" i="60"/>
  <c r="B32" i="60" s="1"/>
  <c r="M32" i="60"/>
  <c r="E23" i="51" s="1"/>
  <c r="BS31" i="60"/>
  <c r="H23" i="50" s="1"/>
  <c r="BR31" i="60"/>
  <c r="G23" i="50" s="1"/>
  <c r="BQ31" i="60"/>
  <c r="F23" i="50" s="1"/>
  <c r="BP31" i="60"/>
  <c r="D23" i="50" s="1"/>
  <c r="BO31" i="60"/>
  <c r="C23" i="50" s="1"/>
  <c r="BN31" i="60"/>
  <c r="B23" i="50" s="1"/>
  <c r="BK31" i="60"/>
  <c r="BJ31" i="60"/>
  <c r="BG31" i="60"/>
  <c r="BF31" i="60"/>
  <c r="M31" i="60"/>
  <c r="AS33" i="59"/>
  <c r="AF33" i="59"/>
  <c r="BK32" i="59"/>
  <c r="BJ32" i="59"/>
  <c r="BG32" i="59"/>
  <c r="BF32" i="59"/>
  <c r="AS32" i="59"/>
  <c r="AF32" i="59"/>
  <c r="B32" i="59" s="1"/>
  <c r="M32" i="59"/>
  <c r="BS31" i="59"/>
  <c r="H22" i="50" s="1"/>
  <c r="BR31" i="59"/>
  <c r="G22" i="50" s="1"/>
  <c r="BQ31" i="59"/>
  <c r="F22" i="50" s="1"/>
  <c r="BP31" i="59"/>
  <c r="D22" i="50" s="1"/>
  <c r="BO31" i="59"/>
  <c r="C22" i="50" s="1"/>
  <c r="BN31" i="59"/>
  <c r="B22" i="50" s="1"/>
  <c r="BK31" i="59"/>
  <c r="BJ31" i="59"/>
  <c r="BG31" i="59"/>
  <c r="BF31" i="59"/>
  <c r="M31" i="59"/>
  <c r="AF33" i="58"/>
  <c r="BK32" i="58"/>
  <c r="BJ32" i="58"/>
  <c r="BL33" i="58" s="1"/>
  <c r="BG32" i="58"/>
  <c r="BF32" i="58"/>
  <c r="AS32" i="58"/>
  <c r="AF32" i="58"/>
  <c r="M32" i="58"/>
  <c r="C32" i="58"/>
  <c r="BS31" i="58"/>
  <c r="H21" i="50" s="1"/>
  <c r="BR31" i="58"/>
  <c r="G21" i="50" s="1"/>
  <c r="BQ31" i="58"/>
  <c r="F21" i="50" s="1"/>
  <c r="BP31" i="58"/>
  <c r="D21" i="50" s="1"/>
  <c r="BO31" i="58"/>
  <c r="C21" i="50" s="1"/>
  <c r="BN31" i="58"/>
  <c r="B21" i="50" s="1"/>
  <c r="BK31" i="58"/>
  <c r="BJ31" i="58"/>
  <c r="BL32" i="58" s="1"/>
  <c r="BG31" i="58"/>
  <c r="BF31" i="58"/>
  <c r="BH32" i="58" s="1"/>
  <c r="M31" i="58"/>
  <c r="AS33" i="57"/>
  <c r="AF33" i="57"/>
  <c r="BK32" i="57"/>
  <c r="BJ32" i="57"/>
  <c r="BL33" i="57" s="1"/>
  <c r="BG32" i="57"/>
  <c r="BF32" i="57"/>
  <c r="AS32" i="57"/>
  <c r="AF32" i="57"/>
  <c r="B32" i="57" s="1"/>
  <c r="M32" i="57"/>
  <c r="BS31" i="57"/>
  <c r="H20" i="50" s="1"/>
  <c r="BR31" i="57"/>
  <c r="G20" i="50" s="1"/>
  <c r="BQ31" i="57"/>
  <c r="F20" i="50" s="1"/>
  <c r="BP31" i="57"/>
  <c r="D20" i="50" s="1"/>
  <c r="BO31" i="57"/>
  <c r="C20" i="50" s="1"/>
  <c r="BN31" i="57"/>
  <c r="B20" i="50" s="1"/>
  <c r="BK31" i="57"/>
  <c r="BJ31" i="57"/>
  <c r="BG31" i="57"/>
  <c r="BF31" i="57"/>
  <c r="BH32" i="57" s="1"/>
  <c r="M31" i="57"/>
  <c r="AS33" i="56"/>
  <c r="AF33" i="56"/>
  <c r="BK32" i="56"/>
  <c r="BJ32" i="56"/>
  <c r="BG32" i="56"/>
  <c r="BF32" i="56"/>
  <c r="AS32" i="56"/>
  <c r="AF32" i="56"/>
  <c r="M32" i="56"/>
  <c r="BS31" i="56"/>
  <c r="H19" i="50" s="1"/>
  <c r="BR31" i="56"/>
  <c r="G19" i="50" s="1"/>
  <c r="BQ31" i="56"/>
  <c r="F19" i="50" s="1"/>
  <c r="BP31" i="56"/>
  <c r="D19" i="50" s="1"/>
  <c r="BO31" i="56"/>
  <c r="C19" i="50" s="1"/>
  <c r="BN31" i="56"/>
  <c r="B19" i="50" s="1"/>
  <c r="BK31" i="56"/>
  <c r="BJ31" i="56"/>
  <c r="BG31" i="56"/>
  <c r="BF31" i="56"/>
  <c r="M31" i="56"/>
  <c r="AS33" i="15"/>
  <c r="AF33" i="15"/>
  <c r="BK32" i="15"/>
  <c r="BJ32" i="15"/>
  <c r="BL33" i="15" s="1"/>
  <c r="AF32" i="15"/>
  <c r="B32" i="15" s="1"/>
  <c r="M32" i="15"/>
  <c r="BS31" i="15"/>
  <c r="H18" i="50" s="1"/>
  <c r="BR31" i="15"/>
  <c r="G18" i="50" s="1"/>
  <c r="BQ31" i="15"/>
  <c r="F18" i="50" s="1"/>
  <c r="BP31" i="15"/>
  <c r="D18" i="50" s="1"/>
  <c r="BO31" i="15"/>
  <c r="C18" i="50" s="1"/>
  <c r="BN31" i="15"/>
  <c r="B18" i="50" s="1"/>
  <c r="BK31" i="15"/>
  <c r="BJ31" i="15"/>
  <c r="M31" i="15"/>
  <c r="AS33" i="14"/>
  <c r="AF33" i="14"/>
  <c r="BK32" i="14"/>
  <c r="BJ32" i="14"/>
  <c r="BG32" i="14"/>
  <c r="BF32" i="14"/>
  <c r="AS32" i="14"/>
  <c r="AF32" i="14"/>
  <c r="B32" i="14" s="1"/>
  <c r="M32" i="14"/>
  <c r="BS31" i="14"/>
  <c r="H17" i="50" s="1"/>
  <c r="BR31" i="14"/>
  <c r="G17" i="50" s="1"/>
  <c r="BQ31" i="14"/>
  <c r="F17" i="50" s="1"/>
  <c r="BP31" i="14"/>
  <c r="D17" i="50" s="1"/>
  <c r="BO31" i="14"/>
  <c r="C17" i="50" s="1"/>
  <c r="BN31" i="14"/>
  <c r="B17" i="50" s="1"/>
  <c r="BK31" i="14"/>
  <c r="BJ31" i="14"/>
  <c r="BG31" i="14"/>
  <c r="BF31" i="14"/>
  <c r="BH32" i="14" s="1"/>
  <c r="M31" i="14"/>
  <c r="AS33" i="13"/>
  <c r="C32" i="13" s="1"/>
  <c r="AF33" i="13"/>
  <c r="BK32" i="13"/>
  <c r="BJ32" i="13"/>
  <c r="BG32" i="13"/>
  <c r="BF32" i="13"/>
  <c r="AS32" i="13"/>
  <c r="AF32" i="13"/>
  <c r="B32" i="13" s="1"/>
  <c r="M32" i="13"/>
  <c r="BS31" i="13"/>
  <c r="H16" i="50" s="1"/>
  <c r="BR31" i="13"/>
  <c r="G16" i="50" s="1"/>
  <c r="BQ31" i="13"/>
  <c r="F16" i="50" s="1"/>
  <c r="BP31" i="13"/>
  <c r="D16" i="50" s="1"/>
  <c r="BO31" i="13"/>
  <c r="C16" i="50" s="1"/>
  <c r="BN31" i="13"/>
  <c r="B16" i="50" s="1"/>
  <c r="BK31" i="13"/>
  <c r="BJ31" i="13"/>
  <c r="BG31" i="13"/>
  <c r="BF31" i="13"/>
  <c r="M31" i="13"/>
  <c r="AS33" i="55"/>
  <c r="AF33" i="55"/>
  <c r="C32" i="55" s="1"/>
  <c r="BK32" i="55"/>
  <c r="BJ32" i="55"/>
  <c r="BL33" i="55" s="1"/>
  <c r="BG32" i="55"/>
  <c r="BF32" i="55"/>
  <c r="AS32" i="55"/>
  <c r="AF32" i="55"/>
  <c r="M32" i="55"/>
  <c r="B32" i="55"/>
  <c r="BS31" i="55"/>
  <c r="H15" i="50" s="1"/>
  <c r="BR31" i="55"/>
  <c r="G15" i="50" s="1"/>
  <c r="BQ31" i="55"/>
  <c r="F15" i="50" s="1"/>
  <c r="BP31" i="55"/>
  <c r="D15" i="50" s="1"/>
  <c r="BO31" i="55"/>
  <c r="C15" i="50" s="1"/>
  <c r="BN31" i="55"/>
  <c r="B15" i="50" s="1"/>
  <c r="BK31" i="55"/>
  <c r="BJ31" i="55"/>
  <c r="BG31" i="55"/>
  <c r="BF31" i="55"/>
  <c r="BH32" i="55" s="1"/>
  <c r="M31" i="55"/>
  <c r="AS33" i="11"/>
  <c r="AF33" i="11"/>
  <c r="C32" i="11" s="1"/>
  <c r="BK32" i="11"/>
  <c r="BJ32" i="11"/>
  <c r="BG32" i="11"/>
  <c r="BF32" i="11"/>
  <c r="BH33" i="11" s="1"/>
  <c r="AS32" i="11"/>
  <c r="AF32" i="11"/>
  <c r="M32" i="11"/>
  <c r="BS31" i="11"/>
  <c r="H14" i="50" s="1"/>
  <c r="BR31" i="11"/>
  <c r="G14" i="50" s="1"/>
  <c r="BQ31" i="11"/>
  <c r="F14" i="50" s="1"/>
  <c r="BP31" i="11"/>
  <c r="D14" i="50" s="1"/>
  <c r="BO31" i="11"/>
  <c r="C14" i="50" s="1"/>
  <c r="BN31" i="11"/>
  <c r="B14" i="50" s="1"/>
  <c r="BK31" i="11"/>
  <c r="BJ31" i="11"/>
  <c r="BL32" i="11" s="1"/>
  <c r="BG31" i="11"/>
  <c r="BF31" i="11"/>
  <c r="M31" i="11"/>
  <c r="AS33" i="10"/>
  <c r="AF33" i="10"/>
  <c r="BK32" i="10"/>
  <c r="BJ32" i="10"/>
  <c r="BL33" i="10" s="1"/>
  <c r="BG32" i="10"/>
  <c r="BF32" i="10"/>
  <c r="BH33" i="10" s="1"/>
  <c r="AS32" i="10"/>
  <c r="AF32" i="10"/>
  <c r="B32" i="10" s="1"/>
  <c r="M32" i="10"/>
  <c r="BS31" i="10"/>
  <c r="H13" i="50" s="1"/>
  <c r="BR31" i="10"/>
  <c r="G13" i="50" s="1"/>
  <c r="BQ31" i="10"/>
  <c r="F13" i="50" s="1"/>
  <c r="BP31" i="10"/>
  <c r="D13" i="50" s="1"/>
  <c r="BO31" i="10"/>
  <c r="C13" i="50" s="1"/>
  <c r="BN31" i="10"/>
  <c r="B13" i="50" s="1"/>
  <c r="BK31" i="10"/>
  <c r="BJ31" i="10"/>
  <c r="BG31" i="10"/>
  <c r="BF31" i="10"/>
  <c r="M31" i="10"/>
  <c r="AS33" i="9"/>
  <c r="AF33" i="9"/>
  <c r="BK32" i="9"/>
  <c r="BJ32" i="9"/>
  <c r="BL33" i="9" s="1"/>
  <c r="BG32" i="9"/>
  <c r="BF32" i="9"/>
  <c r="BH33" i="9" s="1"/>
  <c r="AS32" i="9"/>
  <c r="AF32" i="9"/>
  <c r="M32" i="9"/>
  <c r="BS31" i="9"/>
  <c r="H12" i="50" s="1"/>
  <c r="BR31" i="9"/>
  <c r="G12" i="50" s="1"/>
  <c r="BQ31" i="9"/>
  <c r="F12" i="50" s="1"/>
  <c r="BP31" i="9"/>
  <c r="D12" i="50" s="1"/>
  <c r="BO31" i="9"/>
  <c r="C12" i="50" s="1"/>
  <c r="BN31" i="9"/>
  <c r="B12" i="50" s="1"/>
  <c r="BK31" i="9"/>
  <c r="BJ31" i="9"/>
  <c r="BG31" i="9"/>
  <c r="BF31" i="9"/>
  <c r="M31" i="9"/>
  <c r="AS33" i="8"/>
  <c r="AF33" i="8"/>
  <c r="C32" i="8" s="1"/>
  <c r="BK32" i="8"/>
  <c r="BJ32" i="8"/>
  <c r="BL33" i="8" s="1"/>
  <c r="BG32" i="8"/>
  <c r="BF32" i="8"/>
  <c r="BH33" i="8" s="1"/>
  <c r="AS32" i="8"/>
  <c r="AF32" i="8"/>
  <c r="B32" i="8" s="1"/>
  <c r="BS31" i="8"/>
  <c r="H11" i="50" s="1"/>
  <c r="BR31" i="8"/>
  <c r="G11" i="50" s="1"/>
  <c r="BQ31" i="8"/>
  <c r="F11" i="50" s="1"/>
  <c r="BP31" i="8"/>
  <c r="D11" i="50" s="1"/>
  <c r="BO31" i="8"/>
  <c r="C11" i="50" s="1"/>
  <c r="BN31" i="8"/>
  <c r="B11" i="50" s="1"/>
  <c r="BK31" i="8"/>
  <c r="BJ31" i="8"/>
  <c r="BG31" i="8"/>
  <c r="BF31" i="8"/>
  <c r="AS33" i="54"/>
  <c r="AF33" i="54"/>
  <c r="C32" i="54" s="1"/>
  <c r="BK32" i="54"/>
  <c r="BJ32" i="54"/>
  <c r="BG32" i="54"/>
  <c r="BF32" i="54"/>
  <c r="AS32" i="54"/>
  <c r="AF32" i="54"/>
  <c r="M32" i="54"/>
  <c r="BS31" i="54"/>
  <c r="H10" i="50" s="1"/>
  <c r="BR31" i="54"/>
  <c r="G10" i="50" s="1"/>
  <c r="BQ31" i="54"/>
  <c r="F10" i="50" s="1"/>
  <c r="BP31" i="54"/>
  <c r="D10" i="50" s="1"/>
  <c r="BO31" i="54"/>
  <c r="C10" i="50" s="1"/>
  <c r="BN31" i="54"/>
  <c r="B10" i="50" s="1"/>
  <c r="BK31" i="54"/>
  <c r="BJ31" i="54"/>
  <c r="BG31" i="54"/>
  <c r="BF31" i="54"/>
  <c r="M31" i="54"/>
  <c r="AS33" i="6"/>
  <c r="AF33" i="6"/>
  <c r="BK32" i="6"/>
  <c r="BJ32" i="6"/>
  <c r="BL33" i="6" s="1"/>
  <c r="BG32" i="6"/>
  <c r="BF32" i="6"/>
  <c r="AS32" i="6"/>
  <c r="AF32" i="6"/>
  <c r="B32" i="6" s="1"/>
  <c r="M32" i="6"/>
  <c r="C32" i="6"/>
  <c r="BS31" i="6"/>
  <c r="H9" i="50" s="1"/>
  <c r="BR31" i="6"/>
  <c r="G9" i="50" s="1"/>
  <c r="BQ31" i="6"/>
  <c r="F9" i="50" s="1"/>
  <c r="BP31" i="6"/>
  <c r="D9" i="50" s="1"/>
  <c r="BO31" i="6"/>
  <c r="C9" i="50" s="1"/>
  <c r="BN31" i="6"/>
  <c r="B9" i="50" s="1"/>
  <c r="BK31" i="6"/>
  <c r="BJ31" i="6"/>
  <c r="BG31" i="6"/>
  <c r="BF31" i="6"/>
  <c r="M31" i="6"/>
  <c r="AS33" i="5"/>
  <c r="AF33" i="5"/>
  <c r="BK32" i="5"/>
  <c r="BJ32" i="5"/>
  <c r="BG32" i="5"/>
  <c r="BF32" i="5"/>
  <c r="AS32" i="5"/>
  <c r="AF32" i="5"/>
  <c r="B32" i="5" s="1"/>
  <c r="M32" i="5"/>
  <c r="BS31" i="5"/>
  <c r="H8" i="50" s="1"/>
  <c r="BR31" i="5"/>
  <c r="G8" i="50" s="1"/>
  <c r="BQ31" i="5"/>
  <c r="F8" i="50" s="1"/>
  <c r="BP31" i="5"/>
  <c r="D8" i="50" s="1"/>
  <c r="BO31" i="5"/>
  <c r="C8" i="50" s="1"/>
  <c r="BN31" i="5"/>
  <c r="B8" i="50" s="1"/>
  <c r="BK31" i="5"/>
  <c r="BJ31" i="5"/>
  <c r="BL32" i="5" s="1"/>
  <c r="BG31" i="5"/>
  <c r="BF31" i="5"/>
  <c r="BH32" i="5" s="1"/>
  <c r="M31" i="5"/>
  <c r="AS33" i="33"/>
  <c r="AF33" i="33"/>
  <c r="BK32" i="33"/>
  <c r="BJ32" i="33"/>
  <c r="BG32" i="33"/>
  <c r="BF32" i="33"/>
  <c r="AS32" i="33"/>
  <c r="AF32" i="33"/>
  <c r="M32" i="33"/>
  <c r="BS31" i="33"/>
  <c r="H7" i="50" s="1"/>
  <c r="BR31" i="33"/>
  <c r="G7" i="50" s="1"/>
  <c r="BQ31" i="33"/>
  <c r="F7" i="50" s="1"/>
  <c r="BP31" i="33"/>
  <c r="D7" i="50" s="1"/>
  <c r="BO31" i="33"/>
  <c r="C7" i="50" s="1"/>
  <c r="BN31" i="33"/>
  <c r="B7" i="50" s="1"/>
  <c r="BK31" i="33"/>
  <c r="BJ31" i="33"/>
  <c r="BG31" i="33"/>
  <c r="BF31" i="33"/>
  <c r="BH32" i="33" s="1"/>
  <c r="M31" i="33"/>
  <c r="AS33" i="4"/>
  <c r="AF33" i="4"/>
  <c r="BK32" i="4"/>
  <c r="BJ32" i="4"/>
  <c r="BL33" i="4" s="1"/>
  <c r="BG32" i="4"/>
  <c r="BF32" i="4"/>
  <c r="AS32" i="4"/>
  <c r="AF32" i="4"/>
  <c r="B32" i="4" s="1"/>
  <c r="M32" i="4"/>
  <c r="BS31" i="4"/>
  <c r="H6" i="50" s="1"/>
  <c r="BR31" i="4"/>
  <c r="G6" i="50" s="1"/>
  <c r="BQ31" i="4"/>
  <c r="F6" i="50" s="1"/>
  <c r="BP31" i="4"/>
  <c r="D6" i="50" s="1"/>
  <c r="BO31" i="4"/>
  <c r="C6" i="50" s="1"/>
  <c r="BN31" i="4"/>
  <c r="B6" i="50" s="1"/>
  <c r="BK31" i="4"/>
  <c r="BJ31" i="4"/>
  <c r="BG31" i="4"/>
  <c r="BF31" i="4"/>
  <c r="BH32" i="4" s="1"/>
  <c r="M31" i="4"/>
  <c r="BV1" i="2"/>
  <c r="BV1" i="4" s="1"/>
  <c r="BV1" i="33" s="1"/>
  <c r="AS33" i="2"/>
  <c r="AF33" i="2"/>
  <c r="BK32" i="2"/>
  <c r="BJ32" i="2"/>
  <c r="BG32" i="2"/>
  <c r="BF32" i="2"/>
  <c r="AS32" i="2"/>
  <c r="AF32" i="2"/>
  <c r="M32" i="2"/>
  <c r="BS31" i="2"/>
  <c r="H5" i="50" s="1"/>
  <c r="BR31" i="2"/>
  <c r="G5" i="50" s="1"/>
  <c r="BQ31" i="2"/>
  <c r="F5" i="50" s="1"/>
  <c r="BP31" i="2"/>
  <c r="D5" i="50" s="1"/>
  <c r="BO31" i="2"/>
  <c r="C5" i="50" s="1"/>
  <c r="BN31" i="2"/>
  <c r="B5" i="50" s="1"/>
  <c r="BK31" i="2"/>
  <c r="BJ31" i="2"/>
  <c r="BL32" i="2" s="1"/>
  <c r="BG31" i="2"/>
  <c r="BF31" i="2"/>
  <c r="M31" i="2"/>
  <c r="AS33" i="1"/>
  <c r="AF33" i="1"/>
  <c r="C32" i="1" s="1"/>
  <c r="BK32" i="1"/>
  <c r="BJ32" i="1"/>
  <c r="BG32" i="1"/>
  <c r="BF32" i="1"/>
  <c r="BH33" i="1" s="1"/>
  <c r="AS32" i="1"/>
  <c r="AF32" i="1"/>
  <c r="B32" i="1" s="1"/>
  <c r="M32" i="1"/>
  <c r="BS31" i="1"/>
  <c r="H4" i="50" s="1"/>
  <c r="BR31" i="1"/>
  <c r="G4" i="50" s="1"/>
  <c r="BQ31" i="1"/>
  <c r="F4" i="50" s="1"/>
  <c r="BP31" i="1"/>
  <c r="D4" i="50" s="1"/>
  <c r="BO31" i="1"/>
  <c r="C4" i="50" s="1"/>
  <c r="BN31" i="1"/>
  <c r="B4" i="50" s="1"/>
  <c r="BK31" i="1"/>
  <c r="BJ31" i="1"/>
  <c r="BG31" i="1"/>
  <c r="BF31" i="1"/>
  <c r="M31" i="1"/>
  <c r="BL32" i="63" l="1"/>
  <c r="BL33" i="61"/>
  <c r="BL32" i="61"/>
  <c r="B33" i="61" s="1"/>
  <c r="BL32" i="59"/>
  <c r="B32" i="58"/>
  <c r="BL33" i="56"/>
  <c r="BL33" i="14"/>
  <c r="BL33" i="13"/>
  <c r="BL32" i="13"/>
  <c r="BH33" i="55"/>
  <c r="C33" i="55" s="1"/>
  <c r="C32" i="10"/>
  <c r="C32" i="9"/>
  <c r="B32" i="9"/>
  <c r="BH32" i="8"/>
  <c r="BL33" i="5"/>
  <c r="BL33" i="33"/>
  <c r="B32" i="33"/>
  <c r="B33" i="62"/>
  <c r="BH33" i="62"/>
  <c r="B32" i="2"/>
  <c r="BV1" i="5"/>
  <c r="BV1" i="6" s="1"/>
  <c r="BV1" i="54" s="1"/>
  <c r="BV1" i="8" s="1"/>
  <c r="BV1" i="9" s="1"/>
  <c r="BV1" i="10" s="1"/>
  <c r="BV1" i="11" s="1"/>
  <c r="BV1" i="55" s="1"/>
  <c r="BV1" i="13" s="1"/>
  <c r="BV1" i="14" s="1"/>
  <c r="BV1" i="15" s="1"/>
  <c r="BV1" i="56" s="1"/>
  <c r="BV1" i="57" s="1"/>
  <c r="BV1" i="58" s="1"/>
  <c r="BV1" i="59" s="1"/>
  <c r="BV1" i="60" s="1"/>
  <c r="BV1" i="61" s="1"/>
  <c r="BV1" i="62" s="1"/>
  <c r="BV1" i="63" s="1"/>
  <c r="C32" i="4"/>
  <c r="C32" i="5"/>
  <c r="D11" i="51"/>
  <c r="C32" i="14"/>
  <c r="C32" i="56"/>
  <c r="C32" i="57"/>
  <c r="B32" i="63"/>
  <c r="BH33" i="63"/>
  <c r="C32" i="63"/>
  <c r="D25" i="51"/>
  <c r="BL33" i="62"/>
  <c r="C33" i="62"/>
  <c r="BH32" i="61"/>
  <c r="BH33" i="61"/>
  <c r="D24" i="51" s="1"/>
  <c r="C32" i="59"/>
  <c r="BH32" i="59"/>
  <c r="BH33" i="15"/>
  <c r="D18" i="51" s="1"/>
  <c r="C32" i="15"/>
  <c r="BL32" i="14"/>
  <c r="BL32" i="55"/>
  <c r="B33" i="55" s="1"/>
  <c r="B32" i="11"/>
  <c r="BL33" i="11"/>
  <c r="D14" i="51" s="1"/>
  <c r="BL32" i="9"/>
  <c r="B32" i="54"/>
  <c r="BL33" i="54"/>
  <c r="B33" i="5"/>
  <c r="BH33" i="33"/>
  <c r="C33" i="33" s="1"/>
  <c r="C32" i="33"/>
  <c r="BH33" i="4"/>
  <c r="D6" i="51" s="1"/>
  <c r="C32" i="2"/>
  <c r="BH32" i="2"/>
  <c r="B33" i="2" s="1"/>
  <c r="BL33" i="2"/>
  <c r="BH32" i="1"/>
  <c r="BL32" i="1"/>
  <c r="BH32" i="63"/>
  <c r="BL33" i="63"/>
  <c r="C33" i="63" s="1"/>
  <c r="B24" i="51"/>
  <c r="D23" i="51"/>
  <c r="B22" i="51"/>
  <c r="BH33" i="58"/>
  <c r="D21" i="51" s="1"/>
  <c r="B21" i="51"/>
  <c r="B32" i="56"/>
  <c r="BH33" i="56"/>
  <c r="C33" i="56" s="1"/>
  <c r="D19" i="51"/>
  <c r="B33" i="14"/>
  <c r="B17" i="51"/>
  <c r="BH33" i="13"/>
  <c r="D16" i="51" s="1"/>
  <c r="D13" i="51"/>
  <c r="D12" i="51"/>
  <c r="B8" i="51"/>
  <c r="D7" i="51"/>
  <c r="B5" i="51"/>
  <c r="BH32" i="54"/>
  <c r="BH33" i="54"/>
  <c r="D10" i="51" s="1"/>
  <c r="C34" i="62"/>
  <c r="C32" i="61"/>
  <c r="BL32" i="60"/>
  <c r="BH32" i="60"/>
  <c r="BL33" i="59"/>
  <c r="BH33" i="59"/>
  <c r="D22" i="51" s="1"/>
  <c r="B33" i="58"/>
  <c r="BL32" i="57"/>
  <c r="B33" i="57" s="1"/>
  <c r="BH33" i="57"/>
  <c r="D20" i="51" s="1"/>
  <c r="BL32" i="56"/>
  <c r="BH32" i="56"/>
  <c r="B33" i="56" s="1"/>
  <c r="BL32" i="15"/>
  <c r="BH33" i="14"/>
  <c r="BH32" i="13"/>
  <c r="B16" i="51" s="1"/>
  <c r="BH32" i="11"/>
  <c r="B14" i="51" s="1"/>
  <c r="BH32" i="10"/>
  <c r="BL32" i="10"/>
  <c r="C33" i="9"/>
  <c r="BH32" i="9"/>
  <c r="B33" i="9" s="1"/>
  <c r="BL32" i="8"/>
  <c r="B33" i="8" s="1"/>
  <c r="BL32" i="54"/>
  <c r="BL32" i="6"/>
  <c r="BH33" i="6"/>
  <c r="D9" i="51" s="1"/>
  <c r="BH32" i="6"/>
  <c r="BH33" i="5"/>
  <c r="C33" i="5" s="1"/>
  <c r="BL32" i="33"/>
  <c r="B7" i="51" s="1"/>
  <c r="BL32" i="4"/>
  <c r="B33" i="4" s="1"/>
  <c r="BH33" i="2"/>
  <c r="K4" i="51"/>
  <c r="BL33" i="1"/>
  <c r="D4" i="51" s="1"/>
  <c r="C33" i="61"/>
  <c r="C33" i="60"/>
  <c r="B33" i="59"/>
  <c r="C33" i="11"/>
  <c r="C33" i="10"/>
  <c r="C33" i="8"/>
  <c r="C33" i="4"/>
  <c r="B33" i="63" l="1"/>
  <c r="C33" i="58"/>
  <c r="C33" i="15"/>
  <c r="D17" i="51"/>
  <c r="B15" i="51"/>
  <c r="D15" i="51"/>
  <c r="B33" i="33"/>
  <c r="B34" i="62"/>
  <c r="B25" i="51"/>
  <c r="B4" i="51"/>
  <c r="B20" i="51"/>
  <c r="B33" i="15"/>
  <c r="C33" i="14"/>
  <c r="C33" i="13"/>
  <c r="B9" i="51"/>
  <c r="B33" i="1"/>
  <c r="C33" i="1"/>
  <c r="B33" i="60"/>
  <c r="B23" i="51"/>
  <c r="C33" i="59"/>
  <c r="C33" i="57"/>
  <c r="B19" i="51"/>
  <c r="B18" i="51"/>
  <c r="B33" i="13"/>
  <c r="B33" i="11"/>
  <c r="B13" i="51"/>
  <c r="B33" i="54"/>
  <c r="B12" i="51"/>
  <c r="B11" i="51"/>
  <c r="C33" i="6"/>
  <c r="B33" i="6"/>
  <c r="D8" i="51"/>
  <c r="B6" i="51"/>
  <c r="C33" i="2"/>
  <c r="D5" i="51"/>
  <c r="B10" i="51"/>
  <c r="C33" i="54"/>
  <c r="B33" i="10"/>
  <c r="I24" i="73" l="1"/>
  <c r="I20" i="73"/>
  <c r="H24" i="48"/>
  <c r="H20" i="48"/>
  <c r="J112" i="73" l="1"/>
  <c r="I81" i="73" l="1"/>
  <c r="I80" i="73"/>
  <c r="I77" i="73"/>
  <c r="I76" i="73"/>
  <c r="I73" i="73"/>
  <c r="I72" i="73"/>
  <c r="H97" i="48"/>
  <c r="H96" i="48"/>
  <c r="H93" i="48"/>
  <c r="H92" i="48"/>
  <c r="H89" i="48"/>
  <c r="H88" i="48"/>
  <c r="H85" i="48"/>
  <c r="H84" i="48"/>
  <c r="H81" i="48"/>
  <c r="H80" i="48"/>
  <c r="H77" i="48"/>
  <c r="H76" i="48"/>
  <c r="H73" i="48"/>
  <c r="H72" i="48"/>
  <c r="I64" i="73" l="1"/>
  <c r="H64" i="48"/>
  <c r="I61" i="73"/>
  <c r="I60" i="73"/>
  <c r="H61" i="48"/>
  <c r="H60" i="48"/>
  <c r="X115" i="73" l="1"/>
  <c r="V115" i="73"/>
  <c r="U115" i="73"/>
  <c r="T115" i="73"/>
  <c r="S115" i="73"/>
  <c r="R115" i="73"/>
  <c r="Q115" i="73"/>
  <c r="P115" i="73"/>
  <c r="O115" i="73"/>
  <c r="N115" i="73"/>
  <c r="M115" i="73"/>
  <c r="L115" i="73"/>
  <c r="K115" i="73"/>
  <c r="J115" i="73"/>
  <c r="I115" i="73"/>
  <c r="X114" i="73"/>
  <c r="V114" i="73"/>
  <c r="U114" i="73"/>
  <c r="T114" i="73"/>
  <c r="S114" i="73"/>
  <c r="R114" i="73"/>
  <c r="Q114" i="73"/>
  <c r="P114" i="73"/>
  <c r="O114" i="73"/>
  <c r="N114" i="73"/>
  <c r="M114" i="73"/>
  <c r="L114" i="73"/>
  <c r="K114" i="73"/>
  <c r="J114" i="73"/>
  <c r="I114" i="73"/>
  <c r="X113" i="73"/>
  <c r="V113" i="73"/>
  <c r="U113" i="73"/>
  <c r="T113" i="73"/>
  <c r="S113" i="73"/>
  <c r="R113" i="73"/>
  <c r="Q113" i="73"/>
  <c r="P113" i="73"/>
  <c r="O113" i="73"/>
  <c r="N113" i="73"/>
  <c r="M113" i="73"/>
  <c r="L113" i="73"/>
  <c r="K113" i="73"/>
  <c r="J113" i="73"/>
  <c r="I113" i="73"/>
  <c r="X112" i="73"/>
  <c r="V112" i="73"/>
  <c r="U112" i="73"/>
  <c r="T112" i="73"/>
  <c r="S112" i="73"/>
  <c r="R112" i="73"/>
  <c r="Q112" i="73"/>
  <c r="P112" i="73"/>
  <c r="O112" i="73"/>
  <c r="N112" i="73"/>
  <c r="M112" i="73"/>
  <c r="L112" i="73"/>
  <c r="K112" i="73"/>
  <c r="I112" i="73"/>
  <c r="X111" i="73"/>
  <c r="V111" i="73"/>
  <c r="U111" i="73"/>
  <c r="T111" i="73"/>
  <c r="S111" i="73"/>
  <c r="R111" i="73"/>
  <c r="Q111" i="73"/>
  <c r="P111" i="73"/>
  <c r="O111" i="73"/>
  <c r="N111" i="73"/>
  <c r="M111" i="73"/>
  <c r="L111" i="73"/>
  <c r="K111" i="73"/>
  <c r="J111" i="73"/>
  <c r="I111" i="73"/>
  <c r="X110" i="73"/>
  <c r="V110" i="73"/>
  <c r="U110" i="73"/>
  <c r="T110" i="73"/>
  <c r="S110" i="73"/>
  <c r="R110" i="73"/>
  <c r="Q110" i="73"/>
  <c r="P110" i="73"/>
  <c r="O110" i="73"/>
  <c r="N110" i="73"/>
  <c r="M110" i="73"/>
  <c r="L110" i="73"/>
  <c r="K110" i="73"/>
  <c r="J110" i="73"/>
  <c r="I110" i="73"/>
  <c r="X109" i="73"/>
  <c r="V109" i="73"/>
  <c r="U109" i="73"/>
  <c r="T109" i="73"/>
  <c r="S109" i="73"/>
  <c r="R109" i="73"/>
  <c r="Q109" i="73"/>
  <c r="P109" i="73"/>
  <c r="O109" i="73"/>
  <c r="N109" i="73"/>
  <c r="M109" i="73"/>
  <c r="L109" i="73"/>
  <c r="K109" i="73"/>
  <c r="J109" i="73"/>
  <c r="I109" i="73"/>
  <c r="X108" i="73"/>
  <c r="V108" i="73"/>
  <c r="U108" i="73"/>
  <c r="T108" i="73"/>
  <c r="S108" i="73"/>
  <c r="R108" i="73"/>
  <c r="Q108" i="73"/>
  <c r="P108" i="73"/>
  <c r="O108" i="73"/>
  <c r="N108" i="73"/>
  <c r="M108" i="73"/>
  <c r="L108" i="73"/>
  <c r="K108" i="73"/>
  <c r="J108" i="73"/>
  <c r="I108" i="73"/>
  <c r="X107" i="73"/>
  <c r="V107" i="73"/>
  <c r="U107" i="73"/>
  <c r="T107" i="73"/>
  <c r="S107" i="73"/>
  <c r="R107" i="73"/>
  <c r="Q107" i="73"/>
  <c r="P107" i="73"/>
  <c r="O107" i="73"/>
  <c r="N107" i="73"/>
  <c r="M107" i="73"/>
  <c r="L107" i="73"/>
  <c r="K107" i="73"/>
  <c r="J107" i="73"/>
  <c r="I107" i="73"/>
  <c r="X106" i="73"/>
  <c r="V106" i="73"/>
  <c r="U106" i="73"/>
  <c r="T106" i="73"/>
  <c r="S106" i="73"/>
  <c r="R106" i="73"/>
  <c r="Q106" i="73"/>
  <c r="P106" i="73"/>
  <c r="O106" i="73"/>
  <c r="N106" i="73"/>
  <c r="M106" i="73"/>
  <c r="L106" i="73"/>
  <c r="K106" i="73"/>
  <c r="J106" i="73"/>
  <c r="I106" i="73"/>
  <c r="X105" i="73"/>
  <c r="V105" i="73"/>
  <c r="U105" i="73"/>
  <c r="T105" i="73"/>
  <c r="S105" i="73"/>
  <c r="R105" i="73"/>
  <c r="Q105" i="73"/>
  <c r="P105" i="73"/>
  <c r="O105" i="73"/>
  <c r="N105" i="73"/>
  <c r="M105" i="73"/>
  <c r="L105" i="73"/>
  <c r="K105" i="73"/>
  <c r="J105" i="73"/>
  <c r="I105" i="73"/>
  <c r="X104" i="73"/>
  <c r="V104" i="73"/>
  <c r="U104" i="73"/>
  <c r="T104" i="73"/>
  <c r="S104" i="73"/>
  <c r="R104" i="73"/>
  <c r="Q104" i="73"/>
  <c r="P104" i="73"/>
  <c r="O104" i="73"/>
  <c r="N104" i="73"/>
  <c r="M104" i="73"/>
  <c r="L104" i="73"/>
  <c r="K104" i="73"/>
  <c r="J104" i="73"/>
  <c r="I104" i="73"/>
  <c r="X103" i="73"/>
  <c r="V103" i="73"/>
  <c r="U103" i="73"/>
  <c r="T103" i="73"/>
  <c r="S103" i="73"/>
  <c r="R103" i="73"/>
  <c r="Q103" i="73"/>
  <c r="P103" i="73"/>
  <c r="O103" i="73"/>
  <c r="N103" i="73"/>
  <c r="M103" i="73"/>
  <c r="L103" i="73"/>
  <c r="K103" i="73"/>
  <c r="J103" i="73"/>
  <c r="I103" i="73"/>
  <c r="X102" i="73"/>
  <c r="V102" i="73"/>
  <c r="U102" i="73"/>
  <c r="T102" i="73"/>
  <c r="S102" i="73"/>
  <c r="R102" i="73"/>
  <c r="Q102" i="73"/>
  <c r="P102" i="73"/>
  <c r="O102" i="73"/>
  <c r="N102" i="73"/>
  <c r="M102" i="73"/>
  <c r="L102" i="73"/>
  <c r="K102" i="73"/>
  <c r="J102" i="73"/>
  <c r="I102" i="73"/>
  <c r="X101" i="73"/>
  <c r="V101" i="73"/>
  <c r="U101" i="73"/>
  <c r="T101" i="73"/>
  <c r="S101" i="73"/>
  <c r="R101" i="73"/>
  <c r="Q101" i="73"/>
  <c r="P101" i="73"/>
  <c r="O101" i="73"/>
  <c r="N101" i="73"/>
  <c r="M101" i="73"/>
  <c r="L101" i="73"/>
  <c r="K101" i="73"/>
  <c r="J101" i="73"/>
  <c r="I101" i="73"/>
  <c r="X100" i="73"/>
  <c r="V100" i="73"/>
  <c r="U100" i="73"/>
  <c r="T100" i="73"/>
  <c r="S100" i="73"/>
  <c r="R100" i="73"/>
  <c r="Q100" i="73"/>
  <c r="P100" i="73"/>
  <c r="O100" i="73"/>
  <c r="N100" i="73"/>
  <c r="M100" i="73"/>
  <c r="L100" i="73"/>
  <c r="K100" i="73"/>
  <c r="J100" i="73"/>
  <c r="I100" i="73"/>
  <c r="X99" i="73"/>
  <c r="V99" i="73"/>
  <c r="U99" i="73"/>
  <c r="T99" i="73"/>
  <c r="S99" i="73"/>
  <c r="R99" i="73"/>
  <c r="Q99" i="73"/>
  <c r="P99" i="73"/>
  <c r="O99" i="73"/>
  <c r="N99" i="73"/>
  <c r="M99" i="73"/>
  <c r="L99" i="73"/>
  <c r="K99" i="73"/>
  <c r="J99" i="73"/>
  <c r="I99" i="73"/>
  <c r="X98" i="73"/>
  <c r="V98" i="73"/>
  <c r="U98" i="73"/>
  <c r="T98" i="73"/>
  <c r="S98" i="73"/>
  <c r="R98" i="73"/>
  <c r="Q98" i="73"/>
  <c r="P98" i="73"/>
  <c r="O98" i="73"/>
  <c r="N98" i="73"/>
  <c r="M98" i="73"/>
  <c r="L98" i="73"/>
  <c r="K98" i="73"/>
  <c r="J98" i="73"/>
  <c r="I98" i="73"/>
  <c r="X97" i="73"/>
  <c r="V97" i="73"/>
  <c r="U97" i="73"/>
  <c r="T97" i="73"/>
  <c r="S97" i="73"/>
  <c r="R97" i="73"/>
  <c r="Q97" i="73"/>
  <c r="P97" i="73"/>
  <c r="O97" i="73"/>
  <c r="N97" i="73"/>
  <c r="M97" i="73"/>
  <c r="L97" i="73"/>
  <c r="K97" i="73"/>
  <c r="J97" i="73"/>
  <c r="I97" i="73"/>
  <c r="X96" i="73"/>
  <c r="V96" i="73"/>
  <c r="U96" i="73"/>
  <c r="T96" i="73"/>
  <c r="S96" i="73"/>
  <c r="R96" i="73"/>
  <c r="Q96" i="73"/>
  <c r="P96" i="73"/>
  <c r="O96" i="73"/>
  <c r="N96" i="73"/>
  <c r="M96" i="73"/>
  <c r="L96" i="73"/>
  <c r="K96" i="73"/>
  <c r="J96" i="73"/>
  <c r="I96" i="73"/>
  <c r="X95" i="73"/>
  <c r="V95" i="73"/>
  <c r="U95" i="73"/>
  <c r="T95" i="73"/>
  <c r="S95" i="73"/>
  <c r="R95" i="73"/>
  <c r="Q95" i="73"/>
  <c r="P95" i="73"/>
  <c r="O95" i="73"/>
  <c r="N95" i="73"/>
  <c r="M95" i="73"/>
  <c r="L95" i="73"/>
  <c r="K95" i="73"/>
  <c r="J95" i="73"/>
  <c r="I95" i="73"/>
  <c r="X94" i="73"/>
  <c r="V94" i="73"/>
  <c r="U94" i="73"/>
  <c r="T94" i="73"/>
  <c r="S94" i="73"/>
  <c r="R94" i="73"/>
  <c r="Q94" i="73"/>
  <c r="P94" i="73"/>
  <c r="O94" i="73"/>
  <c r="N94" i="73"/>
  <c r="M94" i="73"/>
  <c r="L94" i="73"/>
  <c r="K94" i="73"/>
  <c r="J94" i="73"/>
  <c r="I94" i="73"/>
  <c r="X93" i="73"/>
  <c r="V93" i="73"/>
  <c r="U93" i="73"/>
  <c r="T93" i="73"/>
  <c r="S93" i="73"/>
  <c r="R93" i="73"/>
  <c r="Q93" i="73"/>
  <c r="P93" i="73"/>
  <c r="O93" i="73"/>
  <c r="N93" i="73"/>
  <c r="M93" i="73"/>
  <c r="L93" i="73"/>
  <c r="K93" i="73"/>
  <c r="J93" i="73"/>
  <c r="I93" i="73"/>
  <c r="X92" i="73"/>
  <c r="V92" i="73"/>
  <c r="U92" i="73"/>
  <c r="T92" i="73"/>
  <c r="S92" i="73"/>
  <c r="R92" i="73"/>
  <c r="Q92" i="73"/>
  <c r="P92" i="73"/>
  <c r="O92" i="73"/>
  <c r="N92" i="73"/>
  <c r="M92" i="73"/>
  <c r="L92" i="73"/>
  <c r="K92" i="73"/>
  <c r="J92" i="73"/>
  <c r="I92" i="73"/>
  <c r="K91" i="73"/>
  <c r="J91" i="73"/>
  <c r="I91" i="73"/>
  <c r="K90" i="73"/>
  <c r="J90" i="73"/>
  <c r="I90" i="73"/>
  <c r="K89" i="73"/>
  <c r="J89" i="73"/>
  <c r="I89" i="73"/>
  <c r="K88" i="73"/>
  <c r="J88" i="73"/>
  <c r="I88" i="73"/>
  <c r="K87" i="73"/>
  <c r="J87" i="73"/>
  <c r="I87" i="73"/>
  <c r="K86" i="73"/>
  <c r="J86" i="73"/>
  <c r="I86" i="73"/>
  <c r="K85" i="73"/>
  <c r="J85" i="73"/>
  <c r="I85" i="73"/>
  <c r="K84" i="73"/>
  <c r="J84" i="73"/>
  <c r="I84" i="73"/>
  <c r="K83" i="73"/>
  <c r="J83" i="73"/>
  <c r="I83" i="73"/>
  <c r="K82" i="73"/>
  <c r="J82" i="73"/>
  <c r="I82" i="73"/>
  <c r="K81" i="73"/>
  <c r="J81" i="73"/>
  <c r="K80" i="73"/>
  <c r="J80" i="73"/>
  <c r="K79" i="73"/>
  <c r="J79" i="73"/>
  <c r="I79" i="73"/>
  <c r="K78" i="73"/>
  <c r="J78" i="73"/>
  <c r="I78" i="73"/>
  <c r="K77" i="73"/>
  <c r="J77" i="73"/>
  <c r="K76" i="73"/>
  <c r="J76" i="73"/>
  <c r="K75" i="73"/>
  <c r="J75" i="73"/>
  <c r="I75" i="73"/>
  <c r="K74" i="73"/>
  <c r="J74" i="73"/>
  <c r="I74" i="73"/>
  <c r="K73" i="73"/>
  <c r="J73" i="73"/>
  <c r="K72" i="73"/>
  <c r="J72" i="73"/>
  <c r="K71" i="73"/>
  <c r="J71" i="73"/>
  <c r="I71" i="73"/>
  <c r="K70" i="73"/>
  <c r="J70" i="73"/>
  <c r="I70" i="73"/>
  <c r="K69" i="73"/>
  <c r="J69" i="73"/>
  <c r="I69" i="73"/>
  <c r="K68" i="73"/>
  <c r="J68" i="73"/>
  <c r="I68" i="73"/>
  <c r="K67" i="73"/>
  <c r="J67" i="73"/>
  <c r="I67" i="73"/>
  <c r="K66" i="73"/>
  <c r="J66" i="73"/>
  <c r="I66" i="73"/>
  <c r="K65" i="73"/>
  <c r="J65" i="73"/>
  <c r="I65" i="73"/>
  <c r="K64" i="73"/>
  <c r="J64" i="73"/>
  <c r="K63" i="73"/>
  <c r="J63" i="73"/>
  <c r="I63" i="73"/>
  <c r="K62" i="73"/>
  <c r="J62" i="73"/>
  <c r="I62" i="73"/>
  <c r="K61" i="73"/>
  <c r="J61" i="73"/>
  <c r="K60" i="73"/>
  <c r="J60" i="73"/>
  <c r="K59" i="73"/>
  <c r="J59" i="73"/>
  <c r="I59" i="73"/>
  <c r="K58" i="73"/>
  <c r="J58" i="73"/>
  <c r="I58" i="73"/>
  <c r="K57" i="73"/>
  <c r="J57" i="73"/>
  <c r="I57" i="73"/>
  <c r="K56" i="73"/>
  <c r="J56" i="73"/>
  <c r="I56" i="73"/>
  <c r="K55" i="73"/>
  <c r="J55" i="73"/>
  <c r="I55" i="73"/>
  <c r="K54" i="73"/>
  <c r="J54" i="73"/>
  <c r="I54" i="73"/>
  <c r="K53" i="73"/>
  <c r="J53" i="73"/>
  <c r="I53" i="73"/>
  <c r="K52" i="73"/>
  <c r="J52" i="73"/>
  <c r="I52" i="73"/>
  <c r="K51" i="73"/>
  <c r="J51" i="73"/>
  <c r="I51" i="73"/>
  <c r="K50" i="73"/>
  <c r="J50" i="73"/>
  <c r="I50" i="73"/>
  <c r="K49" i="73"/>
  <c r="J49" i="73"/>
  <c r="I49" i="73"/>
  <c r="K48" i="73"/>
  <c r="J48" i="73"/>
  <c r="I48" i="73"/>
  <c r="K47" i="73"/>
  <c r="J47" i="73"/>
  <c r="I47" i="73"/>
  <c r="K46" i="73"/>
  <c r="J46" i="73"/>
  <c r="I46" i="73"/>
  <c r="K45" i="73"/>
  <c r="J45" i="73"/>
  <c r="I45" i="73"/>
  <c r="K44" i="73"/>
  <c r="J44" i="73"/>
  <c r="I44" i="73"/>
  <c r="K43" i="73"/>
  <c r="J43" i="73"/>
  <c r="I43" i="73"/>
  <c r="K42" i="73"/>
  <c r="J42" i="73"/>
  <c r="I42" i="73"/>
  <c r="K41" i="73"/>
  <c r="J41" i="73"/>
  <c r="I41" i="73"/>
  <c r="K40" i="73"/>
  <c r="J40" i="73"/>
  <c r="I40" i="73"/>
  <c r="K39" i="73"/>
  <c r="J39" i="73"/>
  <c r="I39" i="73"/>
  <c r="K38" i="73"/>
  <c r="J38" i="73"/>
  <c r="I38" i="73"/>
  <c r="K37" i="73"/>
  <c r="J37" i="73"/>
  <c r="I37" i="73"/>
  <c r="K36" i="73"/>
  <c r="J36" i="73"/>
  <c r="I36" i="73"/>
  <c r="K35" i="73"/>
  <c r="J35" i="73"/>
  <c r="I35" i="73"/>
  <c r="K34" i="73"/>
  <c r="J34" i="73"/>
  <c r="I34" i="73"/>
  <c r="K33" i="73"/>
  <c r="J33" i="73"/>
  <c r="I33" i="73"/>
  <c r="K32" i="73"/>
  <c r="J32" i="73"/>
  <c r="I32" i="73"/>
  <c r="K31" i="73"/>
  <c r="J31" i="73"/>
  <c r="I31" i="73"/>
  <c r="K30" i="73"/>
  <c r="J30" i="73"/>
  <c r="I30" i="73"/>
  <c r="K29" i="73"/>
  <c r="J29" i="73"/>
  <c r="I29" i="73"/>
  <c r="K28" i="73"/>
  <c r="J28" i="73"/>
  <c r="I28" i="73"/>
  <c r="K27" i="73"/>
  <c r="J27" i="73"/>
  <c r="I27" i="73"/>
  <c r="K26" i="73"/>
  <c r="J26" i="73"/>
  <c r="I26" i="73"/>
  <c r="K25" i="73"/>
  <c r="J25" i="73"/>
  <c r="I25" i="73"/>
  <c r="K24" i="73"/>
  <c r="J24" i="73"/>
  <c r="K23" i="73"/>
  <c r="J23" i="73"/>
  <c r="I23" i="73"/>
  <c r="K22" i="73"/>
  <c r="J22" i="73"/>
  <c r="I22" i="73"/>
  <c r="K21" i="73"/>
  <c r="J21" i="73"/>
  <c r="I21" i="73"/>
  <c r="K20" i="73"/>
  <c r="J20" i="73"/>
  <c r="K19" i="73"/>
  <c r="J19" i="73"/>
  <c r="I19" i="73"/>
  <c r="K18" i="73"/>
  <c r="J18" i="73"/>
  <c r="I18" i="73"/>
  <c r="K17" i="73"/>
  <c r="J17" i="73"/>
  <c r="I17" i="73"/>
  <c r="K16" i="73"/>
  <c r="J16" i="73"/>
  <c r="I16" i="73"/>
  <c r="K15" i="73"/>
  <c r="J15" i="73"/>
  <c r="I15" i="73"/>
  <c r="K14" i="73"/>
  <c r="J14" i="73"/>
  <c r="I14" i="73"/>
  <c r="K13" i="73"/>
  <c r="J13" i="73"/>
  <c r="I13" i="73"/>
  <c r="K12" i="73"/>
  <c r="J12" i="73"/>
  <c r="I12" i="73"/>
  <c r="K11" i="73"/>
  <c r="J11" i="73"/>
  <c r="I11" i="73"/>
  <c r="K10" i="73"/>
  <c r="J10" i="73"/>
  <c r="I10" i="73"/>
  <c r="K9" i="73"/>
  <c r="J9" i="73"/>
  <c r="I9" i="73"/>
  <c r="K8" i="73"/>
  <c r="J8" i="73"/>
  <c r="I8" i="73"/>
  <c r="K7" i="73"/>
  <c r="J7" i="73"/>
  <c r="I7" i="73"/>
  <c r="K6" i="73"/>
  <c r="J6" i="73"/>
  <c r="I6" i="73"/>
  <c r="K5" i="73"/>
  <c r="J5" i="73"/>
  <c r="I5" i="73"/>
  <c r="K4" i="73"/>
  <c r="J4" i="73"/>
  <c r="I4" i="73"/>
  <c r="O115" i="74"/>
  <c r="M115" i="74"/>
  <c r="L115" i="74"/>
  <c r="K115" i="74"/>
  <c r="J115" i="74"/>
  <c r="I115" i="74"/>
  <c r="H115" i="74"/>
  <c r="O114" i="74"/>
  <c r="M114" i="74"/>
  <c r="L114" i="74"/>
  <c r="K114" i="74"/>
  <c r="J114" i="74"/>
  <c r="I114" i="74"/>
  <c r="H114" i="74"/>
  <c r="O113" i="74"/>
  <c r="M113" i="74"/>
  <c r="L113" i="74"/>
  <c r="K113" i="74"/>
  <c r="J113" i="74"/>
  <c r="I113" i="74"/>
  <c r="H113" i="74"/>
  <c r="O112" i="74"/>
  <c r="M112" i="74"/>
  <c r="L112" i="74"/>
  <c r="K112" i="74"/>
  <c r="J112" i="74"/>
  <c r="I112" i="74"/>
  <c r="H112" i="74"/>
  <c r="O111" i="74"/>
  <c r="M111" i="74"/>
  <c r="L111" i="74"/>
  <c r="K111" i="74"/>
  <c r="J111" i="74"/>
  <c r="I111" i="74"/>
  <c r="H111" i="74"/>
  <c r="O110" i="74"/>
  <c r="M110" i="74"/>
  <c r="L110" i="74"/>
  <c r="K110" i="74"/>
  <c r="J110" i="74"/>
  <c r="I110" i="74"/>
  <c r="H110" i="74"/>
  <c r="O109" i="74"/>
  <c r="M109" i="74"/>
  <c r="L109" i="74"/>
  <c r="K109" i="74"/>
  <c r="J109" i="74"/>
  <c r="I109" i="74"/>
  <c r="H109" i="74"/>
  <c r="O108" i="74"/>
  <c r="M108" i="74"/>
  <c r="L108" i="74"/>
  <c r="K108" i="74"/>
  <c r="J108" i="74"/>
  <c r="I108" i="74"/>
  <c r="H108" i="74"/>
  <c r="O107" i="74"/>
  <c r="M107" i="74"/>
  <c r="L107" i="74"/>
  <c r="K107" i="74"/>
  <c r="J107" i="74"/>
  <c r="I107" i="74"/>
  <c r="H107" i="74"/>
  <c r="O106" i="74"/>
  <c r="M106" i="74"/>
  <c r="L106" i="74"/>
  <c r="K106" i="74"/>
  <c r="J106" i="74"/>
  <c r="I106" i="74"/>
  <c r="H106" i="74"/>
  <c r="O105" i="74"/>
  <c r="M105" i="74"/>
  <c r="L105" i="74"/>
  <c r="K105" i="74"/>
  <c r="J105" i="74"/>
  <c r="I105" i="74"/>
  <c r="H105" i="74"/>
  <c r="O104" i="74"/>
  <c r="M104" i="74"/>
  <c r="L104" i="74"/>
  <c r="K104" i="74"/>
  <c r="J104" i="74"/>
  <c r="I104" i="74"/>
  <c r="H104" i="74"/>
  <c r="O103" i="74"/>
  <c r="M103" i="74"/>
  <c r="L103" i="74"/>
  <c r="K103" i="74"/>
  <c r="J103" i="74"/>
  <c r="I103" i="74"/>
  <c r="H103" i="74"/>
  <c r="O102" i="74"/>
  <c r="M102" i="74"/>
  <c r="L102" i="74"/>
  <c r="K102" i="74"/>
  <c r="J102" i="74"/>
  <c r="I102" i="74"/>
  <c r="H102" i="74"/>
  <c r="O101" i="74"/>
  <c r="M101" i="74"/>
  <c r="L101" i="74"/>
  <c r="K101" i="74"/>
  <c r="J101" i="74"/>
  <c r="I101" i="74"/>
  <c r="H101" i="74"/>
  <c r="O100" i="74"/>
  <c r="M100" i="74"/>
  <c r="L100" i="74"/>
  <c r="K100" i="74"/>
  <c r="J100" i="74"/>
  <c r="I100" i="74"/>
  <c r="H100" i="74"/>
  <c r="O99" i="74"/>
  <c r="M99" i="74"/>
  <c r="L99" i="74"/>
  <c r="K99" i="74"/>
  <c r="J99" i="74"/>
  <c r="I99" i="74"/>
  <c r="H99" i="74"/>
  <c r="O98" i="74"/>
  <c r="M98" i="74"/>
  <c r="L98" i="74"/>
  <c r="K98" i="74"/>
  <c r="J98" i="74"/>
  <c r="I98" i="74"/>
  <c r="H98" i="74"/>
  <c r="O97" i="74"/>
  <c r="M97" i="74"/>
  <c r="L97" i="74"/>
  <c r="K97" i="74"/>
  <c r="J97" i="74"/>
  <c r="I97" i="74"/>
  <c r="H97" i="74"/>
  <c r="O96" i="74"/>
  <c r="M96" i="74"/>
  <c r="L96" i="74"/>
  <c r="K96" i="74"/>
  <c r="J96" i="74"/>
  <c r="I96" i="74"/>
  <c r="H96" i="74"/>
  <c r="O95" i="74"/>
  <c r="M95" i="74"/>
  <c r="L95" i="74"/>
  <c r="K95" i="74"/>
  <c r="J95" i="74"/>
  <c r="I95" i="74"/>
  <c r="H95" i="74"/>
  <c r="O94" i="74"/>
  <c r="M94" i="74"/>
  <c r="L94" i="74"/>
  <c r="K94" i="74"/>
  <c r="J94" i="74"/>
  <c r="I94" i="74"/>
  <c r="H94" i="74"/>
  <c r="O93" i="74"/>
  <c r="M93" i="74"/>
  <c r="L93" i="74"/>
  <c r="K93" i="74"/>
  <c r="J93" i="74"/>
  <c r="I93" i="74"/>
  <c r="H93" i="74"/>
  <c r="O92" i="74"/>
  <c r="M92" i="74"/>
  <c r="L92" i="74"/>
  <c r="K92" i="74"/>
  <c r="J92" i="74"/>
  <c r="I92" i="74"/>
  <c r="H92" i="74"/>
  <c r="J91" i="74"/>
  <c r="I91" i="74"/>
  <c r="H91" i="74"/>
  <c r="J90" i="74"/>
  <c r="I90" i="74"/>
  <c r="H90" i="74"/>
  <c r="J89" i="74"/>
  <c r="I89" i="74"/>
  <c r="H89" i="74"/>
  <c r="J88" i="74"/>
  <c r="I88" i="74"/>
  <c r="H88" i="74"/>
  <c r="J87" i="74"/>
  <c r="I87" i="74"/>
  <c r="H87" i="74"/>
  <c r="J86" i="74"/>
  <c r="I86" i="74"/>
  <c r="H86" i="74"/>
  <c r="J85" i="74"/>
  <c r="I85" i="74"/>
  <c r="H85" i="74"/>
  <c r="J84" i="74"/>
  <c r="I84" i="74"/>
  <c r="H84" i="74"/>
  <c r="J83" i="74"/>
  <c r="I83" i="74"/>
  <c r="H83" i="74"/>
  <c r="J82" i="74"/>
  <c r="I82" i="74"/>
  <c r="H82" i="74"/>
  <c r="J81" i="74"/>
  <c r="I81" i="74"/>
  <c r="H81" i="74"/>
  <c r="J80" i="74"/>
  <c r="I80" i="74"/>
  <c r="H80" i="74"/>
  <c r="J79" i="74"/>
  <c r="I79" i="74"/>
  <c r="H79" i="74"/>
  <c r="J78" i="74"/>
  <c r="I78" i="74"/>
  <c r="H78" i="74"/>
  <c r="J77" i="74"/>
  <c r="I77" i="74"/>
  <c r="H77" i="74"/>
  <c r="J76" i="74"/>
  <c r="I76" i="74"/>
  <c r="H76" i="74"/>
  <c r="J75" i="74"/>
  <c r="I75" i="74"/>
  <c r="H75" i="74"/>
  <c r="J74" i="74"/>
  <c r="I74" i="74"/>
  <c r="H74" i="74"/>
  <c r="J73" i="74"/>
  <c r="I73" i="74"/>
  <c r="H73" i="74"/>
  <c r="J72" i="74"/>
  <c r="I72" i="74"/>
  <c r="H72" i="74"/>
  <c r="J71" i="74"/>
  <c r="I71" i="74"/>
  <c r="H71" i="74"/>
  <c r="J70" i="74"/>
  <c r="I70" i="74"/>
  <c r="H70" i="74"/>
  <c r="J69" i="74"/>
  <c r="I69" i="74"/>
  <c r="H69" i="74"/>
  <c r="J68" i="74"/>
  <c r="I68" i="74"/>
  <c r="H68" i="74"/>
  <c r="J67" i="74"/>
  <c r="I67" i="74"/>
  <c r="H67" i="74"/>
  <c r="J66" i="74"/>
  <c r="I66" i="74"/>
  <c r="H66" i="74"/>
  <c r="J65" i="74"/>
  <c r="I65" i="74"/>
  <c r="H65" i="74"/>
  <c r="J64" i="74"/>
  <c r="I64" i="74"/>
  <c r="H64" i="74"/>
  <c r="J63" i="74"/>
  <c r="I63" i="74"/>
  <c r="H63" i="74"/>
  <c r="J62" i="74"/>
  <c r="I62" i="74"/>
  <c r="H62" i="74"/>
  <c r="J61" i="74"/>
  <c r="I61" i="74"/>
  <c r="H61" i="74"/>
  <c r="J60" i="74"/>
  <c r="I60" i="74"/>
  <c r="H60" i="74"/>
  <c r="J59" i="74"/>
  <c r="I59" i="74"/>
  <c r="H59" i="74"/>
  <c r="J58" i="74"/>
  <c r="I58" i="74"/>
  <c r="H58" i="74"/>
  <c r="J57" i="74"/>
  <c r="I57" i="74"/>
  <c r="H57" i="74"/>
  <c r="J56" i="74"/>
  <c r="I56" i="74"/>
  <c r="H56" i="74"/>
  <c r="J55" i="74"/>
  <c r="I55" i="74"/>
  <c r="H55" i="74"/>
  <c r="J54" i="74"/>
  <c r="I54" i="74"/>
  <c r="H54" i="74"/>
  <c r="J53" i="74"/>
  <c r="I53" i="74"/>
  <c r="H53" i="74"/>
  <c r="J52" i="74"/>
  <c r="I52" i="74"/>
  <c r="H52" i="74"/>
  <c r="J51" i="74"/>
  <c r="I51" i="74"/>
  <c r="H51" i="74"/>
  <c r="J50" i="74"/>
  <c r="I50" i="74"/>
  <c r="H50" i="74"/>
  <c r="J49" i="74"/>
  <c r="I49" i="74"/>
  <c r="H49" i="74"/>
  <c r="J48" i="74"/>
  <c r="I48" i="74"/>
  <c r="H48" i="74"/>
  <c r="J47" i="74"/>
  <c r="I47" i="74"/>
  <c r="H47" i="74"/>
  <c r="J46" i="74"/>
  <c r="I46" i="74"/>
  <c r="H46" i="74"/>
  <c r="J45" i="74"/>
  <c r="I45" i="74"/>
  <c r="H45" i="74"/>
  <c r="J44" i="74"/>
  <c r="I44" i="74"/>
  <c r="H44" i="74"/>
  <c r="J43" i="74"/>
  <c r="I43" i="74"/>
  <c r="H43" i="74"/>
  <c r="J42" i="74"/>
  <c r="I42" i="74"/>
  <c r="H42" i="74"/>
  <c r="J41" i="74"/>
  <c r="I41" i="74"/>
  <c r="H41" i="74"/>
  <c r="J40" i="74"/>
  <c r="I40" i="74"/>
  <c r="H40" i="74"/>
  <c r="J39" i="74"/>
  <c r="I39" i="74"/>
  <c r="H39" i="74"/>
  <c r="J38" i="74"/>
  <c r="I38" i="74"/>
  <c r="H38" i="74"/>
  <c r="J37" i="74"/>
  <c r="I37" i="74"/>
  <c r="H37" i="74"/>
  <c r="J36" i="74"/>
  <c r="I36" i="74"/>
  <c r="H36" i="74"/>
  <c r="J35" i="74"/>
  <c r="I35" i="74"/>
  <c r="H35" i="74"/>
  <c r="J34" i="74"/>
  <c r="I34" i="74"/>
  <c r="H34" i="74"/>
  <c r="J33" i="74"/>
  <c r="I33" i="74"/>
  <c r="H33" i="74"/>
  <c r="J32" i="74"/>
  <c r="I32" i="74"/>
  <c r="H32" i="74"/>
  <c r="J31" i="74"/>
  <c r="I31" i="74"/>
  <c r="H31" i="74"/>
  <c r="J30" i="74"/>
  <c r="I30" i="74"/>
  <c r="H30" i="74"/>
  <c r="J29" i="74"/>
  <c r="I29" i="74"/>
  <c r="H29" i="74"/>
  <c r="J28" i="74"/>
  <c r="I28" i="74"/>
  <c r="H28" i="74"/>
  <c r="J27" i="74"/>
  <c r="I27" i="74"/>
  <c r="H27" i="74"/>
  <c r="J26" i="74"/>
  <c r="I26" i="74"/>
  <c r="H26" i="74"/>
  <c r="J25" i="74"/>
  <c r="I25" i="74"/>
  <c r="H25" i="74"/>
  <c r="J24" i="74"/>
  <c r="I24" i="74"/>
  <c r="H24" i="74"/>
  <c r="J23" i="74"/>
  <c r="I23" i="74"/>
  <c r="H23" i="74"/>
  <c r="J22" i="74"/>
  <c r="I22" i="74"/>
  <c r="H22" i="74"/>
  <c r="J21" i="74"/>
  <c r="I21" i="74"/>
  <c r="H21" i="74"/>
  <c r="J20" i="74"/>
  <c r="I20" i="74"/>
  <c r="H20" i="74"/>
  <c r="J19" i="74"/>
  <c r="I19" i="74"/>
  <c r="H19" i="74"/>
  <c r="J18" i="74"/>
  <c r="I18" i="74"/>
  <c r="H18" i="74"/>
  <c r="J17" i="74"/>
  <c r="I17" i="74"/>
  <c r="H17" i="74"/>
  <c r="J16" i="74"/>
  <c r="I16" i="74"/>
  <c r="H16" i="74"/>
  <c r="J15" i="74"/>
  <c r="I15" i="74"/>
  <c r="H15" i="74"/>
  <c r="J14" i="74"/>
  <c r="I14" i="74"/>
  <c r="H14" i="74"/>
  <c r="J13" i="74"/>
  <c r="I13" i="74"/>
  <c r="H13" i="74"/>
  <c r="J12" i="74"/>
  <c r="I12" i="74"/>
  <c r="H12" i="74"/>
  <c r="J11" i="74"/>
  <c r="I11" i="74"/>
  <c r="H11" i="74"/>
  <c r="J10" i="74"/>
  <c r="I10" i="74"/>
  <c r="H10" i="74"/>
  <c r="J9" i="74"/>
  <c r="I9" i="74"/>
  <c r="H9" i="74"/>
  <c r="J8" i="74"/>
  <c r="I8" i="74"/>
  <c r="H8" i="74"/>
  <c r="J7" i="74"/>
  <c r="I7" i="74"/>
  <c r="H7" i="74"/>
  <c r="J6" i="74"/>
  <c r="I6" i="74"/>
  <c r="H6" i="74"/>
  <c r="J5" i="74"/>
  <c r="I5" i="74"/>
  <c r="H5" i="74"/>
  <c r="J4" i="74"/>
  <c r="I4" i="74"/>
  <c r="H4" i="74"/>
  <c r="U115" i="72" l="1"/>
  <c r="T115" i="72"/>
  <c r="S115" i="72"/>
  <c r="R115" i="72"/>
  <c r="U114" i="72"/>
  <c r="T114" i="72"/>
  <c r="S114" i="72"/>
  <c r="R114" i="72"/>
  <c r="U113" i="72"/>
  <c r="T113" i="72"/>
  <c r="S113" i="72"/>
  <c r="R113" i="72"/>
  <c r="U112" i="72"/>
  <c r="T112" i="72"/>
  <c r="S112" i="72"/>
  <c r="R112" i="72"/>
  <c r="U111" i="72"/>
  <c r="T111" i="72"/>
  <c r="S111" i="72"/>
  <c r="R111" i="72"/>
  <c r="U110" i="72"/>
  <c r="T110" i="72"/>
  <c r="S110" i="72"/>
  <c r="R110" i="72"/>
  <c r="U109" i="72"/>
  <c r="T109" i="72"/>
  <c r="S109" i="72"/>
  <c r="R109" i="72"/>
  <c r="U108" i="72"/>
  <c r="T108" i="72"/>
  <c r="S108" i="72"/>
  <c r="R108" i="72"/>
  <c r="U107" i="72"/>
  <c r="T107" i="72"/>
  <c r="S107" i="72"/>
  <c r="R107" i="72"/>
  <c r="U106" i="72"/>
  <c r="T106" i="72"/>
  <c r="S106" i="72"/>
  <c r="R106" i="72"/>
  <c r="U105" i="72"/>
  <c r="T105" i="72"/>
  <c r="S105" i="72"/>
  <c r="R105" i="72"/>
  <c r="U104" i="72"/>
  <c r="T104" i="72"/>
  <c r="S104" i="72"/>
  <c r="R104" i="72"/>
  <c r="U103" i="72"/>
  <c r="T103" i="72"/>
  <c r="S103" i="72"/>
  <c r="R103" i="72"/>
  <c r="U102" i="72"/>
  <c r="T102" i="72"/>
  <c r="S102" i="72"/>
  <c r="R102" i="72"/>
  <c r="U101" i="72"/>
  <c r="T101" i="72"/>
  <c r="S101" i="72"/>
  <c r="R101" i="72"/>
  <c r="U100" i="72"/>
  <c r="T100" i="72"/>
  <c r="S100" i="72"/>
  <c r="R100" i="72"/>
  <c r="U99" i="72"/>
  <c r="T99" i="72"/>
  <c r="S99" i="72"/>
  <c r="R99" i="72"/>
  <c r="U98" i="72"/>
  <c r="T98" i="72"/>
  <c r="S98" i="72"/>
  <c r="R98" i="72"/>
  <c r="U97" i="72"/>
  <c r="T97" i="72"/>
  <c r="S97" i="72"/>
  <c r="R97" i="72"/>
  <c r="U96" i="72"/>
  <c r="T96" i="72"/>
  <c r="S96" i="72"/>
  <c r="R96" i="72"/>
  <c r="U95" i="72"/>
  <c r="T95" i="72"/>
  <c r="S95" i="72"/>
  <c r="R95" i="72"/>
  <c r="U94" i="72"/>
  <c r="T94" i="72"/>
  <c r="S94" i="72"/>
  <c r="R94" i="72"/>
  <c r="U93" i="72"/>
  <c r="T93" i="72"/>
  <c r="S93" i="72"/>
  <c r="R93" i="72"/>
  <c r="U92" i="72"/>
  <c r="T92" i="72"/>
  <c r="S92" i="72"/>
  <c r="R92" i="72"/>
  <c r="BV1" i="64"/>
  <c r="BV1" i="65" s="1"/>
  <c r="BV1" i="70" s="1"/>
  <c r="BV1" i="69" s="1"/>
  <c r="L5" i="51"/>
  <c r="C8" i="51"/>
  <c r="L9" i="51"/>
  <c r="L22" i="51"/>
  <c r="M31" i="64"/>
  <c r="BF31" i="64"/>
  <c r="BG31" i="64"/>
  <c r="BJ31" i="64"/>
  <c r="BK31" i="64"/>
  <c r="BN31" i="64"/>
  <c r="BO31" i="64"/>
  <c r="BP31" i="64"/>
  <c r="BQ31" i="64"/>
  <c r="BR31" i="64"/>
  <c r="BS31" i="64"/>
  <c r="M32" i="64"/>
  <c r="AF32" i="64"/>
  <c r="AS32" i="64"/>
  <c r="BF32" i="64"/>
  <c r="BG32" i="64"/>
  <c r="BJ32" i="64"/>
  <c r="BK32" i="64"/>
  <c r="AF33" i="64"/>
  <c r="AS33" i="64"/>
  <c r="M31" i="65"/>
  <c r="BF31" i="65"/>
  <c r="BG31" i="65"/>
  <c r="BJ31" i="65"/>
  <c r="BK31" i="65"/>
  <c r="BN31" i="65"/>
  <c r="BO31" i="65"/>
  <c r="BP31" i="65"/>
  <c r="BQ31" i="65"/>
  <c r="BR31" i="65"/>
  <c r="BS31" i="65"/>
  <c r="M32" i="65"/>
  <c r="E28" i="51" s="1"/>
  <c r="AF32" i="65"/>
  <c r="AS32" i="65"/>
  <c r="BF32" i="65"/>
  <c r="BG32" i="65"/>
  <c r="BJ32" i="65"/>
  <c r="BK32" i="65"/>
  <c r="AF33" i="65"/>
  <c r="AS33" i="65"/>
  <c r="M31" i="70"/>
  <c r="BF31" i="70"/>
  <c r="BG31" i="70"/>
  <c r="BJ31" i="70"/>
  <c r="BK31" i="70"/>
  <c r="BN31" i="70"/>
  <c r="BO31" i="70"/>
  <c r="BP31" i="70"/>
  <c r="BQ31" i="70"/>
  <c r="BR31" i="70"/>
  <c r="BS31" i="70"/>
  <c r="M32" i="70"/>
  <c r="AF32" i="70"/>
  <c r="AS32" i="70"/>
  <c r="BF32" i="70"/>
  <c r="BG32" i="70"/>
  <c r="BJ32" i="70"/>
  <c r="BK32" i="70"/>
  <c r="AF33" i="70"/>
  <c r="AS33" i="70"/>
  <c r="M31" i="69"/>
  <c r="BF31" i="69"/>
  <c r="BG31" i="69"/>
  <c r="BJ31" i="69"/>
  <c r="BK31" i="69"/>
  <c r="BN31" i="69"/>
  <c r="BO31" i="69"/>
  <c r="BP31" i="69"/>
  <c r="BQ31" i="69"/>
  <c r="BR31" i="69"/>
  <c r="BS31" i="69"/>
  <c r="M32" i="69"/>
  <c r="E31" i="51" s="1"/>
  <c r="AF32" i="69"/>
  <c r="AS32" i="69"/>
  <c r="BF32" i="69"/>
  <c r="BG32" i="69"/>
  <c r="BJ32" i="69"/>
  <c r="BK32" i="69"/>
  <c r="AF33" i="69"/>
  <c r="AS33" i="69"/>
  <c r="M31" i="68"/>
  <c r="BF31" i="68"/>
  <c r="BG31" i="68"/>
  <c r="BJ31" i="68"/>
  <c r="BK31" i="68"/>
  <c r="BN31" i="68"/>
  <c r="B34" i="50" s="1"/>
  <c r="BO31" i="68"/>
  <c r="BP31" i="68"/>
  <c r="BQ31" i="68"/>
  <c r="BR31" i="68"/>
  <c r="BS31" i="68"/>
  <c r="M32" i="68"/>
  <c r="E33" i="51" s="1"/>
  <c r="H33" i="51" s="1"/>
  <c r="AF32" i="68"/>
  <c r="AS32" i="68"/>
  <c r="BF32" i="68"/>
  <c r="BG32" i="68"/>
  <c r="BJ32" i="68"/>
  <c r="BK32" i="68"/>
  <c r="AF33" i="68"/>
  <c r="AS33" i="68"/>
  <c r="V115" i="72"/>
  <c r="V114" i="72"/>
  <c r="V113" i="72"/>
  <c r="V112" i="72"/>
  <c r="V111" i="72"/>
  <c r="V110" i="72"/>
  <c r="V109" i="72"/>
  <c r="V108" i="72"/>
  <c r="V107" i="72"/>
  <c r="V106" i="72"/>
  <c r="V105" i="72"/>
  <c r="V104" i="72"/>
  <c r="V103" i="72"/>
  <c r="V102" i="72"/>
  <c r="V101" i="72"/>
  <c r="V100" i="72"/>
  <c r="V99" i="72"/>
  <c r="V98" i="72"/>
  <c r="V97" i="72"/>
  <c r="V96" i="72"/>
  <c r="V95" i="72"/>
  <c r="V94" i="72"/>
  <c r="V93" i="72"/>
  <c r="V92" i="72"/>
  <c r="Q115" i="72"/>
  <c r="P115" i="72"/>
  <c r="O115" i="72"/>
  <c r="Q114" i="72"/>
  <c r="P114" i="72"/>
  <c r="O114" i="72"/>
  <c r="Q113" i="72"/>
  <c r="P113" i="72"/>
  <c r="O113" i="72"/>
  <c r="Q112" i="72"/>
  <c r="P112" i="72"/>
  <c r="O112" i="72"/>
  <c r="Q111" i="72"/>
  <c r="P111" i="72"/>
  <c r="O111" i="72"/>
  <c r="Q110" i="72"/>
  <c r="P110" i="72"/>
  <c r="O110" i="72"/>
  <c r="Q109" i="72"/>
  <c r="P109" i="72"/>
  <c r="O109" i="72"/>
  <c r="Q108" i="72"/>
  <c r="P108" i="72"/>
  <c r="O108" i="72"/>
  <c r="Q107" i="72"/>
  <c r="P107" i="72"/>
  <c r="O107" i="72"/>
  <c r="Q106" i="72"/>
  <c r="P106" i="72"/>
  <c r="O106" i="72"/>
  <c r="Q105" i="72"/>
  <c r="P105" i="72"/>
  <c r="O105" i="72"/>
  <c r="Q104" i="72"/>
  <c r="P104" i="72"/>
  <c r="O104" i="72"/>
  <c r="Q103" i="72"/>
  <c r="P103" i="72"/>
  <c r="O103" i="72"/>
  <c r="Q102" i="72"/>
  <c r="P102" i="72"/>
  <c r="O102" i="72"/>
  <c r="Q101" i="72"/>
  <c r="P101" i="72"/>
  <c r="O101" i="72"/>
  <c r="Q100" i="72"/>
  <c r="P100" i="72"/>
  <c r="O100" i="72"/>
  <c r="Q99" i="72"/>
  <c r="P99" i="72"/>
  <c r="O99" i="72"/>
  <c r="Q98" i="72"/>
  <c r="P98" i="72"/>
  <c r="O98" i="72"/>
  <c r="Q97" i="72"/>
  <c r="P97" i="72"/>
  <c r="O97" i="72"/>
  <c r="Q96" i="72"/>
  <c r="P96" i="72"/>
  <c r="O96" i="72"/>
  <c r="Q95" i="72"/>
  <c r="P95" i="72"/>
  <c r="O95" i="72"/>
  <c r="Q94" i="72"/>
  <c r="P94" i="72"/>
  <c r="O94" i="72"/>
  <c r="Q93" i="72"/>
  <c r="P93" i="72"/>
  <c r="O93" i="72"/>
  <c r="Q92" i="72"/>
  <c r="P92" i="72"/>
  <c r="O92" i="72"/>
  <c r="N115" i="72"/>
  <c r="M115" i="72"/>
  <c r="L115" i="72"/>
  <c r="N114" i="72"/>
  <c r="M114" i="72"/>
  <c r="L114" i="72"/>
  <c r="N113" i="72"/>
  <c r="M113" i="72"/>
  <c r="L113" i="72"/>
  <c r="N112" i="72"/>
  <c r="M112" i="72"/>
  <c r="L112" i="72"/>
  <c r="N111" i="72"/>
  <c r="M111" i="72"/>
  <c r="L111" i="72"/>
  <c r="N110" i="72"/>
  <c r="M110" i="72"/>
  <c r="L110" i="72"/>
  <c r="N109" i="72"/>
  <c r="M109" i="72"/>
  <c r="L109" i="72"/>
  <c r="N108" i="72"/>
  <c r="M108" i="72"/>
  <c r="L108" i="72"/>
  <c r="N107" i="72"/>
  <c r="M107" i="72"/>
  <c r="L107" i="72"/>
  <c r="N106" i="72"/>
  <c r="M106" i="72"/>
  <c r="L106" i="72"/>
  <c r="N105" i="72"/>
  <c r="M105" i="72"/>
  <c r="L105" i="72"/>
  <c r="N104" i="72"/>
  <c r="M104" i="72"/>
  <c r="L104" i="72"/>
  <c r="N103" i="72"/>
  <c r="M103" i="72"/>
  <c r="L103" i="72"/>
  <c r="N102" i="72"/>
  <c r="M102" i="72"/>
  <c r="L102" i="72"/>
  <c r="N101" i="72"/>
  <c r="M101" i="72"/>
  <c r="L101" i="72"/>
  <c r="N100" i="72"/>
  <c r="M100" i="72"/>
  <c r="L100" i="72"/>
  <c r="N99" i="72"/>
  <c r="M99" i="72"/>
  <c r="L99" i="72"/>
  <c r="N98" i="72"/>
  <c r="M98" i="72"/>
  <c r="L98" i="72"/>
  <c r="N97" i="72"/>
  <c r="M97" i="72"/>
  <c r="L97" i="72"/>
  <c r="N96" i="72"/>
  <c r="M96" i="72"/>
  <c r="L96" i="72"/>
  <c r="N95" i="72"/>
  <c r="M95" i="72"/>
  <c r="L95" i="72"/>
  <c r="N94" i="72"/>
  <c r="M94" i="72"/>
  <c r="L94" i="72"/>
  <c r="N93" i="72"/>
  <c r="M93" i="72"/>
  <c r="L93" i="72"/>
  <c r="N92" i="72"/>
  <c r="M92" i="72"/>
  <c r="L92" i="72"/>
  <c r="X115" i="72"/>
  <c r="K115" i="72"/>
  <c r="J115" i="72"/>
  <c r="I115" i="72"/>
  <c r="X114" i="72"/>
  <c r="K114" i="72"/>
  <c r="J114" i="72"/>
  <c r="I114" i="72"/>
  <c r="X113" i="72"/>
  <c r="K113" i="72"/>
  <c r="J113" i="72"/>
  <c r="I113" i="72"/>
  <c r="X112" i="72"/>
  <c r="K112" i="72"/>
  <c r="J112" i="72"/>
  <c r="I112" i="72"/>
  <c r="X111" i="72"/>
  <c r="K111" i="72"/>
  <c r="J111" i="72"/>
  <c r="I111" i="72"/>
  <c r="X110" i="72"/>
  <c r="K110" i="72"/>
  <c r="J110" i="72"/>
  <c r="I110" i="72"/>
  <c r="X109" i="72"/>
  <c r="K109" i="72"/>
  <c r="J109" i="72"/>
  <c r="I109" i="72"/>
  <c r="X108" i="72"/>
  <c r="K108" i="72"/>
  <c r="J108" i="72"/>
  <c r="I108" i="72"/>
  <c r="X107" i="72"/>
  <c r="K107" i="72"/>
  <c r="J107" i="72"/>
  <c r="I107" i="72"/>
  <c r="X106" i="72"/>
  <c r="K106" i="72"/>
  <c r="J106" i="72"/>
  <c r="I106" i="72"/>
  <c r="X105" i="72"/>
  <c r="K105" i="72"/>
  <c r="J105" i="72"/>
  <c r="I105" i="72"/>
  <c r="X104" i="72"/>
  <c r="K104" i="72"/>
  <c r="J104" i="72"/>
  <c r="I104" i="72"/>
  <c r="X103" i="72"/>
  <c r="K103" i="72"/>
  <c r="J103" i="72"/>
  <c r="I103" i="72"/>
  <c r="X102" i="72"/>
  <c r="K102" i="72"/>
  <c r="J102" i="72"/>
  <c r="I102" i="72"/>
  <c r="X101" i="72"/>
  <c r="K101" i="72"/>
  <c r="J101" i="72"/>
  <c r="I101" i="72"/>
  <c r="X100" i="72"/>
  <c r="K100" i="72"/>
  <c r="J100" i="72"/>
  <c r="I100" i="72"/>
  <c r="X99" i="72"/>
  <c r="K99" i="72"/>
  <c r="J99" i="72"/>
  <c r="I99" i="72"/>
  <c r="X98" i="72"/>
  <c r="K98" i="72"/>
  <c r="J98" i="72"/>
  <c r="I98" i="72"/>
  <c r="X97" i="72"/>
  <c r="K97" i="72"/>
  <c r="J97" i="72"/>
  <c r="I97" i="72"/>
  <c r="X96" i="72"/>
  <c r="K96" i="72"/>
  <c r="J96" i="72"/>
  <c r="I96" i="72"/>
  <c r="X95" i="72"/>
  <c r="K95" i="72"/>
  <c r="J95" i="72"/>
  <c r="I95" i="72"/>
  <c r="X94" i="72"/>
  <c r="K94" i="72"/>
  <c r="J94" i="72"/>
  <c r="I94" i="72"/>
  <c r="X93" i="72"/>
  <c r="K93" i="72"/>
  <c r="J93" i="72"/>
  <c r="I93" i="72"/>
  <c r="X92" i="72"/>
  <c r="K92" i="72"/>
  <c r="J92" i="72"/>
  <c r="I92" i="72"/>
  <c r="K91" i="72"/>
  <c r="J91" i="72"/>
  <c r="I91" i="72"/>
  <c r="K90" i="72"/>
  <c r="J90" i="72"/>
  <c r="I90" i="72"/>
  <c r="K89" i="72"/>
  <c r="J89" i="72"/>
  <c r="I89" i="72"/>
  <c r="K88" i="72"/>
  <c r="J88" i="72"/>
  <c r="I88" i="72"/>
  <c r="K87" i="72"/>
  <c r="J87" i="72"/>
  <c r="I87" i="72"/>
  <c r="K86" i="72"/>
  <c r="J86" i="72"/>
  <c r="I86" i="72"/>
  <c r="K85" i="72"/>
  <c r="J85" i="72"/>
  <c r="I85" i="72"/>
  <c r="K84" i="72"/>
  <c r="J84" i="72"/>
  <c r="I84" i="72"/>
  <c r="K83" i="72"/>
  <c r="J83" i="72"/>
  <c r="I83" i="72"/>
  <c r="K82" i="72"/>
  <c r="J82" i="72"/>
  <c r="I82" i="72"/>
  <c r="K81" i="72"/>
  <c r="J81" i="72"/>
  <c r="I81" i="72"/>
  <c r="K80" i="72"/>
  <c r="J80" i="72"/>
  <c r="I80" i="72"/>
  <c r="K79" i="72"/>
  <c r="J79" i="72"/>
  <c r="I79" i="72"/>
  <c r="K78" i="72"/>
  <c r="J78" i="72"/>
  <c r="I78" i="72"/>
  <c r="K77" i="72"/>
  <c r="J77" i="72"/>
  <c r="I77" i="72"/>
  <c r="K76" i="72"/>
  <c r="J76" i="72"/>
  <c r="I76" i="72"/>
  <c r="K75" i="72"/>
  <c r="J75" i="72"/>
  <c r="I75" i="72"/>
  <c r="K74" i="72"/>
  <c r="J74" i="72"/>
  <c r="I74" i="72"/>
  <c r="K73" i="72"/>
  <c r="J73" i="72"/>
  <c r="I73" i="72"/>
  <c r="K72" i="72"/>
  <c r="J72" i="72"/>
  <c r="I72" i="72"/>
  <c r="K71" i="72"/>
  <c r="J71" i="72"/>
  <c r="I71" i="72"/>
  <c r="K70" i="72"/>
  <c r="J70" i="72"/>
  <c r="I70" i="72"/>
  <c r="K69" i="72"/>
  <c r="J69" i="72"/>
  <c r="I69" i="72"/>
  <c r="K68" i="72"/>
  <c r="J68" i="72"/>
  <c r="I68" i="72"/>
  <c r="K67" i="72"/>
  <c r="J67" i="72"/>
  <c r="I67" i="72"/>
  <c r="K66" i="72"/>
  <c r="J66" i="72"/>
  <c r="I66" i="72"/>
  <c r="K65" i="72"/>
  <c r="J65" i="72"/>
  <c r="I65" i="72"/>
  <c r="K64" i="72"/>
  <c r="J64" i="72"/>
  <c r="I64" i="72"/>
  <c r="K63" i="72"/>
  <c r="J63" i="72"/>
  <c r="I63" i="72"/>
  <c r="K62" i="72"/>
  <c r="J62" i="72"/>
  <c r="I62" i="72"/>
  <c r="K61" i="72"/>
  <c r="J61" i="72"/>
  <c r="I61" i="72"/>
  <c r="K60" i="72"/>
  <c r="J60" i="72"/>
  <c r="I60" i="72"/>
  <c r="K59" i="72"/>
  <c r="J59" i="72"/>
  <c r="I59" i="72"/>
  <c r="K58" i="72"/>
  <c r="J58" i="72"/>
  <c r="I58" i="72"/>
  <c r="K57" i="72"/>
  <c r="J57" i="72"/>
  <c r="I57" i="72"/>
  <c r="K56" i="72"/>
  <c r="J56" i="72"/>
  <c r="I56" i="72"/>
  <c r="K55" i="72"/>
  <c r="J55" i="72"/>
  <c r="I55" i="72"/>
  <c r="K54" i="72"/>
  <c r="J54" i="72"/>
  <c r="I54" i="72"/>
  <c r="K53" i="72"/>
  <c r="J53" i="72"/>
  <c r="I53" i="72"/>
  <c r="K52" i="72"/>
  <c r="J52" i="72"/>
  <c r="I52" i="72"/>
  <c r="K51" i="72"/>
  <c r="J51" i="72"/>
  <c r="I51" i="72"/>
  <c r="K50" i="72"/>
  <c r="J50" i="72"/>
  <c r="I50" i="72"/>
  <c r="K49" i="72"/>
  <c r="J49" i="72"/>
  <c r="I49" i="72"/>
  <c r="K48" i="72"/>
  <c r="J48" i="72"/>
  <c r="I48" i="72"/>
  <c r="K47" i="72"/>
  <c r="J47" i="72"/>
  <c r="I47" i="72"/>
  <c r="K46" i="72"/>
  <c r="J46" i="72"/>
  <c r="I46" i="72"/>
  <c r="K45" i="72"/>
  <c r="J45" i="72"/>
  <c r="I45" i="72"/>
  <c r="K44" i="72"/>
  <c r="J44" i="72"/>
  <c r="I44" i="72"/>
  <c r="K43" i="72"/>
  <c r="J43" i="72"/>
  <c r="I43" i="72"/>
  <c r="K42" i="72"/>
  <c r="J42" i="72"/>
  <c r="I42" i="72"/>
  <c r="K41" i="72"/>
  <c r="J41" i="72"/>
  <c r="I41" i="72"/>
  <c r="K40" i="72"/>
  <c r="J40" i="72"/>
  <c r="I40" i="72"/>
  <c r="K39" i="72"/>
  <c r="J39" i="72"/>
  <c r="I39" i="72"/>
  <c r="K38" i="72"/>
  <c r="J38" i="72"/>
  <c r="I38" i="72"/>
  <c r="K37" i="72"/>
  <c r="J37" i="72"/>
  <c r="I37" i="72"/>
  <c r="K36" i="72"/>
  <c r="J36" i="72"/>
  <c r="I36" i="72"/>
  <c r="K35" i="72"/>
  <c r="J35" i="72"/>
  <c r="I35" i="72"/>
  <c r="K34" i="72"/>
  <c r="J34" i="72"/>
  <c r="I34" i="72"/>
  <c r="K33" i="72"/>
  <c r="J33" i="72"/>
  <c r="I33" i="72"/>
  <c r="K32" i="72"/>
  <c r="J32" i="72"/>
  <c r="I32" i="72"/>
  <c r="K31" i="72"/>
  <c r="J31" i="72"/>
  <c r="I31" i="72"/>
  <c r="K30" i="72"/>
  <c r="J30" i="72"/>
  <c r="I30" i="72"/>
  <c r="K29" i="72"/>
  <c r="J29" i="72"/>
  <c r="I29" i="72"/>
  <c r="K28" i="72"/>
  <c r="J28" i="72"/>
  <c r="I28" i="72"/>
  <c r="K27" i="72"/>
  <c r="J27" i="72"/>
  <c r="I27" i="72"/>
  <c r="K26" i="72"/>
  <c r="J26" i="72"/>
  <c r="I26" i="72"/>
  <c r="K25" i="72"/>
  <c r="J25" i="72"/>
  <c r="I25" i="72"/>
  <c r="K24" i="72"/>
  <c r="J24" i="72"/>
  <c r="I24" i="72"/>
  <c r="K23" i="72"/>
  <c r="J23" i="72"/>
  <c r="I23" i="72"/>
  <c r="K22" i="72"/>
  <c r="J22" i="72"/>
  <c r="I22" i="72"/>
  <c r="K21" i="72"/>
  <c r="J21" i="72"/>
  <c r="I21" i="72"/>
  <c r="K20" i="72"/>
  <c r="J20" i="72"/>
  <c r="I20" i="72"/>
  <c r="K19" i="72"/>
  <c r="J19" i="72"/>
  <c r="I19" i="72"/>
  <c r="K18" i="72"/>
  <c r="J18" i="72"/>
  <c r="I18" i="72"/>
  <c r="K17" i="72"/>
  <c r="J17" i="72"/>
  <c r="I17" i="72"/>
  <c r="K16" i="72"/>
  <c r="J16" i="72"/>
  <c r="I16" i="72"/>
  <c r="K15" i="72"/>
  <c r="J15" i="72"/>
  <c r="I15" i="72"/>
  <c r="K14" i="72"/>
  <c r="J14" i="72"/>
  <c r="I14" i="72"/>
  <c r="K13" i="72"/>
  <c r="J13" i="72"/>
  <c r="I13" i="72"/>
  <c r="K12" i="72"/>
  <c r="J12" i="72"/>
  <c r="I12" i="72"/>
  <c r="K11" i="72"/>
  <c r="J11" i="72"/>
  <c r="I11" i="72"/>
  <c r="K10" i="72"/>
  <c r="J10" i="72"/>
  <c r="I10" i="72"/>
  <c r="K9" i="72"/>
  <c r="J9" i="72"/>
  <c r="I9" i="72"/>
  <c r="K8" i="72"/>
  <c r="J8" i="72"/>
  <c r="I8" i="72"/>
  <c r="K7" i="72"/>
  <c r="J7" i="72"/>
  <c r="I7" i="72"/>
  <c r="K6" i="72"/>
  <c r="J6" i="72"/>
  <c r="I6" i="72"/>
  <c r="K5" i="72"/>
  <c r="J5" i="72"/>
  <c r="I5" i="72"/>
  <c r="K4" i="72"/>
  <c r="J4" i="72"/>
  <c r="I4" i="72"/>
  <c r="E30" i="51" l="1"/>
  <c r="E29" i="51"/>
  <c r="B33" i="50"/>
  <c r="B32" i="50"/>
  <c r="BV1" i="68"/>
  <c r="BV1" i="75" s="1"/>
  <c r="BV1" i="76" s="1"/>
  <c r="BV1" i="77" s="1"/>
  <c r="L7" i="51"/>
  <c r="K6" i="51"/>
  <c r="K5" i="51"/>
  <c r="K15" i="51"/>
  <c r="K8" i="51"/>
  <c r="K17" i="51"/>
  <c r="K11" i="51"/>
  <c r="BH33" i="64"/>
  <c r="L26" i="51"/>
  <c r="K18" i="51"/>
  <c r="L10" i="51"/>
  <c r="B32" i="68"/>
  <c r="K31" i="51" s="1"/>
  <c r="L18" i="51"/>
  <c r="L17" i="51"/>
  <c r="L16" i="51"/>
  <c r="L15" i="51"/>
  <c r="L14" i="51"/>
  <c r="K16" i="51"/>
  <c r="K14" i="51"/>
  <c r="K13" i="51"/>
  <c r="L13" i="51"/>
  <c r="K12" i="51"/>
  <c r="L12" i="51"/>
  <c r="L11" i="51"/>
  <c r="K10" i="51"/>
  <c r="K9" i="51"/>
  <c r="L8" i="51"/>
  <c r="K7" i="51"/>
  <c r="L6" i="51"/>
  <c r="C32" i="68"/>
  <c r="L31" i="51" s="1"/>
  <c r="B32" i="69"/>
  <c r="K30" i="51" s="1"/>
  <c r="C32" i="69"/>
  <c r="L30" i="51" s="1"/>
  <c r="B32" i="70"/>
  <c r="K29" i="51" s="1"/>
  <c r="C32" i="70"/>
  <c r="L29" i="51" s="1"/>
  <c r="B32" i="64"/>
  <c r="K27" i="51" s="1"/>
  <c r="C32" i="64"/>
  <c r="L27" i="51" s="1"/>
  <c r="K26" i="51"/>
  <c r="L25" i="51"/>
  <c r="K24" i="51"/>
  <c r="L24" i="51"/>
  <c r="K23" i="51"/>
  <c r="L23" i="51"/>
  <c r="K22" i="51"/>
  <c r="K21" i="51"/>
  <c r="L21" i="51"/>
  <c r="BL32" i="69"/>
  <c r="B32" i="65"/>
  <c r="K28" i="51" s="1"/>
  <c r="C32" i="65"/>
  <c r="L28" i="51" s="1"/>
  <c r="K25" i="51"/>
  <c r="L20" i="51"/>
  <c r="K20" i="51"/>
  <c r="L19" i="51"/>
  <c r="K19" i="51"/>
  <c r="BH33" i="69"/>
  <c r="BL32" i="65"/>
  <c r="BL33" i="68"/>
  <c r="BH32" i="68"/>
  <c r="BH33" i="68"/>
  <c r="BL32" i="68"/>
  <c r="BH32" i="69"/>
  <c r="BL33" i="69"/>
  <c r="BL32" i="70"/>
  <c r="BH33" i="70"/>
  <c r="BL33" i="70"/>
  <c r="BH32" i="70"/>
  <c r="BH32" i="65"/>
  <c r="BH33" i="65"/>
  <c r="BL33" i="65"/>
  <c r="BL32" i="64"/>
  <c r="BH32" i="64"/>
  <c r="BL33" i="64"/>
  <c r="M22" i="51"/>
  <c r="M18" i="51"/>
  <c r="N15" i="51"/>
  <c r="M12" i="51"/>
  <c r="M26" i="51" l="1"/>
  <c r="N12" i="51"/>
  <c r="M9" i="51"/>
  <c r="M7" i="51"/>
  <c r="M8" i="51"/>
  <c r="C33" i="64"/>
  <c r="N27" i="51" s="1"/>
  <c r="N16" i="51"/>
  <c r="M23" i="51"/>
  <c r="M19" i="51"/>
  <c r="M16" i="51"/>
  <c r="N11" i="51"/>
  <c r="N26" i="51"/>
  <c r="N13" i="51"/>
  <c r="N10" i="51"/>
  <c r="N18" i="51"/>
  <c r="N5" i="51"/>
  <c r="N8" i="51"/>
  <c r="M15" i="51"/>
  <c r="N14" i="51"/>
  <c r="M13" i="51"/>
  <c r="M11" i="51"/>
  <c r="M10" i="51"/>
  <c r="B33" i="64"/>
  <c r="M27" i="51" s="1"/>
  <c r="M20" i="51"/>
  <c r="N17" i="51"/>
  <c r="M17" i="51"/>
  <c r="M14" i="51"/>
  <c r="N9" i="51"/>
  <c r="N7" i="51"/>
  <c r="M6" i="51"/>
  <c r="N6" i="51"/>
  <c r="M5" i="51"/>
  <c r="C33" i="68"/>
  <c r="N31" i="51" s="1"/>
  <c r="B33" i="68"/>
  <c r="M31" i="51" s="1"/>
  <c r="B33" i="69"/>
  <c r="M30" i="51" s="1"/>
  <c r="C33" i="69"/>
  <c r="N30" i="51" s="1"/>
  <c r="C33" i="70"/>
  <c r="N29" i="51" s="1"/>
  <c r="B33" i="70"/>
  <c r="M29" i="51" s="1"/>
  <c r="B33" i="65"/>
  <c r="M28" i="51" s="1"/>
  <c r="C33" i="65"/>
  <c r="N28" i="51" s="1"/>
  <c r="N25" i="51"/>
  <c r="M25" i="51"/>
  <c r="M24" i="51"/>
  <c r="N24" i="51"/>
  <c r="N23" i="51"/>
  <c r="N22" i="51"/>
  <c r="N21" i="51"/>
  <c r="M21" i="51"/>
  <c r="N20" i="51"/>
  <c r="N19" i="51"/>
  <c r="D31" i="51" l="1"/>
  <c r="C31" i="51"/>
  <c r="B31" i="51"/>
  <c r="D30" i="51"/>
  <c r="C30" i="51"/>
  <c r="B30" i="51"/>
  <c r="D29" i="51"/>
  <c r="C29" i="51"/>
  <c r="B29" i="51"/>
  <c r="H31" i="50"/>
  <c r="G31" i="50"/>
  <c r="F31" i="50"/>
  <c r="H30" i="50"/>
  <c r="G30" i="50"/>
  <c r="F30" i="50"/>
  <c r="H29" i="50"/>
  <c r="G29" i="50"/>
  <c r="F29" i="50"/>
  <c r="D31" i="50"/>
  <c r="C31" i="50"/>
  <c r="B31" i="50"/>
  <c r="D30" i="50"/>
  <c r="C30" i="50"/>
  <c r="B30" i="50"/>
  <c r="D29" i="50"/>
  <c r="C29" i="50"/>
  <c r="B29" i="50"/>
  <c r="O115" i="48"/>
  <c r="O114" i="48"/>
  <c r="O113" i="48"/>
  <c r="O112" i="48"/>
  <c r="O111" i="48"/>
  <c r="O110" i="48"/>
  <c r="O109" i="48"/>
  <c r="O108" i="48"/>
  <c r="O107" i="48"/>
  <c r="O106" i="48"/>
  <c r="O105" i="48"/>
  <c r="O104" i="48"/>
  <c r="N33" i="49"/>
  <c r="M33" i="49"/>
  <c r="L33" i="49"/>
  <c r="K33" i="49"/>
  <c r="J33" i="49"/>
  <c r="I33" i="49"/>
  <c r="H33" i="49"/>
  <c r="G33" i="49"/>
  <c r="F33" i="49"/>
  <c r="E33" i="49"/>
  <c r="D33" i="49"/>
  <c r="C33" i="49"/>
  <c r="N32" i="49"/>
  <c r="M32" i="49"/>
  <c r="L32" i="49"/>
  <c r="K32" i="49"/>
  <c r="J32" i="49"/>
  <c r="I32" i="49"/>
  <c r="H32" i="49"/>
  <c r="G32" i="49"/>
  <c r="F32" i="49"/>
  <c r="E32" i="49"/>
  <c r="D32" i="49"/>
  <c r="C32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M115" i="48"/>
  <c r="L115" i="48"/>
  <c r="K115" i="48"/>
  <c r="J115" i="48"/>
  <c r="I115" i="48"/>
  <c r="H115" i="48"/>
  <c r="M114" i="48"/>
  <c r="L114" i="48"/>
  <c r="K114" i="48"/>
  <c r="J114" i="48"/>
  <c r="I114" i="48"/>
  <c r="H114" i="48"/>
  <c r="M113" i="48"/>
  <c r="L113" i="48"/>
  <c r="K113" i="48"/>
  <c r="J113" i="48"/>
  <c r="I113" i="48"/>
  <c r="H113" i="48"/>
  <c r="M112" i="48"/>
  <c r="L112" i="48"/>
  <c r="K112" i="48"/>
  <c r="J112" i="48"/>
  <c r="I112" i="48"/>
  <c r="H112" i="48"/>
  <c r="M111" i="48"/>
  <c r="L111" i="48"/>
  <c r="K111" i="48"/>
  <c r="J111" i="48"/>
  <c r="I111" i="48"/>
  <c r="H111" i="48"/>
  <c r="M110" i="48"/>
  <c r="L110" i="48"/>
  <c r="K110" i="48"/>
  <c r="J110" i="48"/>
  <c r="I110" i="48"/>
  <c r="H110" i="48"/>
  <c r="M109" i="48"/>
  <c r="L109" i="48"/>
  <c r="K109" i="48"/>
  <c r="J109" i="48"/>
  <c r="I109" i="48"/>
  <c r="H109" i="48"/>
  <c r="M108" i="48"/>
  <c r="L108" i="48"/>
  <c r="K108" i="48"/>
  <c r="J108" i="48"/>
  <c r="I108" i="48"/>
  <c r="H108" i="48"/>
  <c r="M107" i="48"/>
  <c r="L107" i="48"/>
  <c r="K107" i="48"/>
  <c r="J107" i="48"/>
  <c r="I107" i="48"/>
  <c r="H107" i="48"/>
  <c r="M106" i="48"/>
  <c r="L106" i="48"/>
  <c r="K106" i="48"/>
  <c r="J106" i="48"/>
  <c r="I106" i="48"/>
  <c r="H106" i="48"/>
  <c r="M105" i="48"/>
  <c r="L105" i="48"/>
  <c r="K105" i="48"/>
  <c r="J105" i="48"/>
  <c r="I105" i="48"/>
  <c r="H105" i="48"/>
  <c r="M104" i="48"/>
  <c r="L104" i="48"/>
  <c r="K104" i="48"/>
  <c r="J104" i="48"/>
  <c r="I104" i="48"/>
  <c r="H104" i="48"/>
  <c r="G31" i="51" l="1"/>
  <c r="N30" i="49"/>
  <c r="M30" i="49"/>
  <c r="L30" i="49"/>
  <c r="K30" i="49"/>
  <c r="J30" i="49"/>
  <c r="I30" i="49"/>
  <c r="H30" i="49"/>
  <c r="G30" i="49"/>
  <c r="F30" i="49"/>
  <c r="E30" i="49"/>
  <c r="D30" i="49"/>
  <c r="C30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O103" i="48"/>
  <c r="O102" i="48"/>
  <c r="O101" i="48"/>
  <c r="O100" i="48"/>
  <c r="O99" i="48"/>
  <c r="O98" i="48"/>
  <c r="O97" i="48"/>
  <c r="O96" i="48"/>
  <c r="O95" i="48"/>
  <c r="O94" i="48"/>
  <c r="O93" i="48"/>
  <c r="O92" i="48"/>
  <c r="M103" i="48"/>
  <c r="L103" i="48"/>
  <c r="K103" i="48"/>
  <c r="J103" i="48"/>
  <c r="I103" i="48"/>
  <c r="H103" i="48"/>
  <c r="M102" i="48"/>
  <c r="L102" i="48"/>
  <c r="K102" i="48"/>
  <c r="J102" i="48"/>
  <c r="I102" i="48"/>
  <c r="H102" i="48"/>
  <c r="M101" i="48"/>
  <c r="L101" i="48"/>
  <c r="K101" i="48"/>
  <c r="J101" i="48"/>
  <c r="I101" i="48"/>
  <c r="H101" i="48"/>
  <c r="M100" i="48"/>
  <c r="L100" i="48"/>
  <c r="K100" i="48"/>
  <c r="J100" i="48"/>
  <c r="I100" i="48"/>
  <c r="H100" i="48"/>
  <c r="M99" i="48"/>
  <c r="L99" i="48"/>
  <c r="K99" i="48"/>
  <c r="J99" i="48"/>
  <c r="I99" i="48"/>
  <c r="H99" i="48"/>
  <c r="M98" i="48"/>
  <c r="L98" i="48"/>
  <c r="K98" i="48"/>
  <c r="J98" i="48"/>
  <c r="I98" i="48"/>
  <c r="H98" i="48"/>
  <c r="M97" i="48"/>
  <c r="L97" i="48"/>
  <c r="K97" i="48"/>
  <c r="J97" i="48"/>
  <c r="I97" i="48"/>
  <c r="M96" i="48"/>
  <c r="L96" i="48"/>
  <c r="K96" i="48"/>
  <c r="J96" i="48"/>
  <c r="I96" i="48"/>
  <c r="M95" i="48"/>
  <c r="L95" i="48"/>
  <c r="K95" i="48"/>
  <c r="J95" i="48"/>
  <c r="I95" i="48"/>
  <c r="H95" i="48"/>
  <c r="M94" i="48"/>
  <c r="L94" i="48"/>
  <c r="K94" i="48"/>
  <c r="J94" i="48"/>
  <c r="I94" i="48"/>
  <c r="H94" i="48"/>
  <c r="M93" i="48"/>
  <c r="L93" i="48"/>
  <c r="K93" i="48"/>
  <c r="J93" i="48"/>
  <c r="I93" i="48"/>
  <c r="M92" i="48"/>
  <c r="L92" i="48"/>
  <c r="K92" i="48"/>
  <c r="J92" i="48"/>
  <c r="I92" i="48"/>
  <c r="J91" i="48"/>
  <c r="I91" i="48"/>
  <c r="H91" i="48"/>
  <c r="J90" i="48"/>
  <c r="I90" i="48"/>
  <c r="H90" i="48"/>
  <c r="J89" i="48"/>
  <c r="I89" i="48"/>
  <c r="J88" i="48"/>
  <c r="I88" i="48"/>
  <c r="J87" i="48"/>
  <c r="I87" i="48"/>
  <c r="H87" i="48"/>
  <c r="J86" i="48"/>
  <c r="I86" i="48"/>
  <c r="H86" i="48"/>
  <c r="J85" i="48"/>
  <c r="I85" i="48"/>
  <c r="J84" i="48"/>
  <c r="I84" i="48"/>
  <c r="H28" i="50"/>
  <c r="G28" i="50"/>
  <c r="F28" i="50"/>
  <c r="H27" i="50"/>
  <c r="G27" i="50"/>
  <c r="F27" i="50"/>
  <c r="H26" i="50"/>
  <c r="G26" i="50"/>
  <c r="F26" i="50"/>
  <c r="D28" i="50"/>
  <c r="C28" i="50"/>
  <c r="B28" i="50"/>
  <c r="D27" i="50"/>
  <c r="C27" i="50"/>
  <c r="B27" i="50"/>
  <c r="D26" i="50"/>
  <c r="C26" i="50"/>
  <c r="B26" i="50"/>
  <c r="E25" i="50"/>
  <c r="D28" i="51"/>
  <c r="C28" i="51"/>
  <c r="B28" i="51"/>
  <c r="E27" i="51"/>
  <c r="D27" i="51"/>
  <c r="C27" i="51"/>
  <c r="B27" i="51"/>
  <c r="E26" i="51"/>
  <c r="D26" i="51"/>
  <c r="C26" i="51"/>
  <c r="B26" i="51"/>
  <c r="E25" i="51"/>
  <c r="C25" i="51"/>
  <c r="H27" i="51" l="1"/>
  <c r="G28" i="51"/>
  <c r="H28" i="51"/>
  <c r="J83" i="48" l="1"/>
  <c r="I83" i="48"/>
  <c r="H83" i="48"/>
  <c r="J82" i="48"/>
  <c r="I82" i="48"/>
  <c r="H82" i="48"/>
  <c r="J81" i="48"/>
  <c r="I81" i="48"/>
  <c r="J80" i="48"/>
  <c r="I80" i="48"/>
  <c r="J79" i="48"/>
  <c r="I79" i="48"/>
  <c r="H79" i="48"/>
  <c r="J78" i="48"/>
  <c r="I78" i="48"/>
  <c r="H78" i="48"/>
  <c r="J77" i="48"/>
  <c r="I77" i="48"/>
  <c r="J76" i="48"/>
  <c r="I76" i="48"/>
  <c r="J75" i="48"/>
  <c r="I75" i="48"/>
  <c r="H75" i="48"/>
  <c r="J74" i="48"/>
  <c r="I74" i="48"/>
  <c r="H74" i="48"/>
  <c r="J73" i="48"/>
  <c r="I73" i="48"/>
  <c r="J72" i="48"/>
  <c r="I72" i="48"/>
  <c r="J71" i="48"/>
  <c r="I71" i="48"/>
  <c r="H71" i="48"/>
  <c r="J70" i="48"/>
  <c r="I70" i="48"/>
  <c r="H70" i="48"/>
  <c r="J69" i="48"/>
  <c r="I69" i="48"/>
  <c r="H69" i="48"/>
  <c r="J68" i="48"/>
  <c r="I68" i="48"/>
  <c r="H68" i="48"/>
  <c r="J67" i="48"/>
  <c r="I67" i="48"/>
  <c r="H67" i="48"/>
  <c r="J66" i="48"/>
  <c r="I66" i="48"/>
  <c r="H66" i="48"/>
  <c r="J65" i="48"/>
  <c r="I65" i="48"/>
  <c r="H65" i="48"/>
  <c r="J64" i="48"/>
  <c r="I64" i="48"/>
  <c r="J63" i="48"/>
  <c r="I63" i="48"/>
  <c r="H63" i="48"/>
  <c r="J62" i="48"/>
  <c r="I62" i="48"/>
  <c r="H62" i="48"/>
  <c r="J61" i="48"/>
  <c r="I61" i="48"/>
  <c r="J60" i="48"/>
  <c r="I60" i="48"/>
  <c r="J59" i="48"/>
  <c r="I59" i="48"/>
  <c r="H59" i="48"/>
  <c r="J58" i="48"/>
  <c r="I58" i="48"/>
  <c r="H58" i="48"/>
  <c r="J57" i="48"/>
  <c r="I57" i="48"/>
  <c r="H57" i="48"/>
  <c r="J56" i="48"/>
  <c r="I56" i="48"/>
  <c r="H56" i="48"/>
  <c r="J55" i="48"/>
  <c r="I55" i="48"/>
  <c r="H55" i="48"/>
  <c r="J54" i="48"/>
  <c r="I54" i="48"/>
  <c r="H54" i="48"/>
  <c r="J53" i="48"/>
  <c r="I53" i="48"/>
  <c r="H53" i="48"/>
  <c r="J52" i="48"/>
  <c r="I52" i="48"/>
  <c r="H52" i="48"/>
  <c r="J51" i="48"/>
  <c r="I51" i="48"/>
  <c r="H51" i="48"/>
  <c r="J50" i="48"/>
  <c r="I50" i="48"/>
  <c r="H50" i="48"/>
  <c r="J49" i="48"/>
  <c r="I49" i="48"/>
  <c r="H49" i="48"/>
  <c r="J48" i="48"/>
  <c r="I48" i="48"/>
  <c r="H48" i="48"/>
  <c r="J47" i="48"/>
  <c r="I47" i="48"/>
  <c r="H47" i="48"/>
  <c r="J46" i="48"/>
  <c r="I46" i="48"/>
  <c r="H46" i="48"/>
  <c r="J45" i="48"/>
  <c r="I45" i="48"/>
  <c r="H45" i="48"/>
  <c r="J44" i="48"/>
  <c r="I44" i="48"/>
  <c r="H44" i="48"/>
  <c r="J43" i="48"/>
  <c r="I43" i="48"/>
  <c r="H43" i="48"/>
  <c r="J42" i="48"/>
  <c r="I42" i="48"/>
  <c r="H42" i="48"/>
  <c r="J41" i="48"/>
  <c r="I41" i="48"/>
  <c r="H41" i="48"/>
  <c r="J40" i="48"/>
  <c r="I40" i="48"/>
  <c r="H40" i="48"/>
  <c r="J39" i="48"/>
  <c r="I39" i="48"/>
  <c r="H39" i="48"/>
  <c r="J38" i="48"/>
  <c r="I38" i="48"/>
  <c r="H38" i="48"/>
  <c r="J37" i="48"/>
  <c r="I37" i="48"/>
  <c r="H37" i="48"/>
  <c r="J36" i="48"/>
  <c r="I36" i="48"/>
  <c r="H36" i="48"/>
  <c r="J35" i="48"/>
  <c r="I35" i="48"/>
  <c r="H35" i="48"/>
  <c r="J34" i="48"/>
  <c r="I34" i="48"/>
  <c r="H34" i="48"/>
  <c r="J33" i="48"/>
  <c r="I33" i="48"/>
  <c r="H33" i="48"/>
  <c r="J32" i="48"/>
  <c r="I32" i="48"/>
  <c r="H32" i="48"/>
  <c r="J31" i="48"/>
  <c r="I31" i="48"/>
  <c r="H31" i="48"/>
  <c r="J30" i="48"/>
  <c r="I30" i="48"/>
  <c r="H30" i="48"/>
  <c r="J29" i="48"/>
  <c r="I29" i="48"/>
  <c r="H29" i="48"/>
  <c r="J28" i="48"/>
  <c r="I28" i="48"/>
  <c r="H28" i="48"/>
  <c r="J27" i="48"/>
  <c r="I27" i="48"/>
  <c r="H27" i="48"/>
  <c r="J26" i="48"/>
  <c r="I26" i="48"/>
  <c r="H26" i="48"/>
  <c r="J25" i="48"/>
  <c r="I25" i="48"/>
  <c r="H25" i="48"/>
  <c r="J24" i="48"/>
  <c r="I24" i="48"/>
  <c r="J23" i="48"/>
  <c r="I23" i="48"/>
  <c r="H23" i="48"/>
  <c r="J22" i="48"/>
  <c r="I22" i="48"/>
  <c r="H22" i="48"/>
  <c r="J21" i="48"/>
  <c r="I21" i="48"/>
  <c r="H21" i="48"/>
  <c r="J20" i="48"/>
  <c r="I20" i="48"/>
  <c r="J19" i="48"/>
  <c r="I19" i="48"/>
  <c r="H19" i="48"/>
  <c r="J18" i="48"/>
  <c r="I18" i="48"/>
  <c r="H18" i="48"/>
  <c r="J17" i="48"/>
  <c r="I17" i="48"/>
  <c r="H17" i="48"/>
  <c r="J16" i="48"/>
  <c r="I16" i="48"/>
  <c r="H16" i="48"/>
  <c r="J15" i="48"/>
  <c r="I15" i="48"/>
  <c r="H15" i="48"/>
  <c r="J14" i="48"/>
  <c r="I14" i="48"/>
  <c r="H14" i="48"/>
  <c r="J13" i="48"/>
  <c r="I13" i="48"/>
  <c r="H13" i="48"/>
  <c r="J12" i="48"/>
  <c r="I12" i="48"/>
  <c r="H12" i="48"/>
  <c r="J11" i="48"/>
  <c r="I11" i="48"/>
  <c r="H11" i="48"/>
  <c r="J10" i="48"/>
  <c r="I10" i="48"/>
  <c r="H10" i="48"/>
  <c r="J9" i="48"/>
  <c r="I9" i="48"/>
  <c r="H9" i="48"/>
  <c r="J8" i="48"/>
  <c r="I8" i="48"/>
  <c r="H8" i="48"/>
  <c r="J7" i="48"/>
  <c r="I7" i="48"/>
  <c r="H7" i="48"/>
  <c r="J6" i="48"/>
  <c r="I6" i="48"/>
  <c r="H6" i="48"/>
  <c r="J5" i="48"/>
  <c r="I5" i="48"/>
  <c r="H5" i="48"/>
  <c r="J4" i="48"/>
  <c r="I4" i="48"/>
  <c r="H4" i="48"/>
  <c r="C23" i="51"/>
  <c r="E22" i="51"/>
  <c r="C22" i="51"/>
  <c r="E21" i="51"/>
  <c r="C21" i="51"/>
  <c r="E20" i="51"/>
  <c r="C20" i="51"/>
  <c r="G23" i="51" l="1"/>
  <c r="E19" i="51" l="1"/>
  <c r="C19" i="51"/>
  <c r="E15" i="51" l="1"/>
  <c r="C15" i="51"/>
  <c r="E18" i="51"/>
  <c r="C18" i="51"/>
  <c r="E17" i="51"/>
  <c r="C17" i="51"/>
  <c r="E16" i="51"/>
  <c r="C16" i="51"/>
  <c r="E14" i="51"/>
  <c r="C14" i="51"/>
  <c r="E13" i="51" l="1"/>
  <c r="C13" i="51"/>
  <c r="E12" i="51"/>
  <c r="C12" i="51"/>
  <c r="E11" i="51"/>
  <c r="C11" i="51"/>
  <c r="E10" i="51"/>
  <c r="C10" i="51"/>
  <c r="E9" i="51"/>
  <c r="C9" i="51"/>
  <c r="E8" i="51"/>
  <c r="E7" i="51"/>
  <c r="C7" i="51"/>
  <c r="E6" i="51"/>
  <c r="C6" i="51"/>
  <c r="E5" i="51"/>
  <c r="C5" i="51"/>
  <c r="G10" i="51" l="1"/>
  <c r="F10" i="51"/>
  <c r="F26" i="51"/>
  <c r="G5" i="51" l="1"/>
  <c r="H10" i="51"/>
  <c r="E4" i="50" l="1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6" i="50"/>
  <c r="E27" i="50"/>
  <c r="E28" i="50"/>
  <c r="E29" i="50"/>
  <c r="E30" i="50"/>
  <c r="E31" i="50"/>
  <c r="E4" i="51" l="1"/>
  <c r="F31" i="51"/>
  <c r="F30" i="51"/>
  <c r="F29" i="51"/>
  <c r="F28" i="51"/>
  <c r="F27" i="51"/>
  <c r="F25" i="51"/>
  <c r="F24" i="51"/>
  <c r="F23" i="51"/>
  <c r="F22" i="51"/>
  <c r="F21" i="51"/>
  <c r="F20" i="51"/>
  <c r="F19" i="51"/>
  <c r="F18" i="51"/>
  <c r="F17" i="51"/>
  <c r="F16" i="51"/>
  <c r="F15" i="51"/>
  <c r="F14" i="51"/>
  <c r="F13" i="51"/>
  <c r="F12" i="51"/>
  <c r="F11" i="51"/>
  <c r="F9" i="51"/>
  <c r="F8" i="51"/>
  <c r="F7" i="51"/>
  <c r="F6" i="51"/>
  <c r="F5" i="51"/>
  <c r="F4" i="51"/>
  <c r="C4" i="51"/>
  <c r="N4" i="51" l="1"/>
  <c r="M4" i="51"/>
  <c r="H24" i="51"/>
  <c r="H23" i="51"/>
  <c r="G22" i="51"/>
  <c r="H22" i="51"/>
  <c r="H21" i="51"/>
  <c r="G21" i="51"/>
  <c r="G20" i="51"/>
  <c r="G19" i="51"/>
  <c r="H19" i="51"/>
  <c r="G18" i="51"/>
  <c r="G16" i="51"/>
  <c r="H16" i="51"/>
  <c r="G15" i="51"/>
  <c r="H15" i="51"/>
  <c r="G14" i="51"/>
  <c r="G13" i="51"/>
  <c r="H13" i="51"/>
  <c r="G12" i="51"/>
  <c r="H12" i="51"/>
  <c r="G11" i="51"/>
  <c r="H11" i="51"/>
  <c r="G24" i="51"/>
  <c r="H20" i="51"/>
  <c r="H18" i="51"/>
  <c r="G17" i="51"/>
  <c r="H17" i="51"/>
  <c r="H14" i="51"/>
  <c r="G9" i="51"/>
  <c r="H9" i="51"/>
  <c r="H8" i="51"/>
  <c r="G8" i="51"/>
  <c r="H7" i="51"/>
  <c r="G7" i="51"/>
  <c r="H6" i="51"/>
  <c r="H5" i="51"/>
  <c r="H31" i="51"/>
  <c r="H30" i="51"/>
  <c r="G30" i="51"/>
  <c r="H29" i="51"/>
  <c r="G29" i="51"/>
  <c r="G27" i="51"/>
  <c r="G26" i="51"/>
  <c r="H26" i="51"/>
  <c r="G25" i="51"/>
  <c r="H25" i="51"/>
  <c r="G6" i="51"/>
  <c r="G4" i="51" l="1"/>
  <c r="H4" i="51"/>
  <c r="L4" i="51"/>
</calcChain>
</file>

<file path=xl/comments1.xml><?xml version="1.0" encoding="utf-8"?>
<comments xmlns="http://schemas.openxmlformats.org/spreadsheetml/2006/main">
  <authors>
    <author>Lenovo</author>
  </authors>
  <commentList>
    <comment ref="BG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</commentList>
</comments>
</file>

<file path=xl/comments2.xml><?xml version="1.0" encoding="utf-8"?>
<comments xmlns="http://schemas.openxmlformats.org/spreadsheetml/2006/main">
  <authors>
    <author>Lenovo</author>
  </authors>
  <commentList>
    <comment ref="BG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1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1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0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1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2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3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4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5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6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7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8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G2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  <comment ref="BI29" authorId="0">
      <text>
        <r>
          <rPr>
            <b/>
            <sz val="9"/>
            <color indexed="81"/>
            <rFont val="Tahoma"/>
            <family val="2"/>
          </rPr>
          <t>Faulty controller</t>
        </r>
      </text>
    </comment>
  </commentList>
</comments>
</file>

<file path=xl/sharedStrings.xml><?xml version="1.0" encoding="utf-8"?>
<sst xmlns="http://schemas.openxmlformats.org/spreadsheetml/2006/main" count="8761" uniqueCount="255">
  <si>
    <t>Switch Power &amp; Room temperature Log Sheet</t>
  </si>
  <si>
    <t>Zesco Load Details</t>
  </si>
  <si>
    <t>DG Load Details</t>
  </si>
  <si>
    <t>Ground Floor</t>
  </si>
  <si>
    <t>First Floor</t>
  </si>
  <si>
    <t>Second Floor</t>
  </si>
  <si>
    <t>Load On</t>
  </si>
  <si>
    <t>Shift Tech</t>
  </si>
  <si>
    <t>Inverter Readings</t>
  </si>
  <si>
    <t>Rectifier Readings</t>
  </si>
  <si>
    <t>Temperature in Centigrade</t>
  </si>
  <si>
    <t xml:space="preserve"> Condition</t>
  </si>
  <si>
    <t>Time</t>
  </si>
  <si>
    <t>Load On Grid in AMPs</t>
  </si>
  <si>
    <t>Grid Voltage Line to Line</t>
  </si>
  <si>
    <t>Grid Power Status ON/ OFF</t>
  </si>
  <si>
    <t>Grid Off Time</t>
  </si>
  <si>
    <t>Grid Restored Time</t>
  </si>
  <si>
    <t>Grid off Duration</t>
  </si>
  <si>
    <t>Load On DG in AMPs</t>
  </si>
  <si>
    <t>DG Voltage Line to Line</t>
  </si>
  <si>
    <t>DG-1 Run Hrs</t>
  </si>
  <si>
    <t>DG 1 Battery Voltage</t>
  </si>
  <si>
    <t>Charged Status (Color)</t>
  </si>
  <si>
    <t>DG-2 Run Hrs</t>
  </si>
  <si>
    <t>DG 2 Battery Voltage</t>
  </si>
  <si>
    <t>Used Percentage</t>
  </si>
  <si>
    <t>Room-1 Server &amp; IT</t>
  </si>
  <si>
    <t>Media Room</t>
  </si>
  <si>
    <t>Battery Room</t>
  </si>
  <si>
    <t>Room-1</t>
  </si>
  <si>
    <t>Room-2</t>
  </si>
  <si>
    <t>Work Station</t>
  </si>
  <si>
    <t>FM 200 Panel / WDS/Vesda  Status</t>
  </si>
  <si>
    <t>Date</t>
  </si>
  <si>
    <t>DAILY DIARY</t>
  </si>
  <si>
    <t>Observations &amp;Activities done on the duty</t>
  </si>
  <si>
    <t>Technician  signature</t>
  </si>
  <si>
    <t>Remarks</t>
  </si>
  <si>
    <t>Technician</t>
  </si>
  <si>
    <t>Time:</t>
  </si>
  <si>
    <t>B</t>
  </si>
  <si>
    <t>Y</t>
  </si>
  <si>
    <t>R</t>
  </si>
  <si>
    <t>Technician Name</t>
  </si>
  <si>
    <t>Panel Battery Voltage (V)</t>
  </si>
  <si>
    <t>Any loose Connection of batttery terminals (Yes/No)</t>
  </si>
  <si>
    <t>VESDA pipe (Ok/Not ok)</t>
  </si>
  <si>
    <t>Any alarm on FAS (Yes/No)</t>
  </si>
  <si>
    <t>FM nozle area clean (Yes/No)</t>
  </si>
  <si>
    <t>Smoke Detector Visible (Yes/No)</t>
  </si>
  <si>
    <t>Detectors LED Blinking (yes/No</t>
  </si>
  <si>
    <t>Gas Release panel (auto/manual)</t>
  </si>
  <si>
    <t>Location Name</t>
  </si>
  <si>
    <t>Daily FSS &amp; VESDA System Check</t>
  </si>
  <si>
    <t>Cyl-9</t>
  </si>
  <si>
    <t>Cyl-8</t>
  </si>
  <si>
    <t>Cyl-7</t>
  </si>
  <si>
    <t>Cyl-6</t>
  </si>
  <si>
    <t>Cyl-5</t>
  </si>
  <si>
    <t>Cyl-4</t>
  </si>
  <si>
    <t>Cyl-3</t>
  </si>
  <si>
    <t>Cyl-2</t>
  </si>
  <si>
    <t>Cyl-1</t>
  </si>
  <si>
    <t>Temp</t>
  </si>
  <si>
    <t>Hum</t>
  </si>
  <si>
    <t>DC Volatge</t>
  </si>
  <si>
    <t xml:space="preserve">Current </t>
  </si>
  <si>
    <t>Daily Inergen Gas Cylinder Check (Pressure Gauge)</t>
  </si>
  <si>
    <t>Cyl-10</t>
  </si>
  <si>
    <t>Cyl-11</t>
  </si>
  <si>
    <t>Cyl-12</t>
  </si>
  <si>
    <t>Cyl-13</t>
  </si>
  <si>
    <t>Cyl-14</t>
  </si>
  <si>
    <t>Cyl-15</t>
  </si>
  <si>
    <t>Cyl-16</t>
  </si>
  <si>
    <t>Cyl-17</t>
  </si>
  <si>
    <t>Cyl-18</t>
  </si>
  <si>
    <t>Cyl-19</t>
  </si>
  <si>
    <t>Cyl-20</t>
  </si>
  <si>
    <t>Cyl-21</t>
  </si>
  <si>
    <t>Cyl-22</t>
  </si>
  <si>
    <t>Cyl-23</t>
  </si>
  <si>
    <t>Cyl-24</t>
  </si>
  <si>
    <t>Cyl-25</t>
  </si>
  <si>
    <t>Cyl-26</t>
  </si>
  <si>
    <t>Cyl-27</t>
  </si>
  <si>
    <t>Cyl-28</t>
  </si>
  <si>
    <t>Cyl-29</t>
  </si>
  <si>
    <t>Cyl-30</t>
  </si>
  <si>
    <t>Cyl-31</t>
  </si>
  <si>
    <t>Cyl-32</t>
  </si>
  <si>
    <t>Cyl-33</t>
  </si>
  <si>
    <t>Cyl-34</t>
  </si>
  <si>
    <t>Cyl-35</t>
  </si>
  <si>
    <t>Cyl-36</t>
  </si>
  <si>
    <t>Cyl-37</t>
  </si>
  <si>
    <t>Cyl-38</t>
  </si>
  <si>
    <t>Cyl-39</t>
  </si>
  <si>
    <t>Cyl-40</t>
  </si>
  <si>
    <t>Cyl-41</t>
  </si>
  <si>
    <t>Cyl-42</t>
  </si>
  <si>
    <t>Cyl-43</t>
  </si>
  <si>
    <t>Cyl-44</t>
  </si>
  <si>
    <t>Cyl-45</t>
  </si>
  <si>
    <t>Cyl-46</t>
  </si>
  <si>
    <t>Cyl-47</t>
  </si>
  <si>
    <t>Cyl-48</t>
  </si>
  <si>
    <t>Cyl-49</t>
  </si>
  <si>
    <t>Cyl-50</t>
  </si>
  <si>
    <t>Cyl-51</t>
  </si>
  <si>
    <t>Cyl-52</t>
  </si>
  <si>
    <t>Cyl-53</t>
  </si>
  <si>
    <t>Cyl-54</t>
  </si>
  <si>
    <t>Cyl-55</t>
  </si>
  <si>
    <t>Cyl-56</t>
  </si>
  <si>
    <t>Cyl-57</t>
  </si>
  <si>
    <t>Cyl-58</t>
  </si>
  <si>
    <t>Cyl-59</t>
  </si>
  <si>
    <t>Cyl-60</t>
  </si>
  <si>
    <t>Cyl-61</t>
  </si>
  <si>
    <t>Cyl-62</t>
  </si>
  <si>
    <t>Cyl-63</t>
  </si>
  <si>
    <t>Cyl-64</t>
  </si>
  <si>
    <t>Cyl-65</t>
  </si>
  <si>
    <t>Cyl-66</t>
  </si>
  <si>
    <t>Cyl-67</t>
  </si>
  <si>
    <t>Ok</t>
  </si>
  <si>
    <t>Not Ok</t>
  </si>
  <si>
    <t xml:space="preserve">23 Gauges on OverCharged position &amp; 9 on Recharge position </t>
  </si>
  <si>
    <t>Inergen Pressure in green band (Yes/No)</t>
  </si>
  <si>
    <t>Swith Room</t>
  </si>
  <si>
    <t>Auto</t>
  </si>
  <si>
    <t>Yes</t>
  </si>
  <si>
    <t>No</t>
  </si>
  <si>
    <t>IBM Room</t>
  </si>
  <si>
    <t>Power Room</t>
  </si>
  <si>
    <t>Enterprise Room 1</t>
  </si>
  <si>
    <t>Enterprise Room 2</t>
  </si>
  <si>
    <t>Battery charge status</t>
  </si>
  <si>
    <t>Grid frequency</t>
  </si>
  <si>
    <t>HZ</t>
  </si>
  <si>
    <t>Site 1</t>
  </si>
  <si>
    <t>No: of Modules</t>
  </si>
  <si>
    <t>DC Load Current</t>
  </si>
  <si>
    <t>DC Voltage</t>
  </si>
  <si>
    <t>Input Voltage</t>
  </si>
  <si>
    <t>Bank Capacity</t>
  </si>
  <si>
    <t>Model</t>
  </si>
  <si>
    <t>Make</t>
  </si>
  <si>
    <t>Plant</t>
  </si>
  <si>
    <t>Location</t>
  </si>
  <si>
    <t>FF-Room 2</t>
  </si>
  <si>
    <t>FF-Room 1</t>
  </si>
  <si>
    <t>GF-Media Room</t>
  </si>
  <si>
    <t>GF-Room 1</t>
  </si>
  <si>
    <t>Hourly Room Temperature Check</t>
  </si>
  <si>
    <t xml:space="preserve">Battery charge status </t>
  </si>
  <si>
    <t>Daily Temperature Trend</t>
  </si>
  <si>
    <t>Average Temperature</t>
  </si>
  <si>
    <t>Average Humidity</t>
  </si>
  <si>
    <t>Maximum Temperature</t>
  </si>
  <si>
    <t>Minimum Temperature</t>
  </si>
  <si>
    <t>Maximum Humidity</t>
  </si>
  <si>
    <t>Minimum Humidity</t>
  </si>
  <si>
    <t>Daily PUE Trend</t>
  </si>
  <si>
    <t>Average PUE</t>
  </si>
  <si>
    <t>Maximum PUE</t>
  </si>
  <si>
    <t>Average</t>
  </si>
  <si>
    <t>Max</t>
  </si>
  <si>
    <t>Avg</t>
  </si>
  <si>
    <t>Site Load
 ( ZESCO Or Generator) in kw</t>
  </si>
  <si>
    <t>Average Site Load in kw</t>
  </si>
  <si>
    <t>Maximum IT Load in kw</t>
  </si>
  <si>
    <t>Average IT Load in kw</t>
  </si>
  <si>
    <t>Maximum Site Load in kw</t>
  </si>
  <si>
    <t>Engineer signature</t>
  </si>
  <si>
    <t>Output Load KW</t>
  </si>
  <si>
    <t>Used Capacity</t>
  </si>
  <si>
    <t>Battery Charge %</t>
  </si>
  <si>
    <t>Output Voltage-A ( V)</t>
  </si>
  <si>
    <t>Output Voltage-B ( V)</t>
  </si>
  <si>
    <t>Output Voltage-C ( V)</t>
  </si>
  <si>
    <t>UPS1-POWER PLANT ROOM-1</t>
  </si>
  <si>
    <t>UPS2-POWER PLANT ROOM-2</t>
  </si>
  <si>
    <t>Power Room-2</t>
  </si>
  <si>
    <t>Power Room-1</t>
  </si>
  <si>
    <t>Load Current-A ( A)</t>
  </si>
  <si>
    <t>Rectifier 1 - Voltage / Amps</t>
  </si>
  <si>
    <t>Load Current-B ( A)</t>
  </si>
  <si>
    <t>Load Current-C ( A)</t>
  </si>
  <si>
    <t>Rectifier 2 - Voltage / Amps</t>
  </si>
  <si>
    <t>Rectifier 1</t>
  </si>
  <si>
    <t>Rectifier 2</t>
  </si>
  <si>
    <t>VERTIV</t>
  </si>
  <si>
    <t>2400AH</t>
  </si>
  <si>
    <t>RECTIFIER1 BB1 Charging</t>
  </si>
  <si>
    <t>RECTIFIER2 BB2 Charging</t>
  </si>
  <si>
    <t>GF-Power Room 1</t>
  </si>
  <si>
    <t>GF-Power Room 2</t>
  </si>
  <si>
    <t>Daily Check List For RECTIFIERS</t>
  </si>
  <si>
    <t>Daily Check List For UPS</t>
  </si>
  <si>
    <t>UPS 1</t>
  </si>
  <si>
    <t>UPS 2</t>
  </si>
  <si>
    <t>Output Voltage</t>
  </si>
  <si>
    <t>RN</t>
  </si>
  <si>
    <t>YN</t>
  </si>
  <si>
    <t>BN</t>
  </si>
  <si>
    <t>Output Load %</t>
  </si>
  <si>
    <t>KVA</t>
  </si>
  <si>
    <t>UPS Battery Voltage</t>
  </si>
  <si>
    <t>Output Load Current</t>
  </si>
  <si>
    <t>UPS Battery Charging %</t>
  </si>
  <si>
    <t>Battery Voltage (V)</t>
  </si>
  <si>
    <t>Load Phase -A %</t>
  </si>
  <si>
    <t>Load Phase -B %</t>
  </si>
  <si>
    <t>Load Phase -C %</t>
  </si>
  <si>
    <t>200 AH</t>
  </si>
  <si>
    <t>EXM 0200kTG16FN02000</t>
  </si>
  <si>
    <t>UPS:</t>
  </si>
  <si>
    <t>Rectifier:</t>
  </si>
  <si>
    <t>Maximum</t>
  </si>
  <si>
    <t>Max (KW)</t>
  </si>
  <si>
    <t>Average (KW)</t>
  </si>
  <si>
    <t>UPS Load</t>
  </si>
  <si>
    <t>Rectifier Load</t>
  </si>
  <si>
    <t>NETSURE 7100 ID2H4 48 5000Amp</t>
  </si>
  <si>
    <t>NORMAL</t>
  </si>
  <si>
    <t>Green</t>
  </si>
  <si>
    <t xml:space="preserve">  </t>
  </si>
  <si>
    <t>DG-4 Run Hrs</t>
  </si>
  <si>
    <t>DG 4 Battery Voltage</t>
  </si>
  <si>
    <t>DG-3 Run Hrs</t>
  </si>
  <si>
    <t>DG 3 Battery Voltage</t>
  </si>
  <si>
    <t>ON</t>
  </si>
  <si>
    <t>OK</t>
  </si>
  <si>
    <t>PETER</t>
  </si>
  <si>
    <t>CHOMBA</t>
  </si>
  <si>
    <t>JHJNJ</t>
  </si>
  <si>
    <t>9 TILE FIXER</t>
  </si>
  <si>
    <t>5 PACK OF CEMENT</t>
  </si>
  <si>
    <t>LABOUR</t>
  </si>
  <si>
    <t>CEMENT</t>
  </si>
  <si>
    <t>6 TILE FIXER</t>
  </si>
  <si>
    <t>EACH</t>
  </si>
  <si>
    <t>UKULINNGANYA FLOUR</t>
  </si>
  <si>
    <t>Server Room</t>
  </si>
  <si>
    <t>Data Room</t>
  </si>
  <si>
    <t>Power Room 1</t>
  </si>
  <si>
    <t>Power Room 2</t>
  </si>
  <si>
    <t>IT Room 1</t>
  </si>
  <si>
    <t>IT Room2</t>
  </si>
  <si>
    <t>Zesco Load Room</t>
  </si>
  <si>
    <t>LE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</si>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</sst>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K&quot;#,##0;[Red]\-&quot;K&quot;#,##0"/>
    <numFmt numFmtId="165" formatCode="h:mm;@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1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7DEE8"/>
      </patternFill>
    </fill>
    <fill>
      <patternFill patternType="solid">
        <fgColor rgb="FF93CDDD"/>
      </patternFill>
    </fill>
    <fill>
      <patternFill patternType="solid">
        <fgColor rgb="FFB9CDE5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1" fillId="8" borderId="0" xfId="0" applyFont="1" applyFill="1"/>
    <xf numFmtId="0" fontId="6" fillId="0" borderId="0" xfId="0" applyFont="1"/>
    <xf numFmtId="0" fontId="8" fillId="9" borderId="27" xfId="0" applyFont="1" applyFill="1" applyBorder="1"/>
    <xf numFmtId="0" fontId="9" fillId="10" borderId="31" xfId="0" applyFont="1" applyFill="1" applyBorder="1"/>
    <xf numFmtId="0" fontId="8" fillId="11" borderId="31" xfId="0" applyFont="1" applyFill="1" applyBorder="1"/>
    <xf numFmtId="0" fontId="8" fillId="11" borderId="13" xfId="0" applyFont="1" applyFill="1" applyBorder="1"/>
    <xf numFmtId="0" fontId="8" fillId="12" borderId="13" xfId="0" applyFont="1" applyFill="1" applyBorder="1"/>
    <xf numFmtId="20" fontId="9" fillId="10" borderId="6" xfId="0" applyNumberFormat="1" applyFont="1" applyFill="1" applyBorder="1"/>
    <xf numFmtId="0" fontId="7" fillId="0" borderId="6" xfId="0" applyFont="1" applyBorder="1"/>
    <xf numFmtId="20" fontId="9" fillId="10" borderId="33" xfId="0" applyNumberFormat="1" applyFont="1" applyFill="1" applyBorder="1"/>
    <xf numFmtId="0" fontId="7" fillId="0" borderId="33" xfId="0" applyFont="1" applyBorder="1"/>
    <xf numFmtId="0" fontId="9" fillId="10" borderId="33" xfId="0" applyFont="1" applyFill="1" applyBorder="1"/>
    <xf numFmtId="0" fontId="10" fillId="8" borderId="0" xfId="0" applyFont="1" applyFill="1"/>
    <xf numFmtId="0" fontId="8" fillId="13" borderId="20" xfId="0" applyFont="1" applyFill="1" applyBorder="1" applyAlignment="1">
      <alignment wrapText="1"/>
    </xf>
    <xf numFmtId="0" fontId="8" fillId="13" borderId="21" xfId="0" applyFont="1" applyFill="1" applyBorder="1" applyAlignment="1">
      <alignment wrapText="1"/>
    </xf>
    <xf numFmtId="0" fontId="8" fillId="13" borderId="19" xfId="0" applyFont="1" applyFill="1" applyBorder="1" applyAlignment="1">
      <alignment wrapText="1"/>
    </xf>
    <xf numFmtId="0" fontId="7" fillId="0" borderId="33" xfId="0" applyFont="1" applyBorder="1" applyAlignment="1">
      <alignment horizontal="center" vertical="center"/>
    </xf>
    <xf numFmtId="0" fontId="8" fillId="13" borderId="22" xfId="0" applyFont="1" applyFill="1" applyBorder="1" applyAlignment="1">
      <alignment wrapText="1"/>
    </xf>
    <xf numFmtId="0" fontId="8" fillId="13" borderId="29" xfId="0" applyFont="1" applyFill="1" applyBorder="1" applyAlignment="1">
      <alignment wrapText="1"/>
    </xf>
    <xf numFmtId="0" fontId="8" fillId="13" borderId="13" xfId="0" applyFont="1" applyFill="1" applyBorder="1" applyAlignment="1">
      <alignment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3" fillId="4" borderId="12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vertical="center" wrapText="1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3" fillId="5" borderId="30" xfId="0" applyFont="1" applyFill="1" applyBorder="1" applyAlignment="1" applyProtection="1">
      <alignment horizontal="center" textRotation="90" wrapText="1"/>
      <protection locked="0"/>
    </xf>
    <xf numFmtId="0" fontId="3" fillId="5" borderId="3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 applyProtection="1">
      <alignment horizontal="center" vertical="center" textRotation="90" wrapText="1"/>
      <protection locked="0"/>
    </xf>
    <xf numFmtId="0" fontId="3" fillId="5" borderId="6" xfId="0" applyFont="1" applyFill="1" applyBorder="1" applyAlignment="1" applyProtection="1">
      <alignment horizontal="center" vertical="center" wrapText="1"/>
      <protection locked="0"/>
    </xf>
    <xf numFmtId="0" fontId="3" fillId="5" borderId="10" xfId="0" applyFont="1" applyFill="1" applyBorder="1" applyAlignment="1" applyProtection="1">
      <alignment horizontal="center" vertical="center" wrapText="1"/>
      <protection locked="0"/>
    </xf>
    <xf numFmtId="20" fontId="0" fillId="0" borderId="3" xfId="0" applyNumberForma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165" fontId="0" fillId="0" borderId="3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25" borderId="3" xfId="0" applyFont="1" applyFill="1" applyBorder="1" applyProtection="1">
      <protection locked="0"/>
    </xf>
    <xf numFmtId="0" fontId="1" fillId="25" borderId="3" xfId="0" applyFont="1" applyFill="1" applyBorder="1" applyAlignment="1" applyProtection="1">
      <alignment horizontal="center"/>
      <protection locked="0"/>
    </xf>
    <xf numFmtId="15" fontId="0" fillId="0" borderId="3" xfId="0" applyNumberFormat="1" applyBorder="1" applyAlignment="1" applyProtection="1">
      <alignment horizontal="center" vertical="center" wrapText="1"/>
      <protection locked="0"/>
    </xf>
    <xf numFmtId="20" fontId="2" fillId="0" borderId="3" xfId="0" applyNumberFormat="1" applyFont="1" applyBorder="1" applyAlignment="1" applyProtection="1">
      <alignment horizontal="center" vertical="center" wrapText="1"/>
      <protection locked="0"/>
    </xf>
    <xf numFmtId="166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 applyProtection="1">
      <alignment vertical="center"/>
      <protection locked="0"/>
    </xf>
    <xf numFmtId="0" fontId="1" fillId="16" borderId="35" xfId="0" applyFont="1" applyFill="1" applyBorder="1" applyAlignment="1" applyProtection="1">
      <alignment vertical="center"/>
      <protection locked="0"/>
    </xf>
    <xf numFmtId="0" fontId="1" fillId="19" borderId="29" xfId="0" applyFont="1" applyFill="1" applyBorder="1" applyAlignment="1" applyProtection="1">
      <alignment horizontal="center" vertical="center"/>
      <protection locked="0"/>
    </xf>
    <xf numFmtId="0" fontId="1" fillId="16" borderId="27" xfId="0" applyFont="1" applyFill="1" applyBorder="1" applyAlignment="1" applyProtection="1">
      <alignment vertical="center"/>
      <protection locked="0"/>
    </xf>
    <xf numFmtId="0" fontId="14" fillId="17" borderId="35" xfId="0" applyFont="1" applyFill="1" applyBorder="1" applyAlignment="1" applyProtection="1">
      <alignment horizontal="left" vertical="center"/>
      <protection locked="0"/>
    </xf>
    <xf numFmtId="0" fontId="13" fillId="0" borderId="0" xfId="0" applyFont="1" applyProtection="1">
      <protection locked="0"/>
    </xf>
    <xf numFmtId="0" fontId="14" fillId="0" borderId="3" xfId="0" applyFont="1" applyBorder="1" applyAlignment="1" applyProtection="1">
      <alignment horizontal="left" vertical="center"/>
      <protection locked="0"/>
    </xf>
    <xf numFmtId="15" fontId="13" fillId="6" borderId="3" xfId="0" applyNumberFormat="1" applyFont="1" applyFill="1" applyBorder="1" applyAlignment="1" applyProtection="1">
      <alignment horizontal="center" vertical="center"/>
      <protection locked="0"/>
    </xf>
    <xf numFmtId="0" fontId="13" fillId="6" borderId="3" xfId="0" applyFont="1" applyFill="1" applyBorder="1" applyAlignment="1" applyProtection="1">
      <alignment vertical="center"/>
      <protection locked="0"/>
    </xf>
    <xf numFmtId="0" fontId="0" fillId="0" borderId="3" xfId="0" applyBorder="1" applyProtection="1">
      <protection locked="0"/>
    </xf>
    <xf numFmtId="0" fontId="0" fillId="0" borderId="0" xfId="0" quotePrefix="1" applyProtection="1">
      <protection locked="0"/>
    </xf>
    <xf numFmtId="0" fontId="14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2" fillId="8" borderId="0" xfId="0" applyFont="1" applyFill="1" applyProtection="1">
      <protection locked="0"/>
    </xf>
    <xf numFmtId="0" fontId="8" fillId="15" borderId="3" xfId="0" applyFont="1" applyFill="1" applyBorder="1" applyAlignment="1" applyProtection="1">
      <alignment horizontal="center" vertical="center"/>
      <protection locked="0"/>
    </xf>
    <xf numFmtId="20" fontId="7" fillId="0" borderId="33" xfId="0" applyNumberFormat="1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8" fillId="15" borderId="10" xfId="0" applyFont="1" applyFill="1" applyBorder="1" applyAlignment="1" applyProtection="1">
      <alignment horizontal="center" vertical="center"/>
      <protection locked="0"/>
    </xf>
    <xf numFmtId="1" fontId="0" fillId="0" borderId="3" xfId="0" applyNumberFormat="1" applyBorder="1" applyAlignment="1">
      <alignment horizontal="center"/>
    </xf>
    <xf numFmtId="1" fontId="0" fillId="0" borderId="3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 applyProtection="1">
      <alignment horizontal="center"/>
      <protection locked="0"/>
    </xf>
    <xf numFmtId="0" fontId="1" fillId="21" borderId="3" xfId="0" applyFont="1" applyFill="1" applyBorder="1" applyAlignment="1" applyProtection="1">
      <alignment horizontal="center" vertical="center"/>
      <protection locked="0"/>
    </xf>
    <xf numFmtId="0" fontId="1" fillId="21" borderId="3" xfId="0" applyFont="1" applyFill="1" applyBorder="1" applyAlignment="1" applyProtection="1">
      <alignment horizontal="center" vertical="center" wrapText="1"/>
      <protection locked="0"/>
    </xf>
    <xf numFmtId="15" fontId="0" fillId="2" borderId="3" xfId="0" applyNumberFormat="1" applyFill="1" applyBorder="1" applyProtection="1">
      <protection locked="0"/>
    </xf>
    <xf numFmtId="166" fontId="0" fillId="2" borderId="3" xfId="0" applyNumberFormat="1" applyFill="1" applyBorder="1" applyAlignment="1">
      <alignment horizontal="center"/>
    </xf>
    <xf numFmtId="166" fontId="0" fillId="22" borderId="3" xfId="0" applyNumberFormat="1" applyFill="1" applyBorder="1" applyAlignment="1">
      <alignment horizontal="center"/>
    </xf>
    <xf numFmtId="15" fontId="0" fillId="22" borderId="3" xfId="0" applyNumberFormat="1" applyFill="1" applyBorder="1"/>
    <xf numFmtId="2" fontId="0" fillId="0" borderId="3" xfId="0" applyNumberFormat="1" applyBorder="1" applyAlignment="1">
      <alignment horizontal="center"/>
    </xf>
    <xf numFmtId="0" fontId="1" fillId="0" borderId="0" xfId="0" applyFont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1" fontId="0" fillId="0" borderId="3" xfId="0" applyNumberForma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20" fontId="0" fillId="0" borderId="10" xfId="0" applyNumberFormat="1" applyBorder="1" applyAlignment="1" applyProtection="1">
      <alignment horizontal="center" vertical="center" wrapText="1"/>
      <protection locked="0"/>
    </xf>
    <xf numFmtId="1" fontId="0" fillId="0" borderId="10" xfId="0" applyNumberFormat="1" applyBorder="1" applyAlignment="1" applyProtection="1">
      <alignment horizontal="center" vertical="center" wrapText="1"/>
      <protection locked="0"/>
    </xf>
    <xf numFmtId="2" fontId="2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0" fillId="6" borderId="3" xfId="0" applyFill="1" applyBorder="1" applyAlignment="1" applyProtection="1">
      <alignment horizontal="center" vertical="top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>
      <alignment horizontal="center" vertical="center" wrapText="1"/>
    </xf>
    <xf numFmtId="1" fontId="0" fillId="0" borderId="0" xfId="0" applyNumberFormat="1"/>
    <xf numFmtId="166" fontId="0" fillId="0" borderId="0" xfId="0" applyNumberFormat="1" applyProtection="1">
      <protection locked="0"/>
    </xf>
    <xf numFmtId="0" fontId="0" fillId="0" borderId="52" xfId="0" applyBorder="1" applyAlignment="1" applyProtection="1">
      <alignment horizontal="center" vertical="center" wrapText="1"/>
      <protection locked="0"/>
    </xf>
    <xf numFmtId="0" fontId="0" fillId="0" borderId="53" xfId="0" applyBorder="1" applyAlignment="1" applyProtection="1">
      <alignment horizontal="center" vertical="center" wrapText="1"/>
      <protection locked="0"/>
    </xf>
    <xf numFmtId="0" fontId="0" fillId="0" borderId="54" xfId="0" applyBorder="1" applyAlignment="1" applyProtection="1">
      <alignment horizontal="center" vertical="center" wrapText="1"/>
      <protection locked="0"/>
    </xf>
    <xf numFmtId="0" fontId="0" fillId="0" borderId="55" xfId="0" applyBorder="1" applyAlignment="1" applyProtection="1">
      <alignment horizontal="center" vertical="center" wrapText="1"/>
      <protection locked="0"/>
    </xf>
    <xf numFmtId="20" fontId="0" fillId="0" borderId="53" xfId="0" applyNumberFormat="1" applyBorder="1" applyAlignment="1" applyProtection="1">
      <alignment horizontal="center" vertical="center" wrapText="1"/>
      <protection locked="0"/>
    </xf>
    <xf numFmtId="20" fontId="0" fillId="0" borderId="55" xfId="0" applyNumberFormat="1" applyBorder="1" applyAlignment="1" applyProtection="1">
      <alignment horizontal="center" vertical="center" wrapText="1"/>
      <protection locked="0"/>
    </xf>
    <xf numFmtId="0" fontId="3" fillId="5" borderId="8" xfId="0" applyFont="1" applyFill="1" applyBorder="1" applyAlignment="1" applyProtection="1">
      <alignment horizontal="center" vertical="center" textRotation="90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20" fontId="0" fillId="0" borderId="8" xfId="0" applyNumberForma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20" fontId="0" fillId="0" borderId="9" xfId="0" applyNumberFormat="1" applyBorder="1" applyAlignment="1" applyProtection="1">
      <alignment horizontal="center" vertical="center" wrapText="1"/>
      <protection locked="0"/>
    </xf>
    <xf numFmtId="1" fontId="0" fillId="0" borderId="9" xfId="0" applyNumberFormat="1" applyBorder="1" applyAlignment="1" applyProtection="1">
      <alignment horizontal="center" vertical="center" wrapText="1"/>
      <protection locked="0"/>
    </xf>
    <xf numFmtId="2" fontId="2" fillId="0" borderId="8" xfId="0" applyNumberFormat="1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>
      <alignment horizontal="center" vertical="center" wrapText="1"/>
    </xf>
    <xf numFmtId="0" fontId="0" fillId="6" borderId="8" xfId="0" applyFill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1" fontId="0" fillId="0" borderId="3" xfId="0" applyNumberFormat="1" applyBorder="1" applyAlignment="1" applyProtection="1">
      <alignment horizontal="center" vertical="center" wrapText="1"/>
      <protection locked="0"/>
    </xf>
    <xf numFmtId="20" fontId="0" fillId="0" borderId="4" xfId="0" applyNumberFormat="1" applyBorder="1" applyAlignment="1" applyProtection="1">
      <alignment horizontal="center" vertical="center" wrapText="1"/>
      <protection locked="0"/>
    </xf>
    <xf numFmtId="165" fontId="0" fillId="0" borderId="4" xfId="0" applyNumberFormat="1" applyBorder="1" applyAlignment="1" applyProtection="1">
      <alignment horizontal="center" vertical="center" wrapText="1"/>
      <protection locked="0"/>
    </xf>
    <xf numFmtId="0" fontId="3" fillId="5" borderId="8" xfId="0" applyFont="1" applyFill="1" applyBorder="1" applyAlignment="1" applyProtection="1">
      <alignment horizontal="center" vertical="center" wrapText="1"/>
      <protection locked="0"/>
    </xf>
    <xf numFmtId="0" fontId="3" fillId="5" borderId="30" xfId="0" applyFont="1" applyFill="1" applyBorder="1" applyAlignment="1" applyProtection="1">
      <alignment horizontal="center" vertical="center" wrapText="1"/>
      <protection locked="0"/>
    </xf>
    <xf numFmtId="0" fontId="3" fillId="5" borderId="9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Protection="1">
      <protection locked="0"/>
    </xf>
    <xf numFmtId="164" fontId="1" fillId="0" borderId="0" xfId="0" applyNumberFormat="1" applyFont="1" applyProtection="1">
      <protection locked="0"/>
    </xf>
    <xf numFmtId="0" fontId="3" fillId="5" borderId="8" xfId="0" applyFont="1" applyFill="1" applyBorder="1" applyAlignment="1" applyProtection="1">
      <alignment horizontal="center" vertical="center" textRotation="90" wrapText="1"/>
      <protection locked="0"/>
    </xf>
    <xf numFmtId="15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7" borderId="16" xfId="0" applyFont="1" applyFill="1" applyBorder="1"/>
    <xf numFmtId="0" fontId="10" fillId="7" borderId="17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15" fontId="7" fillId="0" borderId="8" xfId="0" applyNumberFormat="1" applyFont="1" applyBorder="1"/>
    <xf numFmtId="15" fontId="7" fillId="0" borderId="9" xfId="0" applyNumberFormat="1" applyFont="1" applyBorder="1"/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0" fillId="7" borderId="32" xfId="0" applyFont="1" applyFill="1" applyBorder="1"/>
    <xf numFmtId="0" fontId="10" fillId="7" borderId="21" xfId="0" applyFont="1" applyFill="1" applyBorder="1"/>
    <xf numFmtId="0" fontId="3" fillId="4" borderId="11" xfId="0" applyFont="1" applyFill="1" applyBorder="1" applyAlignment="1" applyProtection="1">
      <alignment horizontal="center" vertical="center" wrapText="1"/>
      <protection locked="0"/>
    </xf>
    <xf numFmtId="0" fontId="3" fillId="4" borderId="12" xfId="0" applyFont="1" applyFill="1" applyBorder="1" applyAlignment="1" applyProtection="1">
      <alignment horizontal="center" vertical="center" wrapText="1"/>
      <protection locked="0"/>
    </xf>
    <xf numFmtId="0" fontId="3" fillId="4" borderId="13" xfId="0" applyFont="1" applyFill="1" applyBorder="1" applyAlignment="1" applyProtection="1">
      <alignment horizontal="center" vertical="center" wrapText="1"/>
      <protection locked="0"/>
    </xf>
    <xf numFmtId="0" fontId="3" fillId="4" borderId="14" xfId="0" applyFont="1" applyFill="1" applyBorder="1" applyAlignment="1" applyProtection="1">
      <alignment horizontal="center" vertical="center" wrapText="1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3" fillId="4" borderId="15" xfId="0" applyFont="1" applyFill="1" applyBorder="1" applyAlignment="1" applyProtection="1">
      <alignment horizontal="center" vertical="center" wrapText="1"/>
      <protection locked="0"/>
    </xf>
    <xf numFmtId="0" fontId="3" fillId="5" borderId="8" xfId="0" applyFont="1" applyFill="1" applyBorder="1" applyAlignment="1" applyProtection="1">
      <alignment horizontal="center" textRotation="90" wrapText="1"/>
      <protection locked="0"/>
    </xf>
    <xf numFmtId="0" fontId="3" fillId="5" borderId="10" xfId="0" applyFont="1" applyFill="1" applyBorder="1" applyAlignment="1" applyProtection="1">
      <alignment horizontal="center" textRotation="90" wrapText="1"/>
      <protection locked="0"/>
    </xf>
    <xf numFmtId="0" fontId="3" fillId="5" borderId="4" xfId="0" applyFont="1" applyFill="1" applyBorder="1" applyAlignment="1" applyProtection="1">
      <alignment horizontal="center" textRotation="90" wrapText="1"/>
      <protection locked="0"/>
    </xf>
    <xf numFmtId="0" fontId="3" fillId="5" borderId="5" xfId="0" applyFont="1" applyFill="1" applyBorder="1" applyAlignment="1" applyProtection="1">
      <alignment horizontal="center" textRotation="90" wrapText="1"/>
      <protection locked="0"/>
    </xf>
    <xf numFmtId="0" fontId="3" fillId="5" borderId="6" xfId="0" applyFont="1" applyFill="1" applyBorder="1" applyAlignment="1" applyProtection="1">
      <alignment horizontal="center" textRotation="90" wrapText="1"/>
      <protection locked="0"/>
    </xf>
    <xf numFmtId="0" fontId="3" fillId="5" borderId="30" xfId="0" applyFont="1" applyFill="1" applyBorder="1" applyAlignment="1" applyProtection="1">
      <alignment horizontal="center" textRotation="90" wrapText="1"/>
      <protection locked="0"/>
    </xf>
    <xf numFmtId="0" fontId="3" fillId="5" borderId="33" xfId="0" applyFont="1" applyFill="1" applyBorder="1" applyAlignment="1" applyProtection="1">
      <alignment horizontal="center" textRotation="90" wrapText="1"/>
      <protection locked="0"/>
    </xf>
    <xf numFmtId="0" fontId="3" fillId="5" borderId="36" xfId="0" applyFont="1" applyFill="1" applyBorder="1" applyAlignment="1" applyProtection="1">
      <alignment horizontal="center" textRotation="90" wrapText="1"/>
      <protection locked="0"/>
    </xf>
    <xf numFmtId="0" fontId="3" fillId="5" borderId="29" xfId="0" applyFont="1" applyFill="1" applyBorder="1" applyAlignment="1" applyProtection="1">
      <alignment horizontal="center" textRotation="90" wrapText="1"/>
      <protection locked="0"/>
    </xf>
    <xf numFmtId="0" fontId="3" fillId="5" borderId="28" xfId="0" applyFont="1" applyFill="1" applyBorder="1" applyAlignment="1" applyProtection="1">
      <alignment horizontal="center" textRotation="90" wrapText="1"/>
      <protection locked="0"/>
    </xf>
    <xf numFmtId="0" fontId="3" fillId="5" borderId="19" xfId="0" applyFont="1" applyFill="1" applyBorder="1" applyAlignment="1" applyProtection="1">
      <alignment horizontal="center" textRotation="90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1" fillId="24" borderId="4" xfId="0" applyFont="1" applyFill="1" applyBorder="1" applyAlignment="1" applyProtection="1">
      <alignment horizontal="center"/>
      <protection locked="0"/>
    </xf>
    <xf numFmtId="0" fontId="1" fillId="24" borderId="5" xfId="0" applyFont="1" applyFill="1" applyBorder="1" applyAlignment="1" applyProtection="1">
      <alignment horizontal="center"/>
      <protection locked="0"/>
    </xf>
    <xf numFmtId="0" fontId="1" fillId="24" borderId="6" xfId="0" applyFont="1" applyFill="1" applyBorder="1" applyAlignment="1" applyProtection="1">
      <alignment horizontal="center"/>
      <protection locked="0"/>
    </xf>
    <xf numFmtId="0" fontId="1" fillId="25" borderId="49" xfId="0" applyFont="1" applyFill="1" applyBorder="1" applyAlignment="1" applyProtection="1">
      <alignment horizontal="center"/>
      <protection locked="0"/>
    </xf>
    <xf numFmtId="0" fontId="1" fillId="25" borderId="50" xfId="0" applyFont="1" applyFill="1" applyBorder="1" applyAlignment="1" applyProtection="1">
      <alignment horizontal="center"/>
      <protection locked="0"/>
    </xf>
    <xf numFmtId="0" fontId="1" fillId="25" borderId="51" xfId="0" applyFont="1" applyFill="1" applyBorder="1" applyAlignment="1" applyProtection="1">
      <alignment horizontal="center"/>
      <protection locked="0"/>
    </xf>
    <xf numFmtId="20" fontId="0" fillId="0" borderId="46" xfId="0" applyNumberFormat="1" applyBorder="1" applyAlignment="1" applyProtection="1">
      <alignment wrapText="1"/>
      <protection locked="0"/>
    </xf>
    <xf numFmtId="20" fontId="0" fillId="0" borderId="47" xfId="0" applyNumberFormat="1" applyBorder="1" applyAlignment="1" applyProtection="1">
      <alignment wrapText="1"/>
      <protection locked="0"/>
    </xf>
    <xf numFmtId="20" fontId="0" fillId="0" borderId="48" xfId="0" applyNumberFormat="1" applyBorder="1" applyAlignment="1" applyProtection="1">
      <alignment wrapText="1"/>
      <protection locked="0"/>
    </xf>
    <xf numFmtId="20" fontId="0" fillId="0" borderId="4" xfId="0" applyNumberFormat="1" applyBorder="1" applyAlignment="1" applyProtection="1">
      <alignment wrapText="1"/>
      <protection locked="0"/>
    </xf>
    <xf numFmtId="20" fontId="0" fillId="0" borderId="5" xfId="0" applyNumberFormat="1" applyBorder="1" applyAlignment="1" applyProtection="1">
      <alignment wrapText="1"/>
      <protection locked="0"/>
    </xf>
    <xf numFmtId="20" fontId="0" fillId="0" borderId="6" xfId="0" applyNumberFormat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15" fontId="0" fillId="3" borderId="4" xfId="0" applyNumberFormat="1" applyFill="1" applyBorder="1" applyAlignment="1" applyProtection="1">
      <alignment horizontal="center" wrapText="1"/>
      <protection locked="0"/>
    </xf>
    <xf numFmtId="15" fontId="0" fillId="3" borderId="5" xfId="0" applyNumberFormat="1" applyFill="1" applyBorder="1" applyAlignment="1" applyProtection="1">
      <alignment horizontal="center" wrapText="1"/>
      <protection locked="0"/>
    </xf>
    <xf numFmtId="15" fontId="0" fillId="3" borderId="6" xfId="0" applyNumberFormat="1" applyFill="1" applyBorder="1" applyAlignment="1" applyProtection="1">
      <alignment horizontal="center" wrapText="1"/>
      <protection locked="0"/>
    </xf>
    <xf numFmtId="0" fontId="3" fillId="4" borderId="32" xfId="0" applyFont="1" applyFill="1" applyBorder="1" applyAlignment="1" applyProtection="1">
      <alignment horizontal="center" vertical="center" wrapText="1"/>
      <protection locked="0"/>
    </xf>
    <xf numFmtId="0" fontId="3" fillId="4" borderId="21" xfId="0" applyFont="1" applyFill="1" applyBorder="1" applyAlignment="1" applyProtection="1">
      <alignment horizontal="center" vertical="center" wrapText="1"/>
      <protection locked="0"/>
    </xf>
    <xf numFmtId="0" fontId="3" fillId="4" borderId="43" xfId="0" applyFont="1" applyFill="1" applyBorder="1" applyAlignment="1" applyProtection="1">
      <alignment horizontal="center" vertical="center" wrapText="1"/>
      <protection locked="0"/>
    </xf>
    <xf numFmtId="0" fontId="3" fillId="4" borderId="40" xfId="0" applyFont="1" applyFill="1" applyBorder="1" applyAlignment="1" applyProtection="1">
      <alignment horizontal="center" vertical="center" wrapText="1"/>
      <protection locked="0"/>
    </xf>
    <xf numFmtId="0" fontId="3" fillId="4" borderId="41" xfId="0" applyFont="1" applyFill="1" applyBorder="1" applyAlignment="1" applyProtection="1">
      <alignment horizontal="center" vertical="center" wrapText="1"/>
      <protection locked="0"/>
    </xf>
    <xf numFmtId="0" fontId="3" fillId="4" borderId="42" xfId="0" applyFont="1" applyFill="1" applyBorder="1" applyAlignment="1" applyProtection="1">
      <alignment horizontal="center" vertical="center" wrapText="1"/>
      <protection locked="0"/>
    </xf>
    <xf numFmtId="0" fontId="3" fillId="5" borderId="8" xfId="0" applyFont="1" applyFill="1" applyBorder="1" applyAlignment="1" applyProtection="1">
      <alignment horizontal="center" vertical="center" textRotation="90" wrapText="1"/>
      <protection locked="0"/>
    </xf>
    <xf numFmtId="0" fontId="3" fillId="5" borderId="9" xfId="0" applyFont="1" applyFill="1" applyBorder="1" applyAlignment="1" applyProtection="1">
      <alignment horizontal="center" vertical="center" textRotation="90" wrapText="1"/>
      <protection locked="0"/>
    </xf>
    <xf numFmtId="0" fontId="3" fillId="5" borderId="10" xfId="0" applyFont="1" applyFill="1" applyBorder="1" applyAlignment="1" applyProtection="1">
      <alignment horizontal="center" vertical="center" textRotation="90" wrapText="1"/>
      <protection locked="0"/>
    </xf>
    <xf numFmtId="0" fontId="3" fillId="5" borderId="34" xfId="0" applyFont="1" applyFill="1" applyBorder="1" applyAlignment="1" applyProtection="1">
      <alignment horizontal="center" vertical="center" textRotation="90" wrapText="1"/>
      <protection locked="0"/>
    </xf>
    <xf numFmtId="0" fontId="3" fillId="5" borderId="1" xfId="0" applyFont="1" applyFill="1" applyBorder="1" applyAlignment="1" applyProtection="1">
      <alignment horizontal="center" vertical="center" textRotation="90" wrapText="1"/>
      <protection locked="0"/>
    </xf>
    <xf numFmtId="0" fontId="3" fillId="5" borderId="26" xfId="0" applyFont="1" applyFill="1" applyBorder="1" applyAlignment="1" applyProtection="1">
      <alignment horizontal="center" vertical="center" textRotation="90" wrapText="1"/>
      <protection locked="0"/>
    </xf>
    <xf numFmtId="0" fontId="3" fillId="4" borderId="23" xfId="0" applyFont="1" applyFill="1" applyBorder="1" applyAlignment="1" applyProtection="1">
      <alignment horizontal="center" vertical="center" wrapText="1"/>
      <protection locked="0"/>
    </xf>
    <xf numFmtId="0" fontId="3" fillId="4" borderId="24" xfId="0" applyFont="1" applyFill="1" applyBorder="1" applyAlignment="1" applyProtection="1">
      <alignment horizontal="center" vertical="center" wrapText="1"/>
      <protection locked="0"/>
    </xf>
    <xf numFmtId="0" fontId="3" fillId="4" borderId="25" xfId="0" applyFont="1" applyFill="1" applyBorder="1" applyAlignment="1" applyProtection="1">
      <alignment horizontal="center" vertical="center" wrapText="1"/>
      <protection locked="0"/>
    </xf>
    <xf numFmtId="0" fontId="3" fillId="4" borderId="29" xfId="0" applyFont="1" applyFill="1" applyBorder="1" applyAlignment="1" applyProtection="1">
      <alignment horizontal="center" vertical="center" wrapText="1"/>
      <protection locked="0"/>
    </xf>
    <xf numFmtId="0" fontId="3" fillId="5" borderId="39" xfId="0" applyFont="1" applyFill="1" applyBorder="1" applyAlignment="1" applyProtection="1">
      <alignment horizontal="center" textRotation="90" wrapText="1"/>
      <protection locked="0"/>
    </xf>
    <xf numFmtId="15" fontId="0" fillId="23" borderId="4" xfId="0" applyNumberFormat="1" applyFill="1" applyBorder="1" applyAlignment="1" applyProtection="1">
      <alignment horizontal="center" vertical="center" wrapText="1"/>
      <protection locked="0"/>
    </xf>
    <xf numFmtId="15" fontId="0" fillId="23" borderId="5" xfId="0" applyNumberFormat="1" applyFill="1" applyBorder="1" applyAlignment="1" applyProtection="1">
      <alignment horizontal="center" vertical="center" wrapText="1"/>
      <protection locked="0"/>
    </xf>
    <xf numFmtId="15" fontId="0" fillId="23" borderId="6" xfId="0" applyNumberForma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3" fillId="5" borderId="14" xfId="0" applyFont="1" applyFill="1" applyBorder="1" applyAlignment="1" applyProtection="1">
      <alignment horizontal="center" textRotation="90" wrapText="1"/>
      <protection locked="0"/>
    </xf>
    <xf numFmtId="0" fontId="3" fillId="5" borderId="7" xfId="0" applyFont="1" applyFill="1" applyBorder="1" applyAlignment="1" applyProtection="1">
      <alignment horizontal="center" textRotation="90" wrapText="1"/>
      <protection locked="0"/>
    </xf>
    <xf numFmtId="0" fontId="16" fillId="5" borderId="4" xfId="0" applyFont="1" applyFill="1" applyBorder="1" applyAlignment="1" applyProtection="1">
      <alignment horizontal="center" vertical="center" wrapText="1"/>
      <protection locked="0"/>
    </xf>
    <xf numFmtId="0" fontId="16" fillId="5" borderId="5" xfId="0" applyFont="1" applyFill="1" applyBorder="1" applyAlignment="1" applyProtection="1">
      <alignment horizontal="center" vertical="center" wrapText="1"/>
      <protection locked="0"/>
    </xf>
    <xf numFmtId="0" fontId="16" fillId="5" borderId="6" xfId="0" applyFont="1" applyFill="1" applyBorder="1" applyAlignment="1" applyProtection="1">
      <alignment horizontal="center" vertical="center" wrapText="1"/>
      <protection locked="0"/>
    </xf>
    <xf numFmtId="0" fontId="3" fillId="5" borderId="44" xfId="0" applyFont="1" applyFill="1" applyBorder="1" applyAlignment="1" applyProtection="1">
      <alignment horizontal="center" textRotation="90" wrapText="1"/>
      <protection locked="0"/>
    </xf>
    <xf numFmtId="0" fontId="3" fillId="5" borderId="24" xfId="0" applyFont="1" applyFill="1" applyBorder="1" applyAlignment="1" applyProtection="1">
      <alignment horizontal="center" textRotation="90" wrapText="1"/>
      <protection locked="0"/>
    </xf>
    <xf numFmtId="0" fontId="3" fillId="5" borderId="45" xfId="0" applyFont="1" applyFill="1" applyBorder="1" applyAlignment="1" applyProtection="1">
      <alignment horizontal="center" textRotation="90" wrapText="1"/>
      <protection locked="0"/>
    </xf>
    <xf numFmtId="0" fontId="3" fillId="5" borderId="1" xfId="0" applyFont="1" applyFill="1" applyBorder="1" applyAlignment="1" applyProtection="1">
      <alignment horizontal="center" textRotation="90" wrapText="1"/>
      <protection locked="0"/>
    </xf>
    <xf numFmtId="0" fontId="3" fillId="5" borderId="9" xfId="0" applyFont="1" applyFill="1" applyBorder="1" applyAlignment="1" applyProtection="1">
      <alignment horizontal="center" textRotation="90" wrapText="1"/>
      <protection locked="0"/>
    </xf>
    <xf numFmtId="0" fontId="3" fillId="5" borderId="2" xfId="0" applyFont="1" applyFill="1" applyBorder="1" applyAlignment="1" applyProtection="1">
      <alignment horizontal="center" textRotation="90" wrapText="1"/>
      <protection locked="0"/>
    </xf>
    <xf numFmtId="0" fontId="14" fillId="6" borderId="23" xfId="0" applyFont="1" applyFill="1" applyBorder="1" applyAlignment="1" applyProtection="1">
      <alignment horizontal="center" vertical="center" wrapText="1"/>
      <protection locked="0"/>
    </xf>
    <xf numFmtId="0" fontId="14" fillId="6" borderId="25" xfId="0" applyFont="1" applyFill="1" applyBorder="1" applyAlignment="1" applyProtection="1">
      <alignment horizontal="center" vertical="center" wrapText="1"/>
      <protection locked="0"/>
    </xf>
    <xf numFmtId="21" fontId="14" fillId="6" borderId="23" xfId="0" applyNumberFormat="1" applyFont="1" applyFill="1" applyBorder="1" applyAlignment="1" applyProtection="1">
      <alignment horizontal="center" vertical="center"/>
      <protection locked="0"/>
    </xf>
    <xf numFmtId="21" fontId="14" fillId="6" borderId="25" xfId="0" applyNumberFormat="1" applyFont="1" applyFill="1" applyBorder="1" applyAlignment="1" applyProtection="1">
      <alignment horizontal="center" vertical="center"/>
      <protection locked="0"/>
    </xf>
    <xf numFmtId="0" fontId="14" fillId="6" borderId="11" xfId="0" applyFont="1" applyFill="1" applyBorder="1" applyAlignment="1" applyProtection="1">
      <alignment horizontal="center" vertical="center"/>
      <protection locked="0"/>
    </xf>
    <xf numFmtId="0" fontId="14" fillId="6" borderId="13" xfId="0" applyFont="1" applyFill="1" applyBorder="1" applyAlignment="1" applyProtection="1">
      <alignment horizontal="center" vertical="center"/>
      <protection locked="0"/>
    </xf>
    <xf numFmtId="0" fontId="14" fillId="6" borderId="23" xfId="0" applyFont="1" applyFill="1" applyBorder="1" applyAlignment="1" applyProtection="1">
      <alignment horizontal="center" vertical="center"/>
      <protection locked="0"/>
    </xf>
    <xf numFmtId="0" fontId="14" fillId="6" borderId="25" xfId="0" applyFont="1" applyFill="1" applyBorder="1" applyAlignment="1" applyProtection="1">
      <alignment horizontal="center" vertical="center"/>
      <protection locked="0"/>
    </xf>
    <xf numFmtId="21" fontId="1" fillId="18" borderId="36" xfId="0" applyNumberFormat="1" applyFont="1" applyFill="1" applyBorder="1" applyAlignment="1" applyProtection="1">
      <alignment horizontal="center" vertical="center"/>
      <protection locked="0"/>
    </xf>
    <xf numFmtId="21" fontId="1" fillId="18" borderId="12" xfId="0" applyNumberFormat="1" applyFont="1" applyFill="1" applyBorder="1" applyAlignment="1" applyProtection="1">
      <alignment horizontal="center" vertical="center"/>
      <protection locked="0"/>
    </xf>
    <xf numFmtId="21" fontId="1" fillId="18" borderId="29" xfId="0" applyNumberFormat="1" applyFont="1" applyFill="1" applyBorder="1" applyAlignment="1" applyProtection="1">
      <alignment horizontal="center" vertical="center"/>
      <protection locked="0"/>
    </xf>
    <xf numFmtId="0" fontId="3" fillId="20" borderId="38" xfId="0" applyFont="1" applyFill="1" applyBorder="1" applyAlignment="1" applyProtection="1">
      <alignment horizontal="center" vertical="center"/>
      <protection locked="0"/>
    </xf>
    <xf numFmtId="0" fontId="3" fillId="20" borderId="37" xfId="0" applyFont="1" applyFill="1" applyBorder="1" applyAlignment="1" applyProtection="1">
      <alignment horizontal="center" vertical="center"/>
      <protection locked="0"/>
    </xf>
    <xf numFmtId="0" fontId="3" fillId="20" borderId="28" xfId="0" applyFont="1" applyFill="1" applyBorder="1" applyAlignment="1" applyProtection="1">
      <alignment horizontal="center" vertical="center"/>
      <protection locked="0"/>
    </xf>
    <xf numFmtId="0" fontId="3" fillId="20" borderId="18" xfId="0" applyFont="1" applyFill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5" fontId="7" fillId="0" borderId="8" xfId="0" applyNumberFormat="1" applyFont="1" applyBorder="1" applyAlignment="1" applyProtection="1">
      <alignment horizontal="center" vertical="center"/>
      <protection locked="0"/>
    </xf>
    <xf numFmtId="15" fontId="7" fillId="0" borderId="9" xfId="0" applyNumberFormat="1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14" borderId="8" xfId="0" applyFont="1" applyFill="1" applyBorder="1" applyAlignment="1" applyProtection="1">
      <alignment horizontal="center" vertical="center"/>
      <protection locked="0"/>
    </xf>
    <xf numFmtId="0" fontId="7" fillId="14" borderId="9" xfId="0" applyFont="1" applyFill="1" applyBorder="1" applyAlignment="1" applyProtection="1">
      <alignment horizontal="center" vertical="center"/>
      <protection locked="0"/>
    </xf>
    <xf numFmtId="0" fontId="7" fillId="14" borderId="10" xfId="0" applyFont="1" applyFill="1" applyBorder="1" applyAlignment="1" applyProtection="1">
      <alignment horizontal="center" vertical="center"/>
      <protection locked="0"/>
    </xf>
    <xf numFmtId="0" fontId="8" fillId="10" borderId="8" xfId="0" applyFont="1" applyFill="1" applyBorder="1" applyAlignment="1" applyProtection="1">
      <alignment horizontal="center" vertical="center"/>
      <protection locked="0"/>
    </xf>
    <xf numFmtId="0" fontId="8" fillId="10" borderId="10" xfId="0" applyFont="1" applyFill="1" applyBorder="1" applyAlignment="1" applyProtection="1">
      <alignment horizontal="center" vertical="center"/>
      <protection locked="0"/>
    </xf>
    <xf numFmtId="0" fontId="8" fillId="9" borderId="8" xfId="0" applyFont="1" applyFill="1" applyBorder="1" applyAlignment="1" applyProtection="1">
      <alignment horizontal="center" vertical="center" wrapText="1"/>
      <protection locked="0"/>
    </xf>
    <xf numFmtId="0" fontId="8" fillId="9" borderId="10" xfId="0" applyFont="1" applyFill="1" applyBorder="1" applyAlignment="1" applyProtection="1">
      <alignment horizontal="center" vertical="center" wrapText="1"/>
      <protection locked="0"/>
    </xf>
    <xf numFmtId="0" fontId="8" fillId="13" borderId="4" xfId="0" applyFont="1" applyFill="1" applyBorder="1" applyAlignment="1" applyProtection="1">
      <alignment horizontal="center" vertical="center"/>
      <protection locked="0"/>
    </xf>
    <xf numFmtId="0" fontId="8" fillId="13" borderId="5" xfId="0" applyFont="1" applyFill="1" applyBorder="1" applyAlignment="1" applyProtection="1">
      <alignment horizontal="center" vertical="center"/>
      <protection locked="0"/>
    </xf>
    <xf numFmtId="0" fontId="8" fillId="13" borderId="6" xfId="0" applyFont="1" applyFill="1" applyBorder="1" applyAlignment="1" applyProtection="1">
      <alignment horizontal="center" vertical="center"/>
      <protection locked="0"/>
    </xf>
    <xf numFmtId="0" fontId="10" fillId="7" borderId="4" xfId="0" applyFont="1" applyFill="1" applyBorder="1" applyProtection="1">
      <protection locked="0"/>
    </xf>
    <xf numFmtId="0" fontId="10" fillId="7" borderId="5" xfId="0" applyFont="1" applyFill="1" applyBorder="1" applyProtection="1">
      <protection locked="0"/>
    </xf>
    <xf numFmtId="0" fontId="10" fillId="7" borderId="6" xfId="0" applyFont="1" applyFill="1" applyBorder="1" applyProtection="1">
      <protection locked="0"/>
    </xf>
    <xf numFmtId="15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1" fillId="21" borderId="4" xfId="0" applyFont="1" applyFill="1" applyBorder="1" applyAlignment="1" applyProtection="1">
      <alignment horizontal="center"/>
      <protection locked="0"/>
    </xf>
    <xf numFmtId="0" fontId="1" fillId="21" borderId="5" xfId="0" applyFont="1" applyFill="1" applyBorder="1" applyAlignment="1" applyProtection="1">
      <alignment horizontal="center"/>
      <protection locked="0"/>
    </xf>
    <xf numFmtId="0" fontId="1" fillId="21" borderId="6" xfId="0" applyFont="1" applyFill="1" applyBorder="1" applyAlignment="1" applyProtection="1">
      <alignment horizontal="center"/>
      <protection locked="0"/>
    </xf>
    <xf numFmtId="0" fontId="1" fillId="21" borderId="3" xfId="0" applyFont="1" applyFill="1" applyBorder="1" applyAlignment="1" applyProtection="1">
      <alignment horizontal="center"/>
      <protection locked="0"/>
    </xf>
    <xf numFmtId="0" fontId="1" fillId="21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 Temperature Trends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5066184562931803E-2"/>
          <c:y val="8.7645867372726949E-2"/>
          <c:w val="0.92680157315424216"/>
          <c:h val="0.66422109541217544"/>
        </c:manualLayout>
      </c:layout>
      <c:lineChart>
        <c:grouping val="standard"/>
        <c:varyColors val="0"/>
        <c:ser>
          <c:idx val="0"/>
          <c:order val="0"/>
          <c:tx>
            <c:strRef>
              <c:f>'Summary - Temp &amp; Hum '!$B$3</c:f>
              <c:strCache>
                <c:ptCount val="1"/>
                <c:pt idx="0">
                  <c:v>Average Temperature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'!$A$4:$A$34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'!$B$4:$B$34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BAF-45E1-A13E-819C46A6FBDB}"/>
            </c:ext>
          </c:extLst>
        </c:ser>
        <c:ser>
          <c:idx val="1"/>
          <c:order val="1"/>
          <c:tx>
            <c:strRef>
              <c:f>'Summary - Temp &amp; Hum '!$C$3</c:f>
              <c:strCache>
                <c:ptCount val="1"/>
                <c:pt idx="0">
                  <c:v>Maximum Temperature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'!$A$4:$A$34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'!$C$4:$C$34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BAF-45E1-A13E-819C46A6FBDB}"/>
            </c:ext>
          </c:extLst>
        </c:ser>
        <c:ser>
          <c:idx val="2"/>
          <c:order val="2"/>
          <c:tx>
            <c:strRef>
              <c:f>'Summary - Temp &amp; Hum '!$D$3</c:f>
              <c:strCache>
                <c:ptCount val="1"/>
                <c:pt idx="0">
                  <c:v>Minimum Temperature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'!$A$4:$A$34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'!$D$4:$D$34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BAF-45E1-A13E-819C46A6FB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6209664"/>
        <c:axId val="236211200"/>
      </c:lineChart>
      <c:dateAx>
        <c:axId val="23620966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11200"/>
        <c:crosses val="autoZero"/>
        <c:auto val="1"/>
        <c:lblOffset val="100"/>
        <c:baseTimeUnit val="days"/>
      </c:dateAx>
      <c:valAx>
        <c:axId val="236211200"/>
        <c:scaling>
          <c:orientation val="minMax"/>
          <c:min val="1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0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 Humidity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3239568930810008E-2"/>
          <c:y val="0.11302681196150526"/>
          <c:w val="0.91750811805116483"/>
          <c:h val="0.71471715699169491"/>
        </c:manualLayout>
      </c:layout>
      <c:lineChart>
        <c:grouping val="standard"/>
        <c:varyColors val="0"/>
        <c:ser>
          <c:idx val="0"/>
          <c:order val="0"/>
          <c:tx>
            <c:strRef>
              <c:f>'Summary - Temp &amp; Hum '!$F$3</c:f>
              <c:strCache>
                <c:ptCount val="1"/>
                <c:pt idx="0">
                  <c:v>Average Humidity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'!$E$4:$E$34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'!$F$4:$F$34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252-42BA-980B-67C705331BF9}"/>
            </c:ext>
          </c:extLst>
        </c:ser>
        <c:ser>
          <c:idx val="1"/>
          <c:order val="1"/>
          <c:tx>
            <c:strRef>
              <c:f>'Summary - Temp &amp; Hum '!$G$3</c:f>
              <c:strCache>
                <c:ptCount val="1"/>
                <c:pt idx="0">
                  <c:v>Maximum Humidity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'!$E$4:$E$34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'!$G$4:$G$34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252-42BA-980B-67C705331BF9}"/>
            </c:ext>
          </c:extLst>
        </c:ser>
        <c:ser>
          <c:idx val="2"/>
          <c:order val="2"/>
          <c:tx>
            <c:strRef>
              <c:f>'Summary - Temp &amp; Hum '!$H$3</c:f>
              <c:strCache>
                <c:ptCount val="1"/>
                <c:pt idx="0">
                  <c:v>Minimum Humidity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- Temp &amp; Hum '!$E$4:$E$34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'Summary - Temp &amp; Hum '!$H$4:$H$34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252-42BA-980B-67C705331B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6154880"/>
        <c:axId val="236156416"/>
      </c:lineChart>
      <c:dateAx>
        <c:axId val="236154880"/>
        <c:scaling>
          <c:orientation val="minMax"/>
          <c:max val="46203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156416"/>
        <c:crosses val="autoZero"/>
        <c:auto val="1"/>
        <c:lblOffset val="100"/>
        <c:baseTimeUnit val="days"/>
      </c:dateAx>
      <c:valAx>
        <c:axId val="236156416"/>
        <c:scaling>
          <c:orientation val="minMax"/>
          <c:min val="1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Humidity</a:t>
                </a:r>
                <a:r>
                  <a:rPr lang="en-US"/>
                  <a:t> </a:t>
                </a:r>
                <a:r>
                  <a:rPr lang="en-US" sz="1600" b="1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15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PUE Trends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'PUE Trend'!$G$3</c:f>
              <c:strCache>
                <c:ptCount val="1"/>
                <c:pt idx="0">
                  <c:v>Average PUE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'PUE Trend'!$F$4:$F$34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'PUE Trend'!$G$4:$G$34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2FA-4BF6-BFC2-032F5894E660}"/>
            </c:ext>
          </c:extLst>
        </c:ser>
        <c:ser>
          <c:idx val="1"/>
          <c:order val="1"/>
          <c:tx>
            <c:strRef>
              <c:f>'PUE Trend'!$H$3</c:f>
              <c:strCache>
                <c:ptCount val="1"/>
                <c:pt idx="0">
                  <c:v>Maximum PUE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'PUE Trend'!$F$4:$F$34</c:f>
              <c:numCache>
                <c:formatCode>d\-mmm\-yy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'PUE Trend'!$H$4:$H$34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2FA-4BF6-BFC2-032F5894E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385984"/>
        <c:axId val="235387520"/>
      </c:lineChart>
      <c:dateAx>
        <c:axId val="235385984"/>
        <c:scaling>
          <c:orientation val="minMax"/>
          <c:min val="46174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87520"/>
        <c:crosses val="autoZero"/>
        <c:auto val="1"/>
        <c:lblOffset val="100"/>
        <c:baseTimeUnit val="days"/>
      </c:dateAx>
      <c:valAx>
        <c:axId val="2353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8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Load Trends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'PUE Trend'!$C$3</c:f>
              <c:strCache>
                <c:ptCount val="1"/>
                <c:pt idx="0">
                  <c:v>Average Site Load in kw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'PUE Trend'!$A$4:$A$31</c:f>
              <c:numCache>
                <c:formatCode>d\-mmm\-yy</c:formatCode>
                <c:ptCount val="28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Trend'!$A$4:$A$31</c15:sqref>
                  </c15:fullRef>
                </c:ext>
              </c:extLst>
            </c:numRef>
          </c:cat>
          <c:val>
            <c:numRef>
              <c:f>'PUE Trend'!$C$4:$C$31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493.33333333333331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Trend'!$C$4:$C$31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6BB-4B1B-B7E9-D0180306D77E}"/>
            </c:ext>
          </c:extLst>
        </c:ser>
        <c:ser>
          <c:idx val="3"/>
          <c:order val="3"/>
          <c:tx>
            <c:strRef>
              <c:f>'PUE Trend'!$E$3</c:f>
              <c:strCache>
                <c:ptCount val="1"/>
                <c:pt idx="0">
                  <c:v>Maximum Site Load in kw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'PUE Trend'!$A$4:$A$31</c:f>
              <c:numCache>
                <c:formatCode>d\-mmm\-yy</c:formatCode>
                <c:ptCount val="28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Trend'!$A$4:$A$31</c15:sqref>
                  </c15:fullRef>
                </c:ext>
              </c:extLst>
            </c:numRef>
          </c:cat>
          <c:val>
            <c:numRef>
              <c:f>'PUE Trend'!$E$4:$E$31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Trend'!$E$4:$E$31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6BB-4B1B-B7E9-D0180306D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84288"/>
        <c:axId val="235485824"/>
      </c:lineChart>
      <c:lineChart>
        <c:grouping val="stacked"/>
        <c:varyColors val="0"/>
        <c:ser>
          <c:idx val="0"/>
          <c:order val="0"/>
          <c:tx>
            <c:strRef>
              <c:f>'PUE Trend'!$B$3</c:f>
              <c:strCache>
                <c:ptCount val="1"/>
                <c:pt idx="0">
                  <c:v>Average IT Load in 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'PUE Trend'!$A$4:$A$31</c:f>
              <c:numCache>
                <c:formatCode>d\-mmm\-yy</c:formatCode>
                <c:ptCount val="28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Trend'!$A$4:$A$31</c15:sqref>
                  </c15:fullRef>
                </c:ext>
              </c:extLst>
            </c:numRef>
          </c:cat>
          <c:val>
            <c:numRef>
              <c:f>'PUE Trend'!$B$4:$B$31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Trend'!$B$4:$B$31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BB-4B1B-B7E9-D0180306D77E}"/>
            </c:ext>
          </c:extLst>
        </c:ser>
        <c:ser>
          <c:idx val="2"/>
          <c:order val="2"/>
          <c:tx>
            <c:strRef>
              <c:f>'PUE Trend'!$D$3</c:f>
              <c:strCache>
                <c:ptCount val="1"/>
                <c:pt idx="0">
                  <c:v>Maximum IT Load in kw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'PUE Trend'!$A$4:$A$31</c:f>
              <c:numCache>
                <c:formatCode>d\-mmm\-yy</c:formatCode>
                <c:ptCount val="28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Trend'!$A$4:$A$31</c15:sqref>
                  </c15:fullRef>
                </c:ext>
              </c:extLst>
            </c:numRef>
          </c:cat>
          <c:val>
            <c:numRef>
              <c:f>'PUE Trend'!$D$4:$D$31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'PUE Trend'!$D$4:$D$34</c15:sqref>
                  </c15:fullRef>
                </c:ext>
              </c:extLst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6BB-4B1B-B7E9-D0180306D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93248"/>
        <c:axId val="235491712"/>
      </c:lineChart>
      <c:dateAx>
        <c:axId val="235484288"/>
        <c:scaling>
          <c:orientation val="minMax"/>
          <c:max val="46112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485824"/>
        <c:crosses val="autoZero"/>
        <c:auto val="1"/>
        <c:lblOffset val="100"/>
        <c:baseTimeUnit val="days"/>
      </c:dateAx>
      <c:valAx>
        <c:axId val="2354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484288"/>
        <c:crosses val="autoZero"/>
        <c:crossBetween val="between"/>
      </c:valAx>
      <c:valAx>
        <c:axId val="2354917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493248"/>
        <c:crosses val="max"/>
        <c:crossBetween val="between"/>
      </c:valAx>
      <c:dateAx>
        <c:axId val="235493248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3549171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117928</xdr:colOff>
      <xdr:row>35</xdr:row>
      <xdr:rowOff>34471</xdr:rowOff>
    </xdr:from>
    <xdr:to>
      <xdr:col>21</xdr:col>
      <xdr:colOff>64265</xdr:colOff>
      <xdr:row>65</xdr:row>
      <xdr:rowOff>36286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56FC04D2-1523-2367-05F3-DB1DAE75D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89807</xdr:colOff>
      <xdr:row>66</xdr:row>
      <xdr:rowOff>117022</xdr:rowOff>
    </xdr:from>
    <xdr:to>
      <xdr:col>21</xdr:col>
      <xdr:colOff>54429</xdr:colOff>
      <xdr:row>98</xdr:row>
      <xdr:rowOff>36285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xmlns="" id="{4152DBE7-8219-41BA-A818-0B608A0C8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206373</xdr:colOff>
      <xdr:row>34</xdr:row>
      <xdr:rowOff>158750</xdr:rowOff>
    </xdr:from>
    <xdr:to>
      <xdr:col>15</xdr:col>
      <xdr:colOff>285750</xdr:colOff>
      <xdr:row>57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F20AA8B-646A-8101-5E4A-E14762942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222249</xdr:colOff>
      <xdr:row>62</xdr:row>
      <xdr:rowOff>4090</xdr:rowOff>
    </xdr:from>
    <xdr:to>
      <xdr:col>14</xdr:col>
      <xdr:colOff>142875</xdr:colOff>
      <xdr:row>83</xdr:row>
      <xdr:rowOff>79374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906F9670-242D-2871-1F5C-710166668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88"/>
  <sheetViews>
    <sheetView topLeftCell="A84" zoomScale="80" zoomScaleNormal="80" workbookViewId="0">
      <selection activeCell="L93" sqref="L93:L98"/>
    </sheetView>
  </sheetViews>
  <sheetFormatPr defaultColWidth="8.81640625" defaultRowHeight="14.5" x14ac:dyDescent="0.35"/>
  <cols>
    <col min="1" max="1" width="10.54296875" bestFit="1" customWidth="1"/>
    <col min="2" max="2" width="18" bestFit="1" customWidth="1"/>
    <col min="3" max="3" width="18.453125" customWidth="1"/>
    <col min="4" max="4" width="13.1796875" customWidth="1"/>
    <col min="5" max="5" width="16.81640625" customWidth="1"/>
    <col min="6" max="6" width="15.54296875" customWidth="1"/>
    <col min="7" max="7" width="12" customWidth="1"/>
    <col min="8" max="8" width="10.453125" customWidth="1"/>
    <col min="9" max="9" width="13.453125" customWidth="1"/>
    <col min="10" max="10" width="19" bestFit="1" customWidth="1"/>
    <col min="11" max="11" width="16.1796875" customWidth="1"/>
    <col min="12" max="12" width="19.453125" bestFit="1" customWidth="1"/>
    <col min="13" max="13" width="27.1796875" customWidth="1"/>
  </cols>
  <sheetData>
    <row r="1" spans="1:13" ht="16.5" thickBot="1" x14ac:dyDescent="0.3">
      <c r="A1" s="124" t="s">
        <v>54</v>
      </c>
      <c r="B1" s="125"/>
      <c r="C1" s="125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55" customHeight="1" thickBot="1" x14ac:dyDescent="0.3">
      <c r="A2" s="18" t="s">
        <v>34</v>
      </c>
      <c r="B2" s="15" t="s">
        <v>53</v>
      </c>
      <c r="C2" s="14" t="s">
        <v>52</v>
      </c>
      <c r="D2" s="16" t="s">
        <v>51</v>
      </c>
      <c r="E2" s="16" t="s">
        <v>130</v>
      </c>
      <c r="F2" s="16" t="s">
        <v>50</v>
      </c>
      <c r="G2" s="16" t="s">
        <v>49</v>
      </c>
      <c r="H2" s="16" t="s">
        <v>48</v>
      </c>
      <c r="I2" s="16" t="s">
        <v>47</v>
      </c>
      <c r="J2" s="16" t="s">
        <v>46</v>
      </c>
      <c r="K2" s="16" t="s">
        <v>45</v>
      </c>
      <c r="L2" s="19" t="s">
        <v>39</v>
      </c>
      <c r="M2" s="20" t="s">
        <v>38</v>
      </c>
    </row>
    <row r="3" spans="1:13" ht="21" customHeight="1" x14ac:dyDescent="0.35">
      <c r="A3" s="119">
        <v>46082</v>
      </c>
      <c r="B3" s="17" t="s">
        <v>131</v>
      </c>
      <c r="C3" s="17" t="s">
        <v>132</v>
      </c>
      <c r="D3" s="17" t="s">
        <v>133</v>
      </c>
      <c r="E3" s="17" t="s">
        <v>134</v>
      </c>
      <c r="F3" s="17" t="s">
        <v>133</v>
      </c>
      <c r="G3" s="17" t="s">
        <v>133</v>
      </c>
      <c r="H3" s="17" t="s">
        <v>134</v>
      </c>
      <c r="I3" s="17" t="s">
        <v>127</v>
      </c>
      <c r="J3" s="17" t="s">
        <v>134</v>
      </c>
      <c r="K3" s="17">
        <v>24</v>
      </c>
      <c r="L3" s="121" t="s">
        <v>237</v>
      </c>
      <c r="M3" s="120" t="s">
        <v>235</v>
      </c>
    </row>
    <row r="4" spans="1:13" x14ac:dyDescent="0.35">
      <c r="A4" s="119"/>
      <c r="B4" s="17" t="s">
        <v>135</v>
      </c>
      <c r="C4" s="17" t="s">
        <v>132</v>
      </c>
      <c r="D4" s="17" t="s">
        <v>133</v>
      </c>
      <c r="E4" s="17" t="s">
        <v>133</v>
      </c>
      <c r="F4" s="17" t="s">
        <v>133</v>
      </c>
      <c r="G4" s="17" t="s">
        <v>133</v>
      </c>
      <c r="H4" s="17" t="s">
        <v>134</v>
      </c>
      <c r="I4" s="17" t="s">
        <v>127</v>
      </c>
      <c r="J4" s="17" t="s">
        <v>134</v>
      </c>
      <c r="K4" s="17">
        <v>24</v>
      </c>
      <c r="L4" s="122"/>
      <c r="M4" s="120"/>
    </row>
    <row r="5" spans="1:13" x14ac:dyDescent="0.35">
      <c r="A5" s="119"/>
      <c r="B5" s="17" t="s">
        <v>136</v>
      </c>
      <c r="C5" s="17" t="s">
        <v>132</v>
      </c>
      <c r="D5" s="17" t="s">
        <v>133</v>
      </c>
      <c r="E5" s="17" t="s">
        <v>133</v>
      </c>
      <c r="F5" s="17" t="s">
        <v>133</v>
      </c>
      <c r="G5" s="17" t="s">
        <v>133</v>
      </c>
      <c r="H5" s="17" t="s">
        <v>134</v>
      </c>
      <c r="I5" s="17" t="s">
        <v>127</v>
      </c>
      <c r="J5" s="17" t="s">
        <v>134</v>
      </c>
      <c r="K5" s="17">
        <v>24</v>
      </c>
      <c r="L5" s="122"/>
      <c r="M5" s="120"/>
    </row>
    <row r="6" spans="1:13" x14ac:dyDescent="0.35">
      <c r="A6" s="119"/>
      <c r="B6" s="17" t="s">
        <v>29</v>
      </c>
      <c r="C6" s="17" t="s">
        <v>132</v>
      </c>
      <c r="D6" s="17" t="s">
        <v>133</v>
      </c>
      <c r="E6" s="17" t="s">
        <v>133</v>
      </c>
      <c r="F6" s="17" t="s">
        <v>133</v>
      </c>
      <c r="G6" s="17" t="s">
        <v>133</v>
      </c>
      <c r="H6" s="17" t="s">
        <v>134</v>
      </c>
      <c r="I6" s="17" t="s">
        <v>127</v>
      </c>
      <c r="J6" s="17" t="s">
        <v>134</v>
      </c>
      <c r="K6" s="17">
        <v>24</v>
      </c>
      <c r="L6" s="122"/>
      <c r="M6" s="120"/>
    </row>
    <row r="7" spans="1:13" x14ac:dyDescent="0.35">
      <c r="A7" s="119"/>
      <c r="B7" s="17" t="s">
        <v>137</v>
      </c>
      <c r="C7" s="17" t="s">
        <v>132</v>
      </c>
      <c r="D7" s="17" t="s">
        <v>133</v>
      </c>
      <c r="E7" s="17" t="s">
        <v>133</v>
      </c>
      <c r="F7" s="17" t="s">
        <v>133</v>
      </c>
      <c r="G7" s="17" t="s">
        <v>133</v>
      </c>
      <c r="H7" s="17" t="s">
        <v>134</v>
      </c>
      <c r="I7" s="17" t="s">
        <v>127</v>
      </c>
      <c r="J7" s="17" t="s">
        <v>134</v>
      </c>
      <c r="K7" s="17">
        <v>24</v>
      </c>
      <c r="L7" s="122"/>
      <c r="M7" s="120"/>
    </row>
    <row r="8" spans="1:13" x14ac:dyDescent="0.35">
      <c r="A8" s="119"/>
      <c r="B8" s="17" t="s">
        <v>138</v>
      </c>
      <c r="C8" s="17" t="s">
        <v>132</v>
      </c>
      <c r="D8" s="17" t="s">
        <v>133</v>
      </c>
      <c r="E8" s="17" t="s">
        <v>133</v>
      </c>
      <c r="F8" s="17" t="s">
        <v>133</v>
      </c>
      <c r="G8" s="17" t="s">
        <v>133</v>
      </c>
      <c r="H8" s="17" t="s">
        <v>134</v>
      </c>
      <c r="I8" s="17" t="s">
        <v>127</v>
      </c>
      <c r="J8" s="17" t="s">
        <v>134</v>
      </c>
      <c r="K8" s="17">
        <v>24</v>
      </c>
      <c r="L8" s="123"/>
      <c r="M8" s="120"/>
    </row>
    <row r="9" spans="1:13" x14ac:dyDescent="0.35">
      <c r="A9" s="119">
        <v>46083</v>
      </c>
      <c r="B9" s="17" t="s">
        <v>131</v>
      </c>
      <c r="C9" s="17" t="s">
        <v>132</v>
      </c>
      <c r="D9" s="17" t="s">
        <v>133</v>
      </c>
      <c r="E9" s="17" t="s">
        <v>134</v>
      </c>
      <c r="F9" s="17" t="s">
        <v>133</v>
      </c>
      <c r="G9" s="17" t="s">
        <v>133</v>
      </c>
      <c r="H9" s="17" t="s">
        <v>134</v>
      </c>
      <c r="I9" s="17" t="s">
        <v>127</v>
      </c>
      <c r="J9" s="17" t="s">
        <v>134</v>
      </c>
      <c r="K9" s="17">
        <v>24</v>
      </c>
      <c r="L9" s="121" t="s">
        <v>237</v>
      </c>
      <c r="M9" s="120" t="s">
        <v>235</v>
      </c>
    </row>
    <row r="10" spans="1:13" x14ac:dyDescent="0.35">
      <c r="A10" s="119"/>
      <c r="B10" s="17" t="s">
        <v>135</v>
      </c>
      <c r="C10" s="17" t="s">
        <v>132</v>
      </c>
      <c r="D10" s="17" t="s">
        <v>133</v>
      </c>
      <c r="E10" s="17" t="s">
        <v>133</v>
      </c>
      <c r="F10" s="17" t="s">
        <v>133</v>
      </c>
      <c r="G10" s="17" t="s">
        <v>133</v>
      </c>
      <c r="H10" s="17" t="s">
        <v>134</v>
      </c>
      <c r="I10" s="17" t="s">
        <v>127</v>
      </c>
      <c r="J10" s="17" t="s">
        <v>134</v>
      </c>
      <c r="K10" s="17">
        <v>24</v>
      </c>
      <c r="L10" s="122"/>
      <c r="M10" s="120"/>
    </row>
    <row r="11" spans="1:13" x14ac:dyDescent="0.35">
      <c r="A11" s="119"/>
      <c r="B11" s="17" t="s">
        <v>136</v>
      </c>
      <c r="C11" s="17" t="s">
        <v>132</v>
      </c>
      <c r="D11" s="17" t="s">
        <v>133</v>
      </c>
      <c r="E11" s="17" t="s">
        <v>133</v>
      </c>
      <c r="F11" s="17" t="s">
        <v>133</v>
      </c>
      <c r="G11" s="17" t="s">
        <v>133</v>
      </c>
      <c r="H11" s="17" t="s">
        <v>134</v>
      </c>
      <c r="I11" s="17" t="s">
        <v>127</v>
      </c>
      <c r="J11" s="17" t="s">
        <v>134</v>
      </c>
      <c r="K11" s="17">
        <v>24</v>
      </c>
      <c r="L11" s="122"/>
      <c r="M11" s="120"/>
    </row>
    <row r="12" spans="1:13" x14ac:dyDescent="0.35">
      <c r="A12" s="119"/>
      <c r="B12" s="17" t="s">
        <v>29</v>
      </c>
      <c r="C12" s="17" t="s">
        <v>132</v>
      </c>
      <c r="D12" s="17" t="s">
        <v>133</v>
      </c>
      <c r="E12" s="17" t="s">
        <v>133</v>
      </c>
      <c r="F12" s="17" t="s">
        <v>133</v>
      </c>
      <c r="G12" s="17" t="s">
        <v>133</v>
      </c>
      <c r="H12" s="17" t="s">
        <v>134</v>
      </c>
      <c r="I12" s="17" t="s">
        <v>127</v>
      </c>
      <c r="J12" s="17" t="s">
        <v>134</v>
      </c>
      <c r="K12" s="17">
        <v>24</v>
      </c>
      <c r="L12" s="122"/>
      <c r="M12" s="120"/>
    </row>
    <row r="13" spans="1:13" x14ac:dyDescent="0.35">
      <c r="A13" s="119"/>
      <c r="B13" s="17" t="s">
        <v>137</v>
      </c>
      <c r="C13" s="17" t="s">
        <v>132</v>
      </c>
      <c r="D13" s="17" t="s">
        <v>133</v>
      </c>
      <c r="E13" s="17" t="s">
        <v>133</v>
      </c>
      <c r="F13" s="17" t="s">
        <v>133</v>
      </c>
      <c r="G13" s="17" t="s">
        <v>133</v>
      </c>
      <c r="H13" s="17" t="s">
        <v>134</v>
      </c>
      <c r="I13" s="17" t="s">
        <v>127</v>
      </c>
      <c r="J13" s="17" t="s">
        <v>134</v>
      </c>
      <c r="K13" s="17">
        <v>24</v>
      </c>
      <c r="L13" s="122"/>
      <c r="M13" s="120"/>
    </row>
    <row r="14" spans="1:13" x14ac:dyDescent="0.35">
      <c r="A14" s="119"/>
      <c r="B14" s="17" t="s">
        <v>138</v>
      </c>
      <c r="C14" s="17" t="s">
        <v>132</v>
      </c>
      <c r="D14" s="17" t="s">
        <v>133</v>
      </c>
      <c r="E14" s="17" t="s">
        <v>133</v>
      </c>
      <c r="F14" s="17" t="s">
        <v>133</v>
      </c>
      <c r="G14" s="17" t="s">
        <v>133</v>
      </c>
      <c r="H14" s="17" t="s">
        <v>134</v>
      </c>
      <c r="I14" s="17" t="s">
        <v>127</v>
      </c>
      <c r="J14" s="17" t="s">
        <v>134</v>
      </c>
      <c r="K14" s="17">
        <v>24</v>
      </c>
      <c r="L14" s="123"/>
      <c r="M14" s="120"/>
    </row>
    <row r="15" spans="1:13" x14ac:dyDescent="0.35">
      <c r="A15" s="119">
        <v>46084</v>
      </c>
      <c r="B15" s="17" t="s">
        <v>131</v>
      </c>
      <c r="C15" s="17" t="s">
        <v>132</v>
      </c>
      <c r="D15" s="17" t="s">
        <v>133</v>
      </c>
      <c r="E15" s="17" t="s">
        <v>134</v>
      </c>
      <c r="F15" s="17" t="s">
        <v>133</v>
      </c>
      <c r="G15" s="17" t="s">
        <v>133</v>
      </c>
      <c r="H15" s="17" t="s">
        <v>134</v>
      </c>
      <c r="I15" s="17" t="s">
        <v>127</v>
      </c>
      <c r="J15" s="17" t="s">
        <v>134</v>
      </c>
      <c r="K15" s="17">
        <v>24</v>
      </c>
      <c r="L15" s="121" t="s">
        <v>237</v>
      </c>
      <c r="M15" s="120" t="s">
        <v>235</v>
      </c>
    </row>
    <row r="16" spans="1:13" x14ac:dyDescent="0.35">
      <c r="A16" s="119"/>
      <c r="B16" s="17" t="s">
        <v>135</v>
      </c>
      <c r="C16" s="17" t="s">
        <v>132</v>
      </c>
      <c r="D16" s="17" t="s">
        <v>133</v>
      </c>
      <c r="E16" s="17" t="s">
        <v>133</v>
      </c>
      <c r="F16" s="17" t="s">
        <v>133</v>
      </c>
      <c r="G16" s="17" t="s">
        <v>133</v>
      </c>
      <c r="H16" s="17" t="s">
        <v>134</v>
      </c>
      <c r="I16" s="17" t="s">
        <v>127</v>
      </c>
      <c r="J16" s="17" t="s">
        <v>134</v>
      </c>
      <c r="K16" s="17">
        <v>24</v>
      </c>
      <c r="L16" s="122"/>
      <c r="M16" s="120"/>
    </row>
    <row r="17" spans="1:13" x14ac:dyDescent="0.35">
      <c r="A17" s="119"/>
      <c r="B17" s="17" t="s">
        <v>136</v>
      </c>
      <c r="C17" s="17" t="s">
        <v>132</v>
      </c>
      <c r="D17" s="17" t="s">
        <v>133</v>
      </c>
      <c r="E17" s="17" t="s">
        <v>133</v>
      </c>
      <c r="F17" s="17" t="s">
        <v>133</v>
      </c>
      <c r="G17" s="17" t="s">
        <v>133</v>
      </c>
      <c r="H17" s="17" t="s">
        <v>134</v>
      </c>
      <c r="I17" s="17" t="s">
        <v>127</v>
      </c>
      <c r="J17" s="17" t="s">
        <v>134</v>
      </c>
      <c r="K17" s="17">
        <v>24</v>
      </c>
      <c r="L17" s="122"/>
      <c r="M17" s="120"/>
    </row>
    <row r="18" spans="1:13" x14ac:dyDescent="0.35">
      <c r="A18" s="119"/>
      <c r="B18" s="17" t="s">
        <v>29</v>
      </c>
      <c r="C18" s="17" t="s">
        <v>132</v>
      </c>
      <c r="D18" s="17" t="s">
        <v>133</v>
      </c>
      <c r="E18" s="17" t="s">
        <v>133</v>
      </c>
      <c r="F18" s="17" t="s">
        <v>133</v>
      </c>
      <c r="G18" s="17" t="s">
        <v>133</v>
      </c>
      <c r="H18" s="17" t="s">
        <v>134</v>
      </c>
      <c r="I18" s="17" t="s">
        <v>127</v>
      </c>
      <c r="J18" s="17" t="s">
        <v>134</v>
      </c>
      <c r="K18" s="17">
        <v>24</v>
      </c>
      <c r="L18" s="122"/>
      <c r="M18" s="120"/>
    </row>
    <row r="19" spans="1:13" x14ac:dyDescent="0.35">
      <c r="A19" s="119"/>
      <c r="B19" s="17" t="s">
        <v>137</v>
      </c>
      <c r="C19" s="17" t="s">
        <v>132</v>
      </c>
      <c r="D19" s="17" t="s">
        <v>133</v>
      </c>
      <c r="E19" s="17" t="s">
        <v>133</v>
      </c>
      <c r="F19" s="17" t="s">
        <v>133</v>
      </c>
      <c r="G19" s="17" t="s">
        <v>133</v>
      </c>
      <c r="H19" s="17" t="s">
        <v>134</v>
      </c>
      <c r="I19" s="17" t="s">
        <v>127</v>
      </c>
      <c r="J19" s="17" t="s">
        <v>134</v>
      </c>
      <c r="K19" s="17">
        <v>24</v>
      </c>
      <c r="L19" s="122"/>
      <c r="M19" s="120"/>
    </row>
    <row r="20" spans="1:13" x14ac:dyDescent="0.35">
      <c r="A20" s="119"/>
      <c r="B20" s="17" t="s">
        <v>138</v>
      </c>
      <c r="C20" s="17" t="s">
        <v>132</v>
      </c>
      <c r="D20" s="17" t="s">
        <v>133</v>
      </c>
      <c r="E20" s="17" t="s">
        <v>133</v>
      </c>
      <c r="F20" s="17" t="s">
        <v>133</v>
      </c>
      <c r="G20" s="17" t="s">
        <v>133</v>
      </c>
      <c r="H20" s="17" t="s">
        <v>134</v>
      </c>
      <c r="I20" s="17" t="s">
        <v>127</v>
      </c>
      <c r="J20" s="17" t="s">
        <v>134</v>
      </c>
      <c r="K20" s="17">
        <v>24</v>
      </c>
      <c r="L20" s="123"/>
      <c r="M20" s="120"/>
    </row>
    <row r="21" spans="1:13" x14ac:dyDescent="0.35">
      <c r="A21" s="119">
        <v>46085</v>
      </c>
      <c r="B21" s="17" t="s">
        <v>131</v>
      </c>
      <c r="C21" s="17" t="s">
        <v>132</v>
      </c>
      <c r="D21" s="17" t="s">
        <v>133</v>
      </c>
      <c r="E21" s="17" t="s">
        <v>134</v>
      </c>
      <c r="F21" s="17" t="s">
        <v>133</v>
      </c>
      <c r="G21" s="17" t="s">
        <v>133</v>
      </c>
      <c r="H21" s="17" t="s">
        <v>134</v>
      </c>
      <c r="I21" s="17" t="s">
        <v>127</v>
      </c>
      <c r="J21" s="17" t="s">
        <v>134</v>
      </c>
      <c r="K21" s="17">
        <v>24</v>
      </c>
      <c r="L21" s="121" t="s">
        <v>237</v>
      </c>
      <c r="M21" s="120" t="s">
        <v>235</v>
      </c>
    </row>
    <row r="22" spans="1:13" x14ac:dyDescent="0.35">
      <c r="A22" s="119"/>
      <c r="B22" s="17" t="s">
        <v>135</v>
      </c>
      <c r="C22" s="17" t="s">
        <v>132</v>
      </c>
      <c r="D22" s="17" t="s">
        <v>133</v>
      </c>
      <c r="E22" s="17" t="s">
        <v>133</v>
      </c>
      <c r="F22" s="17" t="s">
        <v>133</v>
      </c>
      <c r="G22" s="17" t="s">
        <v>133</v>
      </c>
      <c r="H22" s="17" t="s">
        <v>134</v>
      </c>
      <c r="I22" s="17" t="s">
        <v>127</v>
      </c>
      <c r="J22" s="17" t="s">
        <v>134</v>
      </c>
      <c r="K22" s="17">
        <v>24</v>
      </c>
      <c r="L22" s="122"/>
      <c r="M22" s="120"/>
    </row>
    <row r="23" spans="1:13" x14ac:dyDescent="0.35">
      <c r="A23" s="119"/>
      <c r="B23" s="17" t="s">
        <v>136</v>
      </c>
      <c r="C23" s="17" t="s">
        <v>132</v>
      </c>
      <c r="D23" s="17" t="s">
        <v>133</v>
      </c>
      <c r="E23" s="17" t="s">
        <v>133</v>
      </c>
      <c r="F23" s="17" t="s">
        <v>133</v>
      </c>
      <c r="G23" s="17" t="s">
        <v>133</v>
      </c>
      <c r="H23" s="17" t="s">
        <v>134</v>
      </c>
      <c r="I23" s="17" t="s">
        <v>127</v>
      </c>
      <c r="J23" s="17" t="s">
        <v>134</v>
      </c>
      <c r="K23" s="17">
        <v>24</v>
      </c>
      <c r="L23" s="122"/>
      <c r="M23" s="120"/>
    </row>
    <row r="24" spans="1:13" x14ac:dyDescent="0.35">
      <c r="A24" s="119"/>
      <c r="B24" s="17" t="s">
        <v>29</v>
      </c>
      <c r="C24" s="17" t="s">
        <v>132</v>
      </c>
      <c r="D24" s="17" t="s">
        <v>133</v>
      </c>
      <c r="E24" s="17" t="s">
        <v>133</v>
      </c>
      <c r="F24" s="17" t="s">
        <v>133</v>
      </c>
      <c r="G24" s="17" t="s">
        <v>133</v>
      </c>
      <c r="H24" s="17" t="s">
        <v>134</v>
      </c>
      <c r="I24" s="17" t="s">
        <v>127</v>
      </c>
      <c r="J24" s="17" t="s">
        <v>134</v>
      </c>
      <c r="K24" s="17">
        <v>24</v>
      </c>
      <c r="L24" s="122"/>
      <c r="M24" s="120"/>
    </row>
    <row r="25" spans="1:13" x14ac:dyDescent="0.35">
      <c r="A25" s="119"/>
      <c r="B25" s="17" t="s">
        <v>137</v>
      </c>
      <c r="C25" s="17" t="s">
        <v>132</v>
      </c>
      <c r="D25" s="17" t="s">
        <v>133</v>
      </c>
      <c r="E25" s="17" t="s">
        <v>133</v>
      </c>
      <c r="F25" s="17" t="s">
        <v>133</v>
      </c>
      <c r="G25" s="17" t="s">
        <v>133</v>
      </c>
      <c r="H25" s="17" t="s">
        <v>134</v>
      </c>
      <c r="I25" s="17" t="s">
        <v>127</v>
      </c>
      <c r="J25" s="17" t="s">
        <v>134</v>
      </c>
      <c r="K25" s="17">
        <v>24</v>
      </c>
      <c r="L25" s="122"/>
      <c r="M25" s="120"/>
    </row>
    <row r="26" spans="1:13" x14ac:dyDescent="0.35">
      <c r="A26" s="119"/>
      <c r="B26" s="17" t="s">
        <v>138</v>
      </c>
      <c r="C26" s="17" t="s">
        <v>132</v>
      </c>
      <c r="D26" s="17" t="s">
        <v>133</v>
      </c>
      <c r="E26" s="17" t="s">
        <v>133</v>
      </c>
      <c r="F26" s="17" t="s">
        <v>133</v>
      </c>
      <c r="G26" s="17" t="s">
        <v>133</v>
      </c>
      <c r="H26" s="17" t="s">
        <v>134</v>
      </c>
      <c r="I26" s="17" t="s">
        <v>127</v>
      </c>
      <c r="J26" s="17" t="s">
        <v>134</v>
      </c>
      <c r="K26" s="17">
        <v>24</v>
      </c>
      <c r="L26" s="123"/>
      <c r="M26" s="120"/>
    </row>
    <row r="27" spans="1:13" x14ac:dyDescent="0.35">
      <c r="A27" s="119">
        <v>46086</v>
      </c>
      <c r="B27" s="17" t="s">
        <v>131</v>
      </c>
      <c r="C27" s="17" t="s">
        <v>132</v>
      </c>
      <c r="D27" s="17" t="s">
        <v>133</v>
      </c>
      <c r="E27" s="17" t="s">
        <v>134</v>
      </c>
      <c r="F27" s="17" t="s">
        <v>133</v>
      </c>
      <c r="G27" s="17" t="s">
        <v>133</v>
      </c>
      <c r="H27" s="17" t="s">
        <v>134</v>
      </c>
      <c r="I27" s="17" t="s">
        <v>127</v>
      </c>
      <c r="J27" s="17" t="s">
        <v>134</v>
      </c>
      <c r="K27" s="17">
        <v>24</v>
      </c>
      <c r="L27" s="121" t="s">
        <v>237</v>
      </c>
      <c r="M27" s="120" t="s">
        <v>235</v>
      </c>
    </row>
    <row r="28" spans="1:13" x14ac:dyDescent="0.35">
      <c r="A28" s="119"/>
      <c r="B28" s="17" t="s">
        <v>135</v>
      </c>
      <c r="C28" s="17" t="s">
        <v>132</v>
      </c>
      <c r="D28" s="17" t="s">
        <v>133</v>
      </c>
      <c r="E28" s="17" t="s">
        <v>133</v>
      </c>
      <c r="F28" s="17" t="s">
        <v>133</v>
      </c>
      <c r="G28" s="17" t="s">
        <v>133</v>
      </c>
      <c r="H28" s="17" t="s">
        <v>134</v>
      </c>
      <c r="I28" s="17" t="s">
        <v>127</v>
      </c>
      <c r="J28" s="17" t="s">
        <v>134</v>
      </c>
      <c r="K28" s="17">
        <v>24</v>
      </c>
      <c r="L28" s="122"/>
      <c r="M28" s="120"/>
    </row>
    <row r="29" spans="1:13" x14ac:dyDescent="0.35">
      <c r="A29" s="119"/>
      <c r="B29" s="17" t="s">
        <v>136</v>
      </c>
      <c r="C29" s="17" t="s">
        <v>132</v>
      </c>
      <c r="D29" s="17" t="s">
        <v>133</v>
      </c>
      <c r="E29" s="17" t="s">
        <v>133</v>
      </c>
      <c r="F29" s="17" t="s">
        <v>133</v>
      </c>
      <c r="G29" s="17" t="s">
        <v>133</v>
      </c>
      <c r="H29" s="17" t="s">
        <v>134</v>
      </c>
      <c r="I29" s="17" t="s">
        <v>127</v>
      </c>
      <c r="J29" s="17" t="s">
        <v>134</v>
      </c>
      <c r="K29" s="17">
        <v>24</v>
      </c>
      <c r="L29" s="122"/>
      <c r="M29" s="120"/>
    </row>
    <row r="30" spans="1:13" x14ac:dyDescent="0.35">
      <c r="A30" s="119"/>
      <c r="B30" s="17" t="s">
        <v>29</v>
      </c>
      <c r="C30" s="17" t="s">
        <v>132</v>
      </c>
      <c r="D30" s="17" t="s">
        <v>133</v>
      </c>
      <c r="E30" s="17" t="s">
        <v>133</v>
      </c>
      <c r="F30" s="17" t="s">
        <v>133</v>
      </c>
      <c r="G30" s="17" t="s">
        <v>133</v>
      </c>
      <c r="H30" s="17" t="s">
        <v>134</v>
      </c>
      <c r="I30" s="17" t="s">
        <v>127</v>
      </c>
      <c r="J30" s="17" t="s">
        <v>134</v>
      </c>
      <c r="K30" s="17">
        <v>24</v>
      </c>
      <c r="L30" s="122"/>
      <c r="M30" s="120"/>
    </row>
    <row r="31" spans="1:13" x14ac:dyDescent="0.35">
      <c r="A31" s="119"/>
      <c r="B31" s="17" t="s">
        <v>137</v>
      </c>
      <c r="C31" s="17" t="s">
        <v>132</v>
      </c>
      <c r="D31" s="17" t="s">
        <v>133</v>
      </c>
      <c r="E31" s="17" t="s">
        <v>133</v>
      </c>
      <c r="F31" s="17" t="s">
        <v>133</v>
      </c>
      <c r="G31" s="17" t="s">
        <v>133</v>
      </c>
      <c r="H31" s="17" t="s">
        <v>134</v>
      </c>
      <c r="I31" s="17" t="s">
        <v>127</v>
      </c>
      <c r="J31" s="17" t="s">
        <v>134</v>
      </c>
      <c r="K31" s="17">
        <v>24</v>
      </c>
      <c r="L31" s="122"/>
      <c r="M31" s="120"/>
    </row>
    <row r="32" spans="1:13" x14ac:dyDescent="0.35">
      <c r="A32" s="119"/>
      <c r="B32" s="17" t="s">
        <v>138</v>
      </c>
      <c r="C32" s="17" t="s">
        <v>132</v>
      </c>
      <c r="D32" s="17" t="s">
        <v>133</v>
      </c>
      <c r="E32" s="17" t="s">
        <v>133</v>
      </c>
      <c r="F32" s="17" t="s">
        <v>133</v>
      </c>
      <c r="G32" s="17" t="s">
        <v>133</v>
      </c>
      <c r="H32" s="17" t="s">
        <v>134</v>
      </c>
      <c r="I32" s="17" t="s">
        <v>127</v>
      </c>
      <c r="J32" s="17" t="s">
        <v>134</v>
      </c>
      <c r="K32" s="17">
        <v>24</v>
      </c>
      <c r="L32" s="123"/>
      <c r="M32" s="120"/>
    </row>
    <row r="33" spans="1:13" x14ac:dyDescent="0.35">
      <c r="A33" s="119">
        <v>46087</v>
      </c>
      <c r="B33" s="17" t="s">
        <v>131</v>
      </c>
      <c r="C33" s="17" t="s">
        <v>132</v>
      </c>
      <c r="D33" s="17" t="s">
        <v>133</v>
      </c>
      <c r="E33" s="17" t="s">
        <v>134</v>
      </c>
      <c r="F33" s="17" t="s">
        <v>133</v>
      </c>
      <c r="G33" s="17" t="s">
        <v>133</v>
      </c>
      <c r="H33" s="17" t="s">
        <v>134</v>
      </c>
      <c r="I33" s="17" t="s">
        <v>127</v>
      </c>
      <c r="J33" s="17" t="s">
        <v>134</v>
      </c>
      <c r="K33" s="17">
        <v>24</v>
      </c>
      <c r="L33" s="121" t="s">
        <v>237</v>
      </c>
      <c r="M33" s="120" t="s">
        <v>235</v>
      </c>
    </row>
    <row r="34" spans="1:13" x14ac:dyDescent="0.35">
      <c r="A34" s="119"/>
      <c r="B34" s="17" t="s">
        <v>135</v>
      </c>
      <c r="C34" s="17" t="s">
        <v>132</v>
      </c>
      <c r="D34" s="17" t="s">
        <v>133</v>
      </c>
      <c r="E34" s="17" t="s">
        <v>133</v>
      </c>
      <c r="F34" s="17" t="s">
        <v>133</v>
      </c>
      <c r="G34" s="17" t="s">
        <v>133</v>
      </c>
      <c r="H34" s="17" t="s">
        <v>134</v>
      </c>
      <c r="I34" s="17" t="s">
        <v>127</v>
      </c>
      <c r="J34" s="17" t="s">
        <v>134</v>
      </c>
      <c r="K34" s="17">
        <v>24</v>
      </c>
      <c r="L34" s="122"/>
      <c r="M34" s="120"/>
    </row>
    <row r="35" spans="1:13" x14ac:dyDescent="0.35">
      <c r="A35" s="119"/>
      <c r="B35" s="17" t="s">
        <v>136</v>
      </c>
      <c r="C35" s="17" t="s">
        <v>132</v>
      </c>
      <c r="D35" s="17" t="s">
        <v>133</v>
      </c>
      <c r="E35" s="17" t="s">
        <v>133</v>
      </c>
      <c r="F35" s="17" t="s">
        <v>133</v>
      </c>
      <c r="G35" s="17" t="s">
        <v>133</v>
      </c>
      <c r="H35" s="17" t="s">
        <v>134</v>
      </c>
      <c r="I35" s="17" t="s">
        <v>127</v>
      </c>
      <c r="J35" s="17" t="s">
        <v>134</v>
      </c>
      <c r="K35" s="17">
        <v>24</v>
      </c>
      <c r="L35" s="122"/>
      <c r="M35" s="120"/>
    </row>
    <row r="36" spans="1:13" x14ac:dyDescent="0.35">
      <c r="A36" s="119"/>
      <c r="B36" s="17" t="s">
        <v>29</v>
      </c>
      <c r="C36" s="17" t="s">
        <v>132</v>
      </c>
      <c r="D36" s="17" t="s">
        <v>133</v>
      </c>
      <c r="E36" s="17" t="s">
        <v>133</v>
      </c>
      <c r="F36" s="17" t="s">
        <v>133</v>
      </c>
      <c r="G36" s="17" t="s">
        <v>133</v>
      </c>
      <c r="H36" s="17" t="s">
        <v>134</v>
      </c>
      <c r="I36" s="17" t="s">
        <v>127</v>
      </c>
      <c r="J36" s="17" t="s">
        <v>134</v>
      </c>
      <c r="K36" s="17">
        <v>24</v>
      </c>
      <c r="L36" s="122"/>
      <c r="M36" s="120"/>
    </row>
    <row r="37" spans="1:13" x14ac:dyDescent="0.35">
      <c r="A37" s="119"/>
      <c r="B37" s="17" t="s">
        <v>137</v>
      </c>
      <c r="C37" s="17" t="s">
        <v>132</v>
      </c>
      <c r="D37" s="17" t="s">
        <v>133</v>
      </c>
      <c r="E37" s="17" t="s">
        <v>133</v>
      </c>
      <c r="F37" s="17" t="s">
        <v>133</v>
      </c>
      <c r="G37" s="17" t="s">
        <v>133</v>
      </c>
      <c r="H37" s="17" t="s">
        <v>134</v>
      </c>
      <c r="I37" s="17" t="s">
        <v>127</v>
      </c>
      <c r="J37" s="17" t="s">
        <v>134</v>
      </c>
      <c r="K37" s="17">
        <v>24</v>
      </c>
      <c r="L37" s="122"/>
      <c r="M37" s="120"/>
    </row>
    <row r="38" spans="1:13" x14ac:dyDescent="0.35">
      <c r="A38" s="119"/>
      <c r="B38" s="17" t="s">
        <v>138</v>
      </c>
      <c r="C38" s="17" t="s">
        <v>132</v>
      </c>
      <c r="D38" s="17" t="s">
        <v>133</v>
      </c>
      <c r="E38" s="17" t="s">
        <v>133</v>
      </c>
      <c r="F38" s="17" t="s">
        <v>133</v>
      </c>
      <c r="G38" s="17" t="s">
        <v>133</v>
      </c>
      <c r="H38" s="17" t="s">
        <v>134</v>
      </c>
      <c r="I38" s="17" t="s">
        <v>127</v>
      </c>
      <c r="J38" s="17" t="s">
        <v>134</v>
      </c>
      <c r="K38" s="17">
        <v>24</v>
      </c>
      <c r="L38" s="123"/>
      <c r="M38" s="120"/>
    </row>
    <row r="39" spans="1:13" x14ac:dyDescent="0.35">
      <c r="A39" s="119">
        <v>46088</v>
      </c>
      <c r="B39" s="17" t="s">
        <v>131</v>
      </c>
      <c r="C39" s="17" t="s">
        <v>132</v>
      </c>
      <c r="D39" s="17" t="s">
        <v>133</v>
      </c>
      <c r="E39" s="17" t="s">
        <v>134</v>
      </c>
      <c r="F39" s="17" t="s">
        <v>133</v>
      </c>
      <c r="G39" s="17" t="s">
        <v>133</v>
      </c>
      <c r="H39" s="17" t="s">
        <v>134</v>
      </c>
      <c r="I39" s="17" t="s">
        <v>127</v>
      </c>
      <c r="J39" s="17" t="s">
        <v>134</v>
      </c>
      <c r="K39" s="17">
        <v>24</v>
      </c>
      <c r="L39" s="121" t="s">
        <v>236</v>
      </c>
      <c r="M39" s="120" t="s">
        <v>235</v>
      </c>
    </row>
    <row r="40" spans="1:13" x14ac:dyDescent="0.35">
      <c r="A40" s="119"/>
      <c r="B40" s="17" t="s">
        <v>135</v>
      </c>
      <c r="C40" s="17" t="s">
        <v>132</v>
      </c>
      <c r="D40" s="17" t="s">
        <v>133</v>
      </c>
      <c r="E40" s="17" t="s">
        <v>133</v>
      </c>
      <c r="F40" s="17" t="s">
        <v>133</v>
      </c>
      <c r="G40" s="17" t="s">
        <v>133</v>
      </c>
      <c r="H40" s="17" t="s">
        <v>134</v>
      </c>
      <c r="I40" s="17" t="s">
        <v>127</v>
      </c>
      <c r="J40" s="17" t="s">
        <v>134</v>
      </c>
      <c r="K40" s="17">
        <v>24</v>
      </c>
      <c r="L40" s="122"/>
      <c r="M40" s="120"/>
    </row>
    <row r="41" spans="1:13" x14ac:dyDescent="0.35">
      <c r="A41" s="119"/>
      <c r="B41" s="17" t="s">
        <v>136</v>
      </c>
      <c r="C41" s="17" t="s">
        <v>132</v>
      </c>
      <c r="D41" s="17" t="s">
        <v>133</v>
      </c>
      <c r="E41" s="17" t="s">
        <v>133</v>
      </c>
      <c r="F41" s="17" t="s">
        <v>133</v>
      </c>
      <c r="G41" s="17" t="s">
        <v>133</v>
      </c>
      <c r="H41" s="17" t="s">
        <v>134</v>
      </c>
      <c r="I41" s="17" t="s">
        <v>127</v>
      </c>
      <c r="J41" s="17" t="s">
        <v>134</v>
      </c>
      <c r="K41" s="17">
        <v>24</v>
      </c>
      <c r="L41" s="122"/>
      <c r="M41" s="120"/>
    </row>
    <row r="42" spans="1:13" x14ac:dyDescent="0.35">
      <c r="A42" s="119"/>
      <c r="B42" s="17" t="s">
        <v>29</v>
      </c>
      <c r="C42" s="17" t="s">
        <v>132</v>
      </c>
      <c r="D42" s="17" t="s">
        <v>133</v>
      </c>
      <c r="E42" s="17" t="s">
        <v>133</v>
      </c>
      <c r="F42" s="17" t="s">
        <v>133</v>
      </c>
      <c r="G42" s="17" t="s">
        <v>133</v>
      </c>
      <c r="H42" s="17" t="s">
        <v>134</v>
      </c>
      <c r="I42" s="17" t="s">
        <v>127</v>
      </c>
      <c r="J42" s="17" t="s">
        <v>134</v>
      </c>
      <c r="K42" s="17">
        <v>24</v>
      </c>
      <c r="L42" s="122"/>
      <c r="M42" s="120"/>
    </row>
    <row r="43" spans="1:13" x14ac:dyDescent="0.35">
      <c r="A43" s="119"/>
      <c r="B43" s="17" t="s">
        <v>137</v>
      </c>
      <c r="C43" s="17" t="s">
        <v>132</v>
      </c>
      <c r="D43" s="17" t="s">
        <v>133</v>
      </c>
      <c r="E43" s="17" t="s">
        <v>133</v>
      </c>
      <c r="F43" s="17" t="s">
        <v>133</v>
      </c>
      <c r="G43" s="17" t="s">
        <v>133</v>
      </c>
      <c r="H43" s="17" t="s">
        <v>134</v>
      </c>
      <c r="I43" s="17" t="s">
        <v>127</v>
      </c>
      <c r="J43" s="17" t="s">
        <v>134</v>
      </c>
      <c r="K43" s="17">
        <v>24</v>
      </c>
      <c r="L43" s="122"/>
      <c r="M43" s="120"/>
    </row>
    <row r="44" spans="1:13" x14ac:dyDescent="0.35">
      <c r="A44" s="119"/>
      <c r="B44" s="17" t="s">
        <v>138</v>
      </c>
      <c r="C44" s="17" t="s">
        <v>132</v>
      </c>
      <c r="D44" s="17" t="s">
        <v>133</v>
      </c>
      <c r="E44" s="17" t="s">
        <v>133</v>
      </c>
      <c r="F44" s="17" t="s">
        <v>133</v>
      </c>
      <c r="G44" s="17" t="s">
        <v>133</v>
      </c>
      <c r="H44" s="17" t="s">
        <v>134</v>
      </c>
      <c r="I44" s="17" t="s">
        <v>127</v>
      </c>
      <c r="J44" s="17" t="s">
        <v>134</v>
      </c>
      <c r="K44" s="17">
        <v>24</v>
      </c>
      <c r="L44" s="123"/>
      <c r="M44" s="120"/>
    </row>
    <row r="45" spans="1:13" x14ac:dyDescent="0.35">
      <c r="A45" s="119">
        <v>46089</v>
      </c>
      <c r="B45" s="17" t="s">
        <v>131</v>
      </c>
      <c r="C45" s="17" t="s">
        <v>132</v>
      </c>
      <c r="D45" s="17" t="s">
        <v>133</v>
      </c>
      <c r="E45" s="17" t="s">
        <v>134</v>
      </c>
      <c r="F45" s="17" t="s">
        <v>133</v>
      </c>
      <c r="G45" s="17" t="s">
        <v>133</v>
      </c>
      <c r="H45" s="17" t="s">
        <v>134</v>
      </c>
      <c r="I45" s="17" t="s">
        <v>127</v>
      </c>
      <c r="J45" s="17" t="s">
        <v>134</v>
      </c>
      <c r="K45" s="17">
        <v>24</v>
      </c>
      <c r="L45" s="121" t="s">
        <v>236</v>
      </c>
      <c r="M45" s="120" t="s">
        <v>235</v>
      </c>
    </row>
    <row r="46" spans="1:13" x14ac:dyDescent="0.35">
      <c r="A46" s="119"/>
      <c r="B46" s="17" t="s">
        <v>135</v>
      </c>
      <c r="C46" s="17" t="s">
        <v>132</v>
      </c>
      <c r="D46" s="17" t="s">
        <v>133</v>
      </c>
      <c r="E46" s="17" t="s">
        <v>133</v>
      </c>
      <c r="F46" s="17" t="s">
        <v>133</v>
      </c>
      <c r="G46" s="17" t="s">
        <v>133</v>
      </c>
      <c r="H46" s="17" t="s">
        <v>134</v>
      </c>
      <c r="I46" s="17" t="s">
        <v>127</v>
      </c>
      <c r="J46" s="17" t="s">
        <v>134</v>
      </c>
      <c r="K46" s="17">
        <v>24</v>
      </c>
      <c r="L46" s="122"/>
      <c r="M46" s="120"/>
    </row>
    <row r="47" spans="1:13" x14ac:dyDescent="0.35">
      <c r="A47" s="119"/>
      <c r="B47" s="17" t="s">
        <v>136</v>
      </c>
      <c r="C47" s="17" t="s">
        <v>132</v>
      </c>
      <c r="D47" s="17" t="s">
        <v>133</v>
      </c>
      <c r="E47" s="17" t="s">
        <v>133</v>
      </c>
      <c r="F47" s="17" t="s">
        <v>133</v>
      </c>
      <c r="G47" s="17" t="s">
        <v>133</v>
      </c>
      <c r="H47" s="17" t="s">
        <v>134</v>
      </c>
      <c r="I47" s="17" t="s">
        <v>127</v>
      </c>
      <c r="J47" s="17" t="s">
        <v>134</v>
      </c>
      <c r="K47" s="17">
        <v>24</v>
      </c>
      <c r="L47" s="122"/>
      <c r="M47" s="120"/>
    </row>
    <row r="48" spans="1:13" x14ac:dyDescent="0.35">
      <c r="A48" s="119"/>
      <c r="B48" s="17" t="s">
        <v>29</v>
      </c>
      <c r="C48" s="17" t="s">
        <v>132</v>
      </c>
      <c r="D48" s="17" t="s">
        <v>133</v>
      </c>
      <c r="E48" s="17" t="s">
        <v>133</v>
      </c>
      <c r="F48" s="17" t="s">
        <v>133</v>
      </c>
      <c r="G48" s="17" t="s">
        <v>133</v>
      </c>
      <c r="H48" s="17" t="s">
        <v>134</v>
      </c>
      <c r="I48" s="17" t="s">
        <v>127</v>
      </c>
      <c r="J48" s="17" t="s">
        <v>134</v>
      </c>
      <c r="K48" s="17">
        <v>24</v>
      </c>
      <c r="L48" s="122"/>
      <c r="M48" s="120"/>
    </row>
    <row r="49" spans="1:13" x14ac:dyDescent="0.35">
      <c r="A49" s="119"/>
      <c r="B49" s="17" t="s">
        <v>137</v>
      </c>
      <c r="C49" s="17" t="s">
        <v>132</v>
      </c>
      <c r="D49" s="17" t="s">
        <v>133</v>
      </c>
      <c r="E49" s="17" t="s">
        <v>133</v>
      </c>
      <c r="F49" s="17" t="s">
        <v>133</v>
      </c>
      <c r="G49" s="17" t="s">
        <v>133</v>
      </c>
      <c r="H49" s="17" t="s">
        <v>134</v>
      </c>
      <c r="I49" s="17" t="s">
        <v>127</v>
      </c>
      <c r="J49" s="17" t="s">
        <v>134</v>
      </c>
      <c r="K49" s="17">
        <v>24</v>
      </c>
      <c r="L49" s="122"/>
      <c r="M49" s="120"/>
    </row>
    <row r="50" spans="1:13" x14ac:dyDescent="0.35">
      <c r="A50" s="119"/>
      <c r="B50" s="17" t="s">
        <v>138</v>
      </c>
      <c r="C50" s="17" t="s">
        <v>132</v>
      </c>
      <c r="D50" s="17" t="s">
        <v>133</v>
      </c>
      <c r="E50" s="17" t="s">
        <v>133</v>
      </c>
      <c r="F50" s="17" t="s">
        <v>133</v>
      </c>
      <c r="G50" s="17" t="s">
        <v>133</v>
      </c>
      <c r="H50" s="17" t="s">
        <v>134</v>
      </c>
      <c r="I50" s="17" t="s">
        <v>127</v>
      </c>
      <c r="J50" s="17" t="s">
        <v>134</v>
      </c>
      <c r="K50" s="17">
        <v>24</v>
      </c>
      <c r="L50" s="123"/>
      <c r="M50" s="120"/>
    </row>
    <row r="51" spans="1:13" x14ac:dyDescent="0.35">
      <c r="A51" s="119">
        <v>46090</v>
      </c>
      <c r="B51" s="17" t="s">
        <v>131</v>
      </c>
      <c r="C51" s="17" t="s">
        <v>132</v>
      </c>
      <c r="D51" s="17" t="s">
        <v>133</v>
      </c>
      <c r="E51" s="17" t="s">
        <v>134</v>
      </c>
      <c r="F51" s="17" t="s">
        <v>133</v>
      </c>
      <c r="G51" s="17" t="s">
        <v>133</v>
      </c>
      <c r="H51" s="17" t="s">
        <v>134</v>
      </c>
      <c r="I51" s="17" t="s">
        <v>127</v>
      </c>
      <c r="J51" s="17" t="s">
        <v>134</v>
      </c>
      <c r="K51" s="17">
        <v>24</v>
      </c>
      <c r="L51" s="121" t="s">
        <v>236</v>
      </c>
      <c r="M51" s="120" t="s">
        <v>235</v>
      </c>
    </row>
    <row r="52" spans="1:13" x14ac:dyDescent="0.35">
      <c r="A52" s="119"/>
      <c r="B52" s="17" t="s">
        <v>135</v>
      </c>
      <c r="C52" s="17" t="s">
        <v>132</v>
      </c>
      <c r="D52" s="17" t="s">
        <v>133</v>
      </c>
      <c r="E52" s="17" t="s">
        <v>133</v>
      </c>
      <c r="F52" s="17" t="s">
        <v>133</v>
      </c>
      <c r="G52" s="17" t="s">
        <v>133</v>
      </c>
      <c r="H52" s="17" t="s">
        <v>134</v>
      </c>
      <c r="I52" s="17" t="s">
        <v>127</v>
      </c>
      <c r="J52" s="17" t="s">
        <v>134</v>
      </c>
      <c r="K52" s="17">
        <v>24</v>
      </c>
      <c r="L52" s="122"/>
      <c r="M52" s="120"/>
    </row>
    <row r="53" spans="1:13" x14ac:dyDescent="0.35">
      <c r="A53" s="119"/>
      <c r="B53" s="17" t="s">
        <v>136</v>
      </c>
      <c r="C53" s="17" t="s">
        <v>132</v>
      </c>
      <c r="D53" s="17" t="s">
        <v>133</v>
      </c>
      <c r="E53" s="17" t="s">
        <v>133</v>
      </c>
      <c r="F53" s="17" t="s">
        <v>133</v>
      </c>
      <c r="G53" s="17" t="s">
        <v>133</v>
      </c>
      <c r="H53" s="17" t="s">
        <v>134</v>
      </c>
      <c r="I53" s="17" t="s">
        <v>127</v>
      </c>
      <c r="J53" s="17" t="s">
        <v>134</v>
      </c>
      <c r="K53" s="17">
        <v>24</v>
      </c>
      <c r="L53" s="122"/>
      <c r="M53" s="120"/>
    </row>
    <row r="54" spans="1:13" x14ac:dyDescent="0.35">
      <c r="A54" s="119"/>
      <c r="B54" s="17" t="s">
        <v>29</v>
      </c>
      <c r="C54" s="17" t="s">
        <v>132</v>
      </c>
      <c r="D54" s="17" t="s">
        <v>133</v>
      </c>
      <c r="E54" s="17" t="s">
        <v>133</v>
      </c>
      <c r="F54" s="17" t="s">
        <v>133</v>
      </c>
      <c r="G54" s="17" t="s">
        <v>133</v>
      </c>
      <c r="H54" s="17" t="s">
        <v>134</v>
      </c>
      <c r="I54" s="17" t="s">
        <v>127</v>
      </c>
      <c r="J54" s="17" t="s">
        <v>134</v>
      </c>
      <c r="K54" s="17">
        <v>24</v>
      </c>
      <c r="L54" s="122"/>
      <c r="M54" s="120"/>
    </row>
    <row r="55" spans="1:13" x14ac:dyDescent="0.35">
      <c r="A55" s="119"/>
      <c r="B55" s="17" t="s">
        <v>137</v>
      </c>
      <c r="C55" s="17" t="s">
        <v>132</v>
      </c>
      <c r="D55" s="17" t="s">
        <v>133</v>
      </c>
      <c r="E55" s="17" t="s">
        <v>133</v>
      </c>
      <c r="F55" s="17" t="s">
        <v>133</v>
      </c>
      <c r="G55" s="17" t="s">
        <v>133</v>
      </c>
      <c r="H55" s="17" t="s">
        <v>134</v>
      </c>
      <c r="I55" s="17" t="s">
        <v>127</v>
      </c>
      <c r="J55" s="17" t="s">
        <v>134</v>
      </c>
      <c r="K55" s="17">
        <v>24</v>
      </c>
      <c r="L55" s="122"/>
      <c r="M55" s="120"/>
    </row>
    <row r="56" spans="1:13" x14ac:dyDescent="0.35">
      <c r="A56" s="119"/>
      <c r="B56" s="17" t="s">
        <v>138</v>
      </c>
      <c r="C56" s="17" t="s">
        <v>132</v>
      </c>
      <c r="D56" s="17" t="s">
        <v>133</v>
      </c>
      <c r="E56" s="17" t="s">
        <v>133</v>
      </c>
      <c r="F56" s="17" t="s">
        <v>133</v>
      </c>
      <c r="G56" s="17" t="s">
        <v>133</v>
      </c>
      <c r="H56" s="17" t="s">
        <v>134</v>
      </c>
      <c r="I56" s="17" t="s">
        <v>127</v>
      </c>
      <c r="J56" s="17" t="s">
        <v>134</v>
      </c>
      <c r="K56" s="17">
        <v>24</v>
      </c>
      <c r="L56" s="123"/>
      <c r="M56" s="120"/>
    </row>
    <row r="57" spans="1:13" x14ac:dyDescent="0.35">
      <c r="A57" s="119">
        <v>46091</v>
      </c>
      <c r="B57" s="17" t="s">
        <v>131</v>
      </c>
      <c r="C57" s="17" t="s">
        <v>132</v>
      </c>
      <c r="D57" s="17" t="s">
        <v>133</v>
      </c>
      <c r="E57" s="17" t="s">
        <v>134</v>
      </c>
      <c r="F57" s="17" t="s">
        <v>133</v>
      </c>
      <c r="G57" s="17" t="s">
        <v>133</v>
      </c>
      <c r="H57" s="17" t="s">
        <v>134</v>
      </c>
      <c r="I57" s="17" t="s">
        <v>127</v>
      </c>
      <c r="J57" s="17" t="s">
        <v>134</v>
      </c>
      <c r="K57" s="17">
        <v>24</v>
      </c>
      <c r="L57" s="121" t="s">
        <v>236</v>
      </c>
      <c r="M57" s="120" t="s">
        <v>235</v>
      </c>
    </row>
    <row r="58" spans="1:13" x14ac:dyDescent="0.35">
      <c r="A58" s="119"/>
      <c r="B58" s="17" t="s">
        <v>135</v>
      </c>
      <c r="C58" s="17" t="s">
        <v>132</v>
      </c>
      <c r="D58" s="17" t="s">
        <v>133</v>
      </c>
      <c r="E58" s="17" t="s">
        <v>133</v>
      </c>
      <c r="F58" s="17" t="s">
        <v>133</v>
      </c>
      <c r="G58" s="17" t="s">
        <v>133</v>
      </c>
      <c r="H58" s="17" t="s">
        <v>134</v>
      </c>
      <c r="I58" s="17" t="s">
        <v>127</v>
      </c>
      <c r="J58" s="17" t="s">
        <v>134</v>
      </c>
      <c r="K58" s="17">
        <v>24</v>
      </c>
      <c r="L58" s="122"/>
      <c r="M58" s="120"/>
    </row>
    <row r="59" spans="1:13" x14ac:dyDescent="0.35">
      <c r="A59" s="119"/>
      <c r="B59" s="17" t="s">
        <v>136</v>
      </c>
      <c r="C59" s="17" t="s">
        <v>132</v>
      </c>
      <c r="D59" s="17" t="s">
        <v>133</v>
      </c>
      <c r="E59" s="17" t="s">
        <v>133</v>
      </c>
      <c r="F59" s="17" t="s">
        <v>133</v>
      </c>
      <c r="G59" s="17" t="s">
        <v>133</v>
      </c>
      <c r="H59" s="17" t="s">
        <v>134</v>
      </c>
      <c r="I59" s="17" t="s">
        <v>127</v>
      </c>
      <c r="J59" s="17" t="s">
        <v>134</v>
      </c>
      <c r="K59" s="17">
        <v>24</v>
      </c>
      <c r="L59" s="122"/>
      <c r="M59" s="120"/>
    </row>
    <row r="60" spans="1:13" x14ac:dyDescent="0.35">
      <c r="A60" s="119"/>
      <c r="B60" s="17" t="s">
        <v>29</v>
      </c>
      <c r="C60" s="17" t="s">
        <v>132</v>
      </c>
      <c r="D60" s="17" t="s">
        <v>133</v>
      </c>
      <c r="E60" s="17" t="s">
        <v>133</v>
      </c>
      <c r="F60" s="17" t="s">
        <v>133</v>
      </c>
      <c r="G60" s="17" t="s">
        <v>133</v>
      </c>
      <c r="H60" s="17" t="s">
        <v>134</v>
      </c>
      <c r="I60" s="17" t="s">
        <v>127</v>
      </c>
      <c r="J60" s="17" t="s">
        <v>134</v>
      </c>
      <c r="K60" s="17">
        <v>24</v>
      </c>
      <c r="L60" s="122"/>
      <c r="M60" s="120"/>
    </row>
    <row r="61" spans="1:13" x14ac:dyDescent="0.35">
      <c r="A61" s="119"/>
      <c r="B61" s="17" t="s">
        <v>137</v>
      </c>
      <c r="C61" s="17" t="s">
        <v>132</v>
      </c>
      <c r="D61" s="17" t="s">
        <v>133</v>
      </c>
      <c r="E61" s="17" t="s">
        <v>133</v>
      </c>
      <c r="F61" s="17" t="s">
        <v>133</v>
      </c>
      <c r="G61" s="17" t="s">
        <v>133</v>
      </c>
      <c r="H61" s="17" t="s">
        <v>134</v>
      </c>
      <c r="I61" s="17" t="s">
        <v>127</v>
      </c>
      <c r="J61" s="17" t="s">
        <v>134</v>
      </c>
      <c r="K61" s="17">
        <v>24</v>
      </c>
      <c r="L61" s="122"/>
      <c r="M61" s="120"/>
    </row>
    <row r="62" spans="1:13" x14ac:dyDescent="0.35">
      <c r="A62" s="119"/>
      <c r="B62" s="17" t="s">
        <v>138</v>
      </c>
      <c r="C62" s="17" t="s">
        <v>132</v>
      </c>
      <c r="D62" s="17" t="s">
        <v>133</v>
      </c>
      <c r="E62" s="17" t="s">
        <v>133</v>
      </c>
      <c r="F62" s="17" t="s">
        <v>133</v>
      </c>
      <c r="G62" s="17" t="s">
        <v>133</v>
      </c>
      <c r="H62" s="17" t="s">
        <v>134</v>
      </c>
      <c r="I62" s="17" t="s">
        <v>127</v>
      </c>
      <c r="J62" s="17" t="s">
        <v>134</v>
      </c>
      <c r="K62" s="17">
        <v>24</v>
      </c>
      <c r="L62" s="123"/>
      <c r="M62" s="120"/>
    </row>
    <row r="63" spans="1:13" x14ac:dyDescent="0.35">
      <c r="A63" s="119">
        <v>46092</v>
      </c>
      <c r="B63" s="17" t="s">
        <v>131</v>
      </c>
      <c r="C63" s="17" t="s">
        <v>132</v>
      </c>
      <c r="D63" s="17" t="s">
        <v>133</v>
      </c>
      <c r="E63" s="17" t="s">
        <v>134</v>
      </c>
      <c r="F63" s="17" t="s">
        <v>133</v>
      </c>
      <c r="G63" s="17" t="s">
        <v>133</v>
      </c>
      <c r="H63" s="17" t="s">
        <v>134</v>
      </c>
      <c r="I63" s="17" t="s">
        <v>127</v>
      </c>
      <c r="J63" s="17" t="s">
        <v>134</v>
      </c>
      <c r="K63" s="17">
        <v>24</v>
      </c>
      <c r="L63" s="121" t="s">
        <v>236</v>
      </c>
      <c r="M63" s="120" t="s">
        <v>235</v>
      </c>
    </row>
    <row r="64" spans="1:13" x14ac:dyDescent="0.35">
      <c r="A64" s="119"/>
      <c r="B64" s="17" t="s">
        <v>135</v>
      </c>
      <c r="C64" s="17" t="s">
        <v>132</v>
      </c>
      <c r="D64" s="17" t="s">
        <v>133</v>
      </c>
      <c r="E64" s="17" t="s">
        <v>133</v>
      </c>
      <c r="F64" s="17" t="s">
        <v>133</v>
      </c>
      <c r="G64" s="17" t="s">
        <v>133</v>
      </c>
      <c r="H64" s="17" t="s">
        <v>134</v>
      </c>
      <c r="I64" s="17" t="s">
        <v>127</v>
      </c>
      <c r="J64" s="17" t="s">
        <v>134</v>
      </c>
      <c r="K64" s="17">
        <v>24</v>
      </c>
      <c r="L64" s="122"/>
      <c r="M64" s="120"/>
    </row>
    <row r="65" spans="1:13" x14ac:dyDescent="0.35">
      <c r="A65" s="119"/>
      <c r="B65" s="17" t="s">
        <v>136</v>
      </c>
      <c r="C65" s="17" t="s">
        <v>132</v>
      </c>
      <c r="D65" s="17" t="s">
        <v>133</v>
      </c>
      <c r="E65" s="17" t="s">
        <v>133</v>
      </c>
      <c r="F65" s="17" t="s">
        <v>133</v>
      </c>
      <c r="G65" s="17" t="s">
        <v>133</v>
      </c>
      <c r="H65" s="17" t="s">
        <v>134</v>
      </c>
      <c r="I65" s="17" t="s">
        <v>127</v>
      </c>
      <c r="J65" s="17" t="s">
        <v>134</v>
      </c>
      <c r="K65" s="17">
        <v>24</v>
      </c>
      <c r="L65" s="122"/>
      <c r="M65" s="120"/>
    </row>
    <row r="66" spans="1:13" x14ac:dyDescent="0.35">
      <c r="A66" s="119"/>
      <c r="B66" s="17" t="s">
        <v>29</v>
      </c>
      <c r="C66" s="17" t="s">
        <v>132</v>
      </c>
      <c r="D66" s="17" t="s">
        <v>133</v>
      </c>
      <c r="E66" s="17" t="s">
        <v>133</v>
      </c>
      <c r="F66" s="17" t="s">
        <v>133</v>
      </c>
      <c r="G66" s="17" t="s">
        <v>133</v>
      </c>
      <c r="H66" s="17" t="s">
        <v>134</v>
      </c>
      <c r="I66" s="17" t="s">
        <v>127</v>
      </c>
      <c r="J66" s="17" t="s">
        <v>134</v>
      </c>
      <c r="K66" s="17">
        <v>24</v>
      </c>
      <c r="L66" s="122"/>
      <c r="M66" s="120"/>
    </row>
    <row r="67" spans="1:13" x14ac:dyDescent="0.35">
      <c r="A67" s="119"/>
      <c r="B67" s="17" t="s">
        <v>137</v>
      </c>
      <c r="C67" s="17" t="s">
        <v>132</v>
      </c>
      <c r="D67" s="17" t="s">
        <v>133</v>
      </c>
      <c r="E67" s="17" t="s">
        <v>133</v>
      </c>
      <c r="F67" s="17" t="s">
        <v>133</v>
      </c>
      <c r="G67" s="17" t="s">
        <v>133</v>
      </c>
      <c r="H67" s="17" t="s">
        <v>134</v>
      </c>
      <c r="I67" s="17" t="s">
        <v>127</v>
      </c>
      <c r="J67" s="17" t="s">
        <v>134</v>
      </c>
      <c r="K67" s="17">
        <v>24</v>
      </c>
      <c r="L67" s="122"/>
      <c r="M67" s="120"/>
    </row>
    <row r="68" spans="1:13" x14ac:dyDescent="0.35">
      <c r="A68" s="119"/>
      <c r="B68" s="17" t="s">
        <v>138</v>
      </c>
      <c r="C68" s="17" t="s">
        <v>132</v>
      </c>
      <c r="D68" s="17" t="s">
        <v>133</v>
      </c>
      <c r="E68" s="17" t="s">
        <v>133</v>
      </c>
      <c r="F68" s="17" t="s">
        <v>133</v>
      </c>
      <c r="G68" s="17" t="s">
        <v>133</v>
      </c>
      <c r="H68" s="17" t="s">
        <v>134</v>
      </c>
      <c r="I68" s="17" t="s">
        <v>127</v>
      </c>
      <c r="J68" s="17" t="s">
        <v>134</v>
      </c>
      <c r="K68" s="17">
        <v>24</v>
      </c>
      <c r="L68" s="123"/>
      <c r="M68" s="120"/>
    </row>
    <row r="69" spans="1:13" x14ac:dyDescent="0.35">
      <c r="A69" s="119">
        <v>46093</v>
      </c>
      <c r="B69" s="17" t="s">
        <v>131</v>
      </c>
      <c r="C69" s="17" t="s">
        <v>132</v>
      </c>
      <c r="D69" s="17" t="s">
        <v>133</v>
      </c>
      <c r="E69" s="17" t="s">
        <v>134</v>
      </c>
      <c r="F69" s="17" t="s">
        <v>133</v>
      </c>
      <c r="G69" s="17" t="s">
        <v>133</v>
      </c>
      <c r="H69" s="17" t="s">
        <v>134</v>
      </c>
      <c r="I69" s="17" t="s">
        <v>127</v>
      </c>
      <c r="J69" s="17" t="s">
        <v>134</v>
      </c>
      <c r="K69" s="17">
        <v>24</v>
      </c>
      <c r="L69" s="121" t="s">
        <v>236</v>
      </c>
      <c r="M69" s="120" t="s">
        <v>235</v>
      </c>
    </row>
    <row r="70" spans="1:13" x14ac:dyDescent="0.35">
      <c r="A70" s="119"/>
      <c r="B70" s="17" t="s">
        <v>135</v>
      </c>
      <c r="C70" s="17" t="s">
        <v>132</v>
      </c>
      <c r="D70" s="17" t="s">
        <v>133</v>
      </c>
      <c r="E70" s="17" t="s">
        <v>133</v>
      </c>
      <c r="F70" s="17" t="s">
        <v>133</v>
      </c>
      <c r="G70" s="17" t="s">
        <v>133</v>
      </c>
      <c r="H70" s="17" t="s">
        <v>134</v>
      </c>
      <c r="I70" s="17" t="s">
        <v>127</v>
      </c>
      <c r="J70" s="17" t="s">
        <v>134</v>
      </c>
      <c r="K70" s="17">
        <v>24</v>
      </c>
      <c r="L70" s="122"/>
      <c r="M70" s="120"/>
    </row>
    <row r="71" spans="1:13" x14ac:dyDescent="0.35">
      <c r="A71" s="119"/>
      <c r="B71" s="17" t="s">
        <v>136</v>
      </c>
      <c r="C71" s="17" t="s">
        <v>132</v>
      </c>
      <c r="D71" s="17" t="s">
        <v>133</v>
      </c>
      <c r="E71" s="17" t="s">
        <v>133</v>
      </c>
      <c r="F71" s="17" t="s">
        <v>133</v>
      </c>
      <c r="G71" s="17" t="s">
        <v>133</v>
      </c>
      <c r="H71" s="17" t="s">
        <v>134</v>
      </c>
      <c r="I71" s="17" t="s">
        <v>127</v>
      </c>
      <c r="J71" s="17" t="s">
        <v>134</v>
      </c>
      <c r="K71" s="17">
        <v>24</v>
      </c>
      <c r="L71" s="122"/>
      <c r="M71" s="120"/>
    </row>
    <row r="72" spans="1:13" x14ac:dyDescent="0.35">
      <c r="A72" s="119"/>
      <c r="B72" s="17" t="s">
        <v>29</v>
      </c>
      <c r="C72" s="17" t="s">
        <v>132</v>
      </c>
      <c r="D72" s="17" t="s">
        <v>133</v>
      </c>
      <c r="E72" s="17" t="s">
        <v>133</v>
      </c>
      <c r="F72" s="17" t="s">
        <v>133</v>
      </c>
      <c r="G72" s="17" t="s">
        <v>133</v>
      </c>
      <c r="H72" s="17" t="s">
        <v>134</v>
      </c>
      <c r="I72" s="17" t="s">
        <v>127</v>
      </c>
      <c r="J72" s="17" t="s">
        <v>134</v>
      </c>
      <c r="K72" s="17">
        <v>24</v>
      </c>
      <c r="L72" s="122"/>
      <c r="M72" s="120"/>
    </row>
    <row r="73" spans="1:13" x14ac:dyDescent="0.35">
      <c r="A73" s="119"/>
      <c r="B73" s="17" t="s">
        <v>137</v>
      </c>
      <c r="C73" s="17" t="s">
        <v>132</v>
      </c>
      <c r="D73" s="17" t="s">
        <v>133</v>
      </c>
      <c r="E73" s="17" t="s">
        <v>133</v>
      </c>
      <c r="F73" s="17" t="s">
        <v>133</v>
      </c>
      <c r="G73" s="17" t="s">
        <v>133</v>
      </c>
      <c r="H73" s="17" t="s">
        <v>134</v>
      </c>
      <c r="I73" s="17" t="s">
        <v>127</v>
      </c>
      <c r="J73" s="17" t="s">
        <v>134</v>
      </c>
      <c r="K73" s="17">
        <v>24</v>
      </c>
      <c r="L73" s="122"/>
      <c r="M73" s="120"/>
    </row>
    <row r="74" spans="1:13" x14ac:dyDescent="0.35">
      <c r="A74" s="119"/>
      <c r="B74" s="17" t="s">
        <v>138</v>
      </c>
      <c r="C74" s="17" t="s">
        <v>132</v>
      </c>
      <c r="D74" s="17" t="s">
        <v>133</v>
      </c>
      <c r="E74" s="17" t="s">
        <v>133</v>
      </c>
      <c r="F74" s="17" t="s">
        <v>133</v>
      </c>
      <c r="G74" s="17" t="s">
        <v>133</v>
      </c>
      <c r="H74" s="17" t="s">
        <v>134</v>
      </c>
      <c r="I74" s="17" t="s">
        <v>127</v>
      </c>
      <c r="J74" s="17" t="s">
        <v>134</v>
      </c>
      <c r="K74" s="17">
        <v>24</v>
      </c>
      <c r="L74" s="123"/>
      <c r="M74" s="120"/>
    </row>
    <row r="75" spans="1:13" x14ac:dyDescent="0.35">
      <c r="A75" s="119">
        <v>46094</v>
      </c>
      <c r="B75" s="17" t="s">
        <v>131</v>
      </c>
      <c r="C75" s="17" t="s">
        <v>132</v>
      </c>
      <c r="D75" s="17" t="s">
        <v>133</v>
      </c>
      <c r="E75" s="17" t="s">
        <v>134</v>
      </c>
      <c r="F75" s="17" t="s">
        <v>133</v>
      </c>
      <c r="G75" s="17" t="s">
        <v>133</v>
      </c>
      <c r="H75" s="17" t="s">
        <v>134</v>
      </c>
      <c r="I75" s="17" t="s">
        <v>127</v>
      </c>
      <c r="J75" s="17" t="s">
        <v>134</v>
      </c>
      <c r="K75" s="17">
        <v>24</v>
      </c>
      <c r="L75" s="121" t="s">
        <v>236</v>
      </c>
      <c r="M75" s="120" t="s">
        <v>235</v>
      </c>
    </row>
    <row r="76" spans="1:13" x14ac:dyDescent="0.35">
      <c r="A76" s="119"/>
      <c r="B76" s="17" t="s">
        <v>135</v>
      </c>
      <c r="C76" s="17" t="s">
        <v>132</v>
      </c>
      <c r="D76" s="17" t="s">
        <v>133</v>
      </c>
      <c r="E76" s="17" t="s">
        <v>133</v>
      </c>
      <c r="F76" s="17" t="s">
        <v>133</v>
      </c>
      <c r="G76" s="17" t="s">
        <v>133</v>
      </c>
      <c r="H76" s="17" t="s">
        <v>134</v>
      </c>
      <c r="I76" s="17" t="s">
        <v>127</v>
      </c>
      <c r="J76" s="17" t="s">
        <v>134</v>
      </c>
      <c r="K76" s="17">
        <v>24</v>
      </c>
      <c r="L76" s="122"/>
      <c r="M76" s="120"/>
    </row>
    <row r="77" spans="1:13" x14ac:dyDescent="0.35">
      <c r="A77" s="119"/>
      <c r="B77" s="17" t="s">
        <v>136</v>
      </c>
      <c r="C77" s="17" t="s">
        <v>132</v>
      </c>
      <c r="D77" s="17" t="s">
        <v>133</v>
      </c>
      <c r="E77" s="17" t="s">
        <v>133</v>
      </c>
      <c r="F77" s="17" t="s">
        <v>133</v>
      </c>
      <c r="G77" s="17" t="s">
        <v>133</v>
      </c>
      <c r="H77" s="17" t="s">
        <v>134</v>
      </c>
      <c r="I77" s="17" t="s">
        <v>127</v>
      </c>
      <c r="J77" s="17" t="s">
        <v>134</v>
      </c>
      <c r="K77" s="17">
        <v>24</v>
      </c>
      <c r="L77" s="122"/>
      <c r="M77" s="120"/>
    </row>
    <row r="78" spans="1:13" x14ac:dyDescent="0.35">
      <c r="A78" s="119"/>
      <c r="B78" s="17" t="s">
        <v>29</v>
      </c>
      <c r="C78" s="17" t="s">
        <v>132</v>
      </c>
      <c r="D78" s="17" t="s">
        <v>133</v>
      </c>
      <c r="E78" s="17" t="s">
        <v>133</v>
      </c>
      <c r="F78" s="17" t="s">
        <v>133</v>
      </c>
      <c r="G78" s="17" t="s">
        <v>133</v>
      </c>
      <c r="H78" s="17" t="s">
        <v>134</v>
      </c>
      <c r="I78" s="17" t="s">
        <v>127</v>
      </c>
      <c r="J78" s="17" t="s">
        <v>134</v>
      </c>
      <c r="K78" s="17">
        <v>24</v>
      </c>
      <c r="L78" s="122"/>
      <c r="M78" s="120"/>
    </row>
    <row r="79" spans="1:13" x14ac:dyDescent="0.35">
      <c r="A79" s="119"/>
      <c r="B79" s="17" t="s">
        <v>137</v>
      </c>
      <c r="C79" s="17" t="s">
        <v>132</v>
      </c>
      <c r="D79" s="17" t="s">
        <v>133</v>
      </c>
      <c r="E79" s="17" t="s">
        <v>133</v>
      </c>
      <c r="F79" s="17" t="s">
        <v>133</v>
      </c>
      <c r="G79" s="17" t="s">
        <v>133</v>
      </c>
      <c r="H79" s="17" t="s">
        <v>134</v>
      </c>
      <c r="I79" s="17" t="s">
        <v>127</v>
      </c>
      <c r="J79" s="17" t="s">
        <v>134</v>
      </c>
      <c r="K79" s="17">
        <v>24</v>
      </c>
      <c r="L79" s="122"/>
      <c r="M79" s="120"/>
    </row>
    <row r="80" spans="1:13" x14ac:dyDescent="0.35">
      <c r="A80" s="119"/>
      <c r="B80" s="17" t="s">
        <v>138</v>
      </c>
      <c r="C80" s="17" t="s">
        <v>132</v>
      </c>
      <c r="D80" s="17" t="s">
        <v>133</v>
      </c>
      <c r="E80" s="17" t="s">
        <v>133</v>
      </c>
      <c r="F80" s="17" t="s">
        <v>133</v>
      </c>
      <c r="G80" s="17" t="s">
        <v>133</v>
      </c>
      <c r="H80" s="17" t="s">
        <v>134</v>
      </c>
      <c r="I80" s="17" t="s">
        <v>127</v>
      </c>
      <c r="J80" s="17" t="s">
        <v>134</v>
      </c>
      <c r="K80" s="17">
        <v>24</v>
      </c>
      <c r="L80" s="123"/>
      <c r="M80" s="120"/>
    </row>
    <row r="81" spans="1:13" x14ac:dyDescent="0.35">
      <c r="A81" s="119">
        <v>46095</v>
      </c>
      <c r="B81" s="17" t="s">
        <v>131</v>
      </c>
      <c r="C81" s="17" t="s">
        <v>132</v>
      </c>
      <c r="D81" s="17" t="s">
        <v>133</v>
      </c>
      <c r="E81" s="17" t="s">
        <v>134</v>
      </c>
      <c r="F81" s="17" t="s">
        <v>133</v>
      </c>
      <c r="G81" s="17" t="s">
        <v>133</v>
      </c>
      <c r="H81" s="17" t="s">
        <v>134</v>
      </c>
      <c r="I81" s="17" t="s">
        <v>127</v>
      </c>
      <c r="J81" s="17" t="s">
        <v>134</v>
      </c>
      <c r="K81" s="17">
        <v>24</v>
      </c>
      <c r="L81" s="121" t="s">
        <v>236</v>
      </c>
      <c r="M81" s="120" t="s">
        <v>235</v>
      </c>
    </row>
    <row r="82" spans="1:13" x14ac:dyDescent="0.35">
      <c r="A82" s="119"/>
      <c r="B82" s="17" t="s">
        <v>135</v>
      </c>
      <c r="C82" s="17" t="s">
        <v>132</v>
      </c>
      <c r="D82" s="17" t="s">
        <v>133</v>
      </c>
      <c r="E82" s="17" t="s">
        <v>133</v>
      </c>
      <c r="F82" s="17" t="s">
        <v>133</v>
      </c>
      <c r="G82" s="17" t="s">
        <v>133</v>
      </c>
      <c r="H82" s="17" t="s">
        <v>134</v>
      </c>
      <c r="I82" s="17" t="s">
        <v>127</v>
      </c>
      <c r="J82" s="17" t="s">
        <v>134</v>
      </c>
      <c r="K82" s="17">
        <v>24</v>
      </c>
      <c r="L82" s="122"/>
      <c r="M82" s="120"/>
    </row>
    <row r="83" spans="1:13" x14ac:dyDescent="0.35">
      <c r="A83" s="119"/>
      <c r="B83" s="17" t="s">
        <v>136</v>
      </c>
      <c r="C83" s="17" t="s">
        <v>132</v>
      </c>
      <c r="D83" s="17" t="s">
        <v>133</v>
      </c>
      <c r="E83" s="17" t="s">
        <v>133</v>
      </c>
      <c r="F83" s="17" t="s">
        <v>133</v>
      </c>
      <c r="G83" s="17" t="s">
        <v>133</v>
      </c>
      <c r="H83" s="17" t="s">
        <v>134</v>
      </c>
      <c r="I83" s="17" t="s">
        <v>127</v>
      </c>
      <c r="J83" s="17" t="s">
        <v>134</v>
      </c>
      <c r="K83" s="17">
        <v>24</v>
      </c>
      <c r="L83" s="122"/>
      <c r="M83" s="120"/>
    </row>
    <row r="84" spans="1:13" x14ac:dyDescent="0.35">
      <c r="A84" s="119"/>
      <c r="B84" s="17" t="s">
        <v>29</v>
      </c>
      <c r="C84" s="17" t="s">
        <v>132</v>
      </c>
      <c r="D84" s="17" t="s">
        <v>133</v>
      </c>
      <c r="E84" s="17" t="s">
        <v>133</v>
      </c>
      <c r="F84" s="17" t="s">
        <v>133</v>
      </c>
      <c r="G84" s="17" t="s">
        <v>133</v>
      </c>
      <c r="H84" s="17" t="s">
        <v>134</v>
      </c>
      <c r="I84" s="17" t="s">
        <v>127</v>
      </c>
      <c r="J84" s="17" t="s">
        <v>134</v>
      </c>
      <c r="K84" s="17">
        <v>24</v>
      </c>
      <c r="L84" s="122"/>
      <c r="M84" s="120"/>
    </row>
    <row r="85" spans="1:13" x14ac:dyDescent="0.35">
      <c r="A85" s="119"/>
      <c r="B85" s="17" t="s">
        <v>137</v>
      </c>
      <c r="C85" s="17" t="s">
        <v>132</v>
      </c>
      <c r="D85" s="17" t="s">
        <v>133</v>
      </c>
      <c r="E85" s="17" t="s">
        <v>133</v>
      </c>
      <c r="F85" s="17" t="s">
        <v>133</v>
      </c>
      <c r="G85" s="17" t="s">
        <v>133</v>
      </c>
      <c r="H85" s="17" t="s">
        <v>134</v>
      </c>
      <c r="I85" s="17" t="s">
        <v>127</v>
      </c>
      <c r="J85" s="17" t="s">
        <v>134</v>
      </c>
      <c r="K85" s="17">
        <v>24</v>
      </c>
      <c r="L85" s="122"/>
      <c r="M85" s="120"/>
    </row>
    <row r="86" spans="1:13" x14ac:dyDescent="0.35">
      <c r="A86" s="119"/>
      <c r="B86" s="17" t="s">
        <v>138</v>
      </c>
      <c r="C86" s="17" t="s">
        <v>132</v>
      </c>
      <c r="D86" s="17" t="s">
        <v>133</v>
      </c>
      <c r="E86" s="17" t="s">
        <v>133</v>
      </c>
      <c r="F86" s="17" t="s">
        <v>133</v>
      </c>
      <c r="G86" s="17" t="s">
        <v>133</v>
      </c>
      <c r="H86" s="17" t="s">
        <v>134</v>
      </c>
      <c r="I86" s="17" t="s">
        <v>127</v>
      </c>
      <c r="J86" s="17" t="s">
        <v>134</v>
      </c>
      <c r="K86" s="17">
        <v>24</v>
      </c>
      <c r="L86" s="123"/>
      <c r="M86" s="120"/>
    </row>
    <row r="87" spans="1:13" x14ac:dyDescent="0.35">
      <c r="A87" s="119">
        <v>46096</v>
      </c>
      <c r="B87" s="17" t="s">
        <v>131</v>
      </c>
      <c r="C87" s="17" t="s">
        <v>132</v>
      </c>
      <c r="D87" s="17" t="s">
        <v>133</v>
      </c>
      <c r="E87" s="17" t="s">
        <v>134</v>
      </c>
      <c r="F87" s="17" t="s">
        <v>133</v>
      </c>
      <c r="G87" s="17" t="s">
        <v>133</v>
      </c>
      <c r="H87" s="17" t="s">
        <v>134</v>
      </c>
      <c r="I87" s="17" t="s">
        <v>127</v>
      </c>
      <c r="J87" s="17" t="s">
        <v>134</v>
      </c>
      <c r="K87" s="17">
        <v>24</v>
      </c>
      <c r="L87" s="121" t="s">
        <v>237</v>
      </c>
      <c r="M87" s="120" t="s">
        <v>235</v>
      </c>
    </row>
    <row r="88" spans="1:13" x14ac:dyDescent="0.35">
      <c r="A88" s="119"/>
      <c r="B88" s="17" t="s">
        <v>135</v>
      </c>
      <c r="C88" s="17" t="s">
        <v>132</v>
      </c>
      <c r="D88" s="17" t="s">
        <v>133</v>
      </c>
      <c r="E88" s="17" t="s">
        <v>133</v>
      </c>
      <c r="F88" s="17" t="s">
        <v>133</v>
      </c>
      <c r="G88" s="17" t="s">
        <v>133</v>
      </c>
      <c r="H88" s="17" t="s">
        <v>134</v>
      </c>
      <c r="I88" s="17" t="s">
        <v>127</v>
      </c>
      <c r="J88" s="17" t="s">
        <v>134</v>
      </c>
      <c r="K88" s="17">
        <v>24</v>
      </c>
      <c r="L88" s="122"/>
      <c r="M88" s="120"/>
    </row>
    <row r="89" spans="1:13" x14ac:dyDescent="0.35">
      <c r="A89" s="119"/>
      <c r="B89" s="17" t="s">
        <v>136</v>
      </c>
      <c r="C89" s="17" t="s">
        <v>132</v>
      </c>
      <c r="D89" s="17" t="s">
        <v>133</v>
      </c>
      <c r="E89" s="17" t="s">
        <v>133</v>
      </c>
      <c r="F89" s="17" t="s">
        <v>133</v>
      </c>
      <c r="G89" s="17" t="s">
        <v>133</v>
      </c>
      <c r="H89" s="17" t="s">
        <v>134</v>
      </c>
      <c r="I89" s="17" t="s">
        <v>127</v>
      </c>
      <c r="J89" s="17" t="s">
        <v>134</v>
      </c>
      <c r="K89" s="17">
        <v>24</v>
      </c>
      <c r="L89" s="122"/>
      <c r="M89" s="120"/>
    </row>
    <row r="90" spans="1:13" x14ac:dyDescent="0.35">
      <c r="A90" s="119"/>
      <c r="B90" s="17" t="s">
        <v>29</v>
      </c>
      <c r="C90" s="17" t="s">
        <v>132</v>
      </c>
      <c r="D90" s="17" t="s">
        <v>133</v>
      </c>
      <c r="E90" s="17" t="s">
        <v>133</v>
      </c>
      <c r="F90" s="17" t="s">
        <v>133</v>
      </c>
      <c r="G90" s="17" t="s">
        <v>133</v>
      </c>
      <c r="H90" s="17" t="s">
        <v>134</v>
      </c>
      <c r="I90" s="17" t="s">
        <v>127</v>
      </c>
      <c r="J90" s="17" t="s">
        <v>134</v>
      </c>
      <c r="K90" s="17">
        <v>24</v>
      </c>
      <c r="L90" s="122"/>
      <c r="M90" s="120"/>
    </row>
    <row r="91" spans="1:13" x14ac:dyDescent="0.35">
      <c r="A91" s="119"/>
      <c r="B91" s="17" t="s">
        <v>137</v>
      </c>
      <c r="C91" s="17" t="s">
        <v>132</v>
      </c>
      <c r="D91" s="17" t="s">
        <v>133</v>
      </c>
      <c r="E91" s="17" t="s">
        <v>133</v>
      </c>
      <c r="F91" s="17" t="s">
        <v>133</v>
      </c>
      <c r="G91" s="17" t="s">
        <v>133</v>
      </c>
      <c r="H91" s="17" t="s">
        <v>134</v>
      </c>
      <c r="I91" s="17" t="s">
        <v>127</v>
      </c>
      <c r="J91" s="17" t="s">
        <v>134</v>
      </c>
      <c r="K91" s="17">
        <v>24</v>
      </c>
      <c r="L91" s="122"/>
      <c r="M91" s="120"/>
    </row>
    <row r="92" spans="1:13" x14ac:dyDescent="0.35">
      <c r="A92" s="119"/>
      <c r="B92" s="17" t="s">
        <v>138</v>
      </c>
      <c r="C92" s="17" t="s">
        <v>132</v>
      </c>
      <c r="D92" s="17" t="s">
        <v>133</v>
      </c>
      <c r="E92" s="17" t="s">
        <v>133</v>
      </c>
      <c r="F92" s="17" t="s">
        <v>133</v>
      </c>
      <c r="G92" s="17" t="s">
        <v>133</v>
      </c>
      <c r="H92" s="17" t="s">
        <v>134</v>
      </c>
      <c r="I92" s="17" t="s">
        <v>127</v>
      </c>
      <c r="J92" s="17" t="s">
        <v>134</v>
      </c>
      <c r="K92" s="17">
        <v>24</v>
      </c>
      <c r="L92" s="123"/>
      <c r="M92" s="120"/>
    </row>
    <row r="93" spans="1:13" x14ac:dyDescent="0.35">
      <c r="A93" s="119">
        <v>46097</v>
      </c>
      <c r="B93" s="17" t="s">
        <v>131</v>
      </c>
      <c r="C93" s="17" t="s">
        <v>132</v>
      </c>
      <c r="D93" s="17" t="s">
        <v>133</v>
      </c>
      <c r="E93" s="17" t="s">
        <v>134</v>
      </c>
      <c r="F93" s="17" t="s">
        <v>133</v>
      </c>
      <c r="G93" s="17" t="s">
        <v>133</v>
      </c>
      <c r="H93" s="17" t="s">
        <v>134</v>
      </c>
      <c r="I93" s="17" t="s">
        <v>127</v>
      </c>
      <c r="J93" s="17" t="s">
        <v>134</v>
      </c>
      <c r="K93" s="17">
        <v>24</v>
      </c>
      <c r="L93" s="121" t="s">
        <v>237</v>
      </c>
      <c r="M93" s="120" t="s">
        <v>235</v>
      </c>
    </row>
    <row r="94" spans="1:13" x14ac:dyDescent="0.35">
      <c r="A94" s="119"/>
      <c r="B94" s="17" t="s">
        <v>135</v>
      </c>
      <c r="C94" s="17" t="s">
        <v>132</v>
      </c>
      <c r="D94" s="17" t="s">
        <v>133</v>
      </c>
      <c r="E94" s="17" t="s">
        <v>133</v>
      </c>
      <c r="F94" s="17" t="s">
        <v>133</v>
      </c>
      <c r="G94" s="17" t="s">
        <v>133</v>
      </c>
      <c r="H94" s="17" t="s">
        <v>134</v>
      </c>
      <c r="I94" s="17" t="s">
        <v>127</v>
      </c>
      <c r="J94" s="17" t="s">
        <v>134</v>
      </c>
      <c r="K94" s="17">
        <v>24</v>
      </c>
      <c r="L94" s="122"/>
      <c r="M94" s="120"/>
    </row>
    <row r="95" spans="1:13" x14ac:dyDescent="0.35">
      <c r="A95" s="119"/>
      <c r="B95" s="17" t="s">
        <v>136</v>
      </c>
      <c r="C95" s="17" t="s">
        <v>132</v>
      </c>
      <c r="D95" s="17" t="s">
        <v>133</v>
      </c>
      <c r="E95" s="17" t="s">
        <v>133</v>
      </c>
      <c r="F95" s="17" t="s">
        <v>133</v>
      </c>
      <c r="G95" s="17" t="s">
        <v>133</v>
      </c>
      <c r="H95" s="17" t="s">
        <v>134</v>
      </c>
      <c r="I95" s="17" t="s">
        <v>127</v>
      </c>
      <c r="J95" s="17" t="s">
        <v>134</v>
      </c>
      <c r="K95" s="17">
        <v>24</v>
      </c>
      <c r="L95" s="122"/>
      <c r="M95" s="120"/>
    </row>
    <row r="96" spans="1:13" x14ac:dyDescent="0.35">
      <c r="A96" s="119"/>
      <c r="B96" s="17" t="s">
        <v>29</v>
      </c>
      <c r="C96" s="17" t="s">
        <v>132</v>
      </c>
      <c r="D96" s="17" t="s">
        <v>133</v>
      </c>
      <c r="E96" s="17" t="s">
        <v>133</v>
      </c>
      <c r="F96" s="17" t="s">
        <v>133</v>
      </c>
      <c r="G96" s="17" t="s">
        <v>133</v>
      </c>
      <c r="H96" s="17" t="s">
        <v>134</v>
      </c>
      <c r="I96" s="17" t="s">
        <v>127</v>
      </c>
      <c r="J96" s="17" t="s">
        <v>134</v>
      </c>
      <c r="K96" s="17">
        <v>24</v>
      </c>
      <c r="L96" s="122"/>
      <c r="M96" s="120"/>
    </row>
    <row r="97" spans="1:13" x14ac:dyDescent="0.35">
      <c r="A97" s="119"/>
      <c r="B97" s="17" t="s">
        <v>137</v>
      </c>
      <c r="C97" s="17" t="s">
        <v>132</v>
      </c>
      <c r="D97" s="17" t="s">
        <v>133</v>
      </c>
      <c r="E97" s="17" t="s">
        <v>133</v>
      </c>
      <c r="F97" s="17" t="s">
        <v>133</v>
      </c>
      <c r="G97" s="17" t="s">
        <v>133</v>
      </c>
      <c r="H97" s="17" t="s">
        <v>134</v>
      </c>
      <c r="I97" s="17" t="s">
        <v>127</v>
      </c>
      <c r="J97" s="17" t="s">
        <v>134</v>
      </c>
      <c r="K97" s="17">
        <v>24</v>
      </c>
      <c r="L97" s="122"/>
      <c r="M97" s="120"/>
    </row>
    <row r="98" spans="1:13" x14ac:dyDescent="0.35">
      <c r="A98" s="119"/>
      <c r="B98" s="17" t="s">
        <v>138</v>
      </c>
      <c r="C98" s="17" t="s">
        <v>132</v>
      </c>
      <c r="D98" s="17" t="s">
        <v>133</v>
      </c>
      <c r="E98" s="17" t="s">
        <v>133</v>
      </c>
      <c r="F98" s="17" t="s">
        <v>133</v>
      </c>
      <c r="G98" s="17" t="s">
        <v>133</v>
      </c>
      <c r="H98" s="17" t="s">
        <v>134</v>
      </c>
      <c r="I98" s="17" t="s">
        <v>127</v>
      </c>
      <c r="J98" s="17" t="s">
        <v>134</v>
      </c>
      <c r="K98" s="17">
        <v>24</v>
      </c>
      <c r="L98" s="123"/>
      <c r="M98" s="120"/>
    </row>
    <row r="99" spans="1:13" x14ac:dyDescent="0.35">
      <c r="A99" s="119">
        <v>46098</v>
      </c>
      <c r="B99" s="17" t="s">
        <v>131</v>
      </c>
      <c r="C99" s="17"/>
      <c r="D99" s="17"/>
      <c r="E99" s="17"/>
      <c r="F99" s="17"/>
      <c r="G99" s="17"/>
      <c r="H99" s="17"/>
      <c r="I99" s="17"/>
      <c r="J99" s="17"/>
      <c r="K99" s="17"/>
      <c r="L99" s="121"/>
      <c r="M99" s="120"/>
    </row>
    <row r="100" spans="1:13" x14ac:dyDescent="0.35">
      <c r="A100" s="119"/>
      <c r="B100" s="17" t="s">
        <v>135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22"/>
      <c r="M100" s="120"/>
    </row>
    <row r="101" spans="1:13" x14ac:dyDescent="0.35">
      <c r="A101" s="119"/>
      <c r="B101" s="17" t="s">
        <v>136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22"/>
      <c r="M101" s="120"/>
    </row>
    <row r="102" spans="1:13" x14ac:dyDescent="0.35">
      <c r="A102" s="119"/>
      <c r="B102" s="17" t="s">
        <v>29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22"/>
      <c r="M102" s="120"/>
    </row>
    <row r="103" spans="1:13" x14ac:dyDescent="0.35">
      <c r="A103" s="119"/>
      <c r="B103" s="17" t="s">
        <v>137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22"/>
      <c r="M103" s="120"/>
    </row>
    <row r="104" spans="1:13" x14ac:dyDescent="0.35">
      <c r="A104" s="119"/>
      <c r="B104" s="17" t="s">
        <v>138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23"/>
      <c r="M104" s="120"/>
    </row>
    <row r="105" spans="1:13" x14ac:dyDescent="0.35">
      <c r="A105" s="119">
        <v>46099</v>
      </c>
      <c r="B105" s="17" t="s">
        <v>131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21"/>
      <c r="M105" s="120"/>
    </row>
    <row r="106" spans="1:13" x14ac:dyDescent="0.35">
      <c r="A106" s="119"/>
      <c r="B106" s="17" t="s">
        <v>135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22"/>
      <c r="M106" s="120"/>
    </row>
    <row r="107" spans="1:13" x14ac:dyDescent="0.35">
      <c r="A107" s="119"/>
      <c r="B107" s="17" t="s">
        <v>136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22"/>
      <c r="M107" s="120"/>
    </row>
    <row r="108" spans="1:13" x14ac:dyDescent="0.35">
      <c r="A108" s="119"/>
      <c r="B108" s="17" t="s">
        <v>29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22"/>
      <c r="M108" s="120"/>
    </row>
    <row r="109" spans="1:13" x14ac:dyDescent="0.35">
      <c r="A109" s="119"/>
      <c r="B109" s="17" t="s">
        <v>137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22"/>
      <c r="M109" s="120"/>
    </row>
    <row r="110" spans="1:13" x14ac:dyDescent="0.35">
      <c r="A110" s="119"/>
      <c r="B110" s="17" t="s">
        <v>138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23"/>
      <c r="M110" s="120"/>
    </row>
    <row r="111" spans="1:13" x14ac:dyDescent="0.35">
      <c r="A111" s="119">
        <v>46100</v>
      </c>
      <c r="B111" s="17" t="s">
        <v>131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21"/>
      <c r="M111" s="120"/>
    </row>
    <row r="112" spans="1:13" x14ac:dyDescent="0.35">
      <c r="A112" s="119"/>
      <c r="B112" s="17" t="s">
        <v>135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22"/>
      <c r="M112" s="120"/>
    </row>
    <row r="113" spans="1:13" x14ac:dyDescent="0.35">
      <c r="A113" s="119"/>
      <c r="B113" s="17" t="s">
        <v>136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22"/>
      <c r="M113" s="120"/>
    </row>
    <row r="114" spans="1:13" x14ac:dyDescent="0.35">
      <c r="A114" s="119"/>
      <c r="B114" s="17" t="s">
        <v>29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22"/>
      <c r="M114" s="120"/>
    </row>
    <row r="115" spans="1:13" x14ac:dyDescent="0.35">
      <c r="A115" s="119"/>
      <c r="B115" s="17" t="s">
        <v>137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22"/>
      <c r="M115" s="120"/>
    </row>
    <row r="116" spans="1:13" x14ac:dyDescent="0.35">
      <c r="A116" s="119"/>
      <c r="B116" s="17" t="s">
        <v>138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23"/>
      <c r="M116" s="120"/>
    </row>
    <row r="117" spans="1:13" x14ac:dyDescent="0.35">
      <c r="A117" s="119">
        <v>46101</v>
      </c>
      <c r="B117" s="17" t="s">
        <v>131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21"/>
      <c r="M117" s="120"/>
    </row>
    <row r="118" spans="1:13" x14ac:dyDescent="0.35">
      <c r="A118" s="119"/>
      <c r="B118" s="17" t="s">
        <v>135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22"/>
      <c r="M118" s="120"/>
    </row>
    <row r="119" spans="1:13" x14ac:dyDescent="0.35">
      <c r="A119" s="119"/>
      <c r="B119" s="17" t="s">
        <v>136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22"/>
      <c r="M119" s="120"/>
    </row>
    <row r="120" spans="1:13" x14ac:dyDescent="0.35">
      <c r="A120" s="119"/>
      <c r="B120" s="17" t="s">
        <v>29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22"/>
      <c r="M120" s="120"/>
    </row>
    <row r="121" spans="1:13" x14ac:dyDescent="0.35">
      <c r="A121" s="119"/>
      <c r="B121" s="17" t="s">
        <v>137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22"/>
      <c r="M121" s="120"/>
    </row>
    <row r="122" spans="1:13" x14ac:dyDescent="0.35">
      <c r="A122" s="119"/>
      <c r="B122" s="17" t="s">
        <v>138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23"/>
      <c r="M122" s="120"/>
    </row>
    <row r="123" spans="1:13" x14ac:dyDescent="0.35">
      <c r="A123" s="119">
        <v>46102</v>
      </c>
      <c r="B123" s="17" t="s">
        <v>131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21"/>
      <c r="M123" s="120"/>
    </row>
    <row r="124" spans="1:13" x14ac:dyDescent="0.35">
      <c r="A124" s="119"/>
      <c r="B124" s="17" t="s">
        <v>135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22"/>
      <c r="M124" s="120"/>
    </row>
    <row r="125" spans="1:13" x14ac:dyDescent="0.35">
      <c r="A125" s="119"/>
      <c r="B125" s="17" t="s">
        <v>136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22"/>
      <c r="M125" s="120"/>
    </row>
    <row r="126" spans="1:13" x14ac:dyDescent="0.35">
      <c r="A126" s="119"/>
      <c r="B126" s="17" t="s">
        <v>29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22"/>
      <c r="M126" s="120"/>
    </row>
    <row r="127" spans="1:13" x14ac:dyDescent="0.35">
      <c r="A127" s="119"/>
      <c r="B127" s="17" t="s">
        <v>137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22"/>
      <c r="M127" s="120"/>
    </row>
    <row r="128" spans="1:13" x14ac:dyDescent="0.35">
      <c r="A128" s="119"/>
      <c r="B128" s="17" t="s">
        <v>138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23"/>
      <c r="M128" s="120"/>
    </row>
    <row r="129" spans="1:13" x14ac:dyDescent="0.35">
      <c r="A129" s="119">
        <v>46103</v>
      </c>
      <c r="B129" s="17" t="s">
        <v>131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21"/>
      <c r="M129" s="120"/>
    </row>
    <row r="130" spans="1:13" x14ac:dyDescent="0.35">
      <c r="A130" s="119"/>
      <c r="B130" s="17" t="s">
        <v>135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22"/>
      <c r="M130" s="120"/>
    </row>
    <row r="131" spans="1:13" x14ac:dyDescent="0.35">
      <c r="A131" s="119"/>
      <c r="B131" s="17" t="s">
        <v>136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22"/>
      <c r="M131" s="120"/>
    </row>
    <row r="132" spans="1:13" x14ac:dyDescent="0.35">
      <c r="A132" s="119"/>
      <c r="B132" s="17" t="s">
        <v>29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22"/>
      <c r="M132" s="120"/>
    </row>
    <row r="133" spans="1:13" x14ac:dyDescent="0.35">
      <c r="A133" s="119"/>
      <c r="B133" s="17" t="s">
        <v>137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22"/>
      <c r="M133" s="120"/>
    </row>
    <row r="134" spans="1:13" x14ac:dyDescent="0.35">
      <c r="A134" s="119"/>
      <c r="B134" s="17" t="s">
        <v>138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23"/>
      <c r="M134" s="120"/>
    </row>
    <row r="135" spans="1:13" x14ac:dyDescent="0.35">
      <c r="A135" s="119">
        <v>46104</v>
      </c>
      <c r="B135" s="17" t="s">
        <v>131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21"/>
      <c r="M135" s="120"/>
    </row>
    <row r="136" spans="1:13" x14ac:dyDescent="0.35">
      <c r="A136" s="119"/>
      <c r="B136" s="17" t="s">
        <v>135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22"/>
      <c r="M136" s="120"/>
    </row>
    <row r="137" spans="1:13" x14ac:dyDescent="0.35">
      <c r="A137" s="119"/>
      <c r="B137" s="17" t="s">
        <v>136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22"/>
      <c r="M137" s="120"/>
    </row>
    <row r="138" spans="1:13" x14ac:dyDescent="0.35">
      <c r="A138" s="119"/>
      <c r="B138" s="17" t="s">
        <v>29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22"/>
      <c r="M138" s="120"/>
    </row>
    <row r="139" spans="1:13" x14ac:dyDescent="0.35">
      <c r="A139" s="119"/>
      <c r="B139" s="17" t="s">
        <v>137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22"/>
      <c r="M139" s="120"/>
    </row>
    <row r="140" spans="1:13" x14ac:dyDescent="0.35">
      <c r="A140" s="119"/>
      <c r="B140" s="17" t="s">
        <v>138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23"/>
      <c r="M140" s="120"/>
    </row>
    <row r="141" spans="1:13" x14ac:dyDescent="0.35">
      <c r="A141" s="119">
        <v>46105</v>
      </c>
      <c r="B141" s="17" t="s">
        <v>131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21"/>
      <c r="M141" s="120"/>
    </row>
    <row r="142" spans="1:13" x14ac:dyDescent="0.35">
      <c r="A142" s="119"/>
      <c r="B142" s="17" t="s">
        <v>135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22"/>
      <c r="M142" s="120"/>
    </row>
    <row r="143" spans="1:13" x14ac:dyDescent="0.35">
      <c r="A143" s="119"/>
      <c r="B143" s="17" t="s">
        <v>136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22"/>
      <c r="M143" s="120"/>
    </row>
    <row r="144" spans="1:13" x14ac:dyDescent="0.35">
      <c r="A144" s="119"/>
      <c r="B144" s="17" t="s">
        <v>29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22"/>
      <c r="M144" s="120"/>
    </row>
    <row r="145" spans="1:13" x14ac:dyDescent="0.35">
      <c r="A145" s="119"/>
      <c r="B145" s="17" t="s">
        <v>137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122"/>
      <c r="M145" s="120"/>
    </row>
    <row r="146" spans="1:13" x14ac:dyDescent="0.35">
      <c r="A146" s="119"/>
      <c r="B146" s="17" t="s">
        <v>138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23"/>
      <c r="M146" s="120"/>
    </row>
    <row r="147" spans="1:13" x14ac:dyDescent="0.35">
      <c r="A147" s="119">
        <v>46106</v>
      </c>
      <c r="B147" s="17" t="s">
        <v>131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121"/>
      <c r="M147" s="120"/>
    </row>
    <row r="148" spans="1:13" x14ac:dyDescent="0.35">
      <c r="A148" s="119"/>
      <c r="B148" s="17" t="s">
        <v>135</v>
      </c>
      <c r="C148" s="17"/>
      <c r="D148" s="17"/>
      <c r="E148" s="17"/>
      <c r="F148" s="17"/>
      <c r="G148" s="17"/>
      <c r="H148" s="17"/>
      <c r="I148" s="17"/>
      <c r="J148" s="17"/>
      <c r="K148" s="17"/>
      <c r="L148" s="122"/>
      <c r="M148" s="120"/>
    </row>
    <row r="149" spans="1:13" x14ac:dyDescent="0.35">
      <c r="A149" s="119"/>
      <c r="B149" s="17" t="s">
        <v>136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22"/>
      <c r="M149" s="120"/>
    </row>
    <row r="150" spans="1:13" x14ac:dyDescent="0.35">
      <c r="A150" s="119"/>
      <c r="B150" s="17" t="s">
        <v>29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122"/>
      <c r="M150" s="120"/>
    </row>
    <row r="151" spans="1:13" x14ac:dyDescent="0.35">
      <c r="A151" s="119"/>
      <c r="B151" s="17" t="s">
        <v>137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122"/>
      <c r="M151" s="120"/>
    </row>
    <row r="152" spans="1:13" x14ac:dyDescent="0.35">
      <c r="A152" s="119"/>
      <c r="B152" s="17" t="s">
        <v>138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23"/>
      <c r="M152" s="120"/>
    </row>
    <row r="153" spans="1:13" x14ac:dyDescent="0.35">
      <c r="A153" s="119">
        <v>46107</v>
      </c>
      <c r="B153" s="17" t="s">
        <v>131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21"/>
      <c r="M153" s="120"/>
    </row>
    <row r="154" spans="1:13" x14ac:dyDescent="0.35">
      <c r="A154" s="119"/>
      <c r="B154" s="17" t="s">
        <v>135</v>
      </c>
      <c r="C154" s="17"/>
      <c r="D154" s="17"/>
      <c r="E154" s="17"/>
      <c r="F154" s="17"/>
      <c r="G154" s="17"/>
      <c r="H154" s="17"/>
      <c r="I154" s="17"/>
      <c r="J154" s="17"/>
      <c r="K154" s="17"/>
      <c r="L154" s="122"/>
      <c r="M154" s="120"/>
    </row>
    <row r="155" spans="1:13" x14ac:dyDescent="0.35">
      <c r="A155" s="119"/>
      <c r="B155" s="17" t="s">
        <v>136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22"/>
      <c r="M155" s="120"/>
    </row>
    <row r="156" spans="1:13" x14ac:dyDescent="0.35">
      <c r="A156" s="119"/>
      <c r="B156" s="17" t="s">
        <v>29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122"/>
      <c r="M156" s="120"/>
    </row>
    <row r="157" spans="1:13" x14ac:dyDescent="0.35">
      <c r="A157" s="119"/>
      <c r="B157" s="17" t="s">
        <v>137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22"/>
      <c r="M157" s="120"/>
    </row>
    <row r="158" spans="1:13" x14ac:dyDescent="0.35">
      <c r="A158" s="119"/>
      <c r="B158" s="17" t="s">
        <v>138</v>
      </c>
      <c r="C158" s="17"/>
      <c r="D158" s="17"/>
      <c r="E158" s="17"/>
      <c r="F158" s="17"/>
      <c r="G158" s="17"/>
      <c r="H158" s="17"/>
      <c r="I158" s="17"/>
      <c r="J158" s="17"/>
      <c r="K158" s="17"/>
      <c r="L158" s="123"/>
      <c r="M158" s="120"/>
    </row>
    <row r="159" spans="1:13" x14ac:dyDescent="0.35">
      <c r="A159" s="119">
        <v>46108</v>
      </c>
      <c r="B159" s="17" t="s">
        <v>131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121"/>
      <c r="M159" s="120"/>
    </row>
    <row r="160" spans="1:13" x14ac:dyDescent="0.35">
      <c r="A160" s="119"/>
      <c r="B160" s="17" t="s">
        <v>135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122"/>
      <c r="M160" s="120"/>
    </row>
    <row r="161" spans="1:13" x14ac:dyDescent="0.35">
      <c r="A161" s="119"/>
      <c r="B161" s="17" t="s">
        <v>136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122"/>
      <c r="M161" s="120"/>
    </row>
    <row r="162" spans="1:13" x14ac:dyDescent="0.35">
      <c r="A162" s="119"/>
      <c r="B162" s="17" t="s">
        <v>29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122"/>
      <c r="M162" s="120"/>
    </row>
    <row r="163" spans="1:13" x14ac:dyDescent="0.35">
      <c r="A163" s="119"/>
      <c r="B163" s="17" t="s">
        <v>137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122"/>
      <c r="M163" s="120"/>
    </row>
    <row r="164" spans="1:13" x14ac:dyDescent="0.35">
      <c r="A164" s="119"/>
      <c r="B164" s="17" t="s">
        <v>138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23"/>
      <c r="M164" s="120"/>
    </row>
    <row r="165" spans="1:13" x14ac:dyDescent="0.35">
      <c r="A165" s="119">
        <v>46109</v>
      </c>
      <c r="B165" s="17" t="s">
        <v>131</v>
      </c>
      <c r="C165" s="17"/>
      <c r="D165" s="17"/>
      <c r="E165" s="17"/>
      <c r="F165" s="17"/>
      <c r="G165" s="17"/>
      <c r="H165" s="17"/>
      <c r="I165" s="17"/>
      <c r="J165" s="17"/>
      <c r="K165" s="17"/>
      <c r="L165" s="121"/>
      <c r="M165" s="120"/>
    </row>
    <row r="166" spans="1:13" x14ac:dyDescent="0.35">
      <c r="A166" s="119"/>
      <c r="B166" s="17" t="s">
        <v>135</v>
      </c>
      <c r="C166" s="17"/>
      <c r="D166" s="17"/>
      <c r="E166" s="17"/>
      <c r="F166" s="17"/>
      <c r="G166" s="17"/>
      <c r="H166" s="17"/>
      <c r="I166" s="17"/>
      <c r="J166" s="17"/>
      <c r="K166" s="17"/>
      <c r="L166" s="122"/>
      <c r="M166" s="120"/>
    </row>
    <row r="167" spans="1:13" x14ac:dyDescent="0.35">
      <c r="A167" s="119"/>
      <c r="B167" s="17" t="s">
        <v>136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22"/>
      <c r="M167" s="120"/>
    </row>
    <row r="168" spans="1:13" x14ac:dyDescent="0.35">
      <c r="A168" s="119"/>
      <c r="B168" s="17" t="s">
        <v>29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22"/>
      <c r="M168" s="120"/>
    </row>
    <row r="169" spans="1:13" x14ac:dyDescent="0.35">
      <c r="A169" s="119"/>
      <c r="B169" s="17" t="s">
        <v>137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22"/>
      <c r="M169" s="120"/>
    </row>
    <row r="170" spans="1:13" x14ac:dyDescent="0.35">
      <c r="A170" s="119"/>
      <c r="B170" s="17" t="s">
        <v>138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23"/>
      <c r="M170" s="120"/>
    </row>
    <row r="171" spans="1:13" x14ac:dyDescent="0.35">
      <c r="A171" s="119">
        <v>46110</v>
      </c>
      <c r="B171" s="17" t="s">
        <v>131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121"/>
      <c r="M171" s="120"/>
    </row>
    <row r="172" spans="1:13" x14ac:dyDescent="0.35">
      <c r="A172" s="119"/>
      <c r="B172" s="17" t="s">
        <v>135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122"/>
      <c r="M172" s="120"/>
    </row>
    <row r="173" spans="1:13" x14ac:dyDescent="0.35">
      <c r="A173" s="119"/>
      <c r="B173" s="17" t="s">
        <v>136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22"/>
      <c r="M173" s="120"/>
    </row>
    <row r="174" spans="1:13" x14ac:dyDescent="0.35">
      <c r="A174" s="119"/>
      <c r="B174" s="17" t="s">
        <v>29</v>
      </c>
      <c r="C174" s="17"/>
      <c r="D174" s="17"/>
      <c r="E174" s="17"/>
      <c r="F174" s="17"/>
      <c r="G174" s="17"/>
      <c r="H174" s="17"/>
      <c r="I174" s="17"/>
      <c r="J174" s="17"/>
      <c r="K174" s="17"/>
      <c r="L174" s="122"/>
      <c r="M174" s="120"/>
    </row>
    <row r="175" spans="1:13" x14ac:dyDescent="0.35">
      <c r="A175" s="119"/>
      <c r="B175" s="17" t="s">
        <v>137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122"/>
      <c r="M175" s="120"/>
    </row>
    <row r="176" spans="1:13" x14ac:dyDescent="0.35">
      <c r="A176" s="119"/>
      <c r="B176" s="17" t="s">
        <v>138</v>
      </c>
      <c r="C176" s="17"/>
      <c r="D176" s="17"/>
      <c r="E176" s="17"/>
      <c r="F176" s="17"/>
      <c r="G176" s="17"/>
      <c r="H176" s="17"/>
      <c r="I176" s="17"/>
      <c r="J176" s="17"/>
      <c r="K176" s="17"/>
      <c r="L176" s="123"/>
      <c r="M176" s="120"/>
    </row>
    <row r="177" spans="1:13" x14ac:dyDescent="0.35">
      <c r="A177" s="119">
        <v>46111</v>
      </c>
      <c r="B177" s="17" t="s">
        <v>131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21"/>
      <c r="M177" s="120"/>
    </row>
    <row r="178" spans="1:13" x14ac:dyDescent="0.35">
      <c r="A178" s="119"/>
      <c r="B178" s="17" t="s">
        <v>135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122"/>
      <c r="M178" s="120"/>
    </row>
    <row r="179" spans="1:13" x14ac:dyDescent="0.35">
      <c r="A179" s="119"/>
      <c r="B179" s="17" t="s">
        <v>136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22"/>
      <c r="M179" s="120"/>
    </row>
    <row r="180" spans="1:13" x14ac:dyDescent="0.35">
      <c r="A180" s="119"/>
      <c r="B180" s="17" t="s">
        <v>29</v>
      </c>
      <c r="C180" s="17"/>
      <c r="D180" s="17"/>
      <c r="E180" s="17"/>
      <c r="F180" s="17"/>
      <c r="G180" s="17"/>
      <c r="H180" s="17"/>
      <c r="I180" s="17"/>
      <c r="J180" s="17"/>
      <c r="K180" s="17"/>
      <c r="L180" s="122"/>
      <c r="M180" s="120"/>
    </row>
    <row r="181" spans="1:13" x14ac:dyDescent="0.35">
      <c r="A181" s="119"/>
      <c r="B181" s="17" t="s">
        <v>137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22"/>
      <c r="M181" s="120"/>
    </row>
    <row r="182" spans="1:13" x14ac:dyDescent="0.35">
      <c r="A182" s="119"/>
      <c r="B182" s="17" t="s">
        <v>138</v>
      </c>
      <c r="C182" s="17"/>
      <c r="D182" s="17"/>
      <c r="E182" s="17"/>
      <c r="F182" s="17"/>
      <c r="G182" s="17"/>
      <c r="H182" s="17"/>
      <c r="I182" s="17"/>
      <c r="J182" s="17"/>
      <c r="K182" s="17"/>
      <c r="L182" s="123"/>
      <c r="M182" s="120"/>
    </row>
    <row r="183" spans="1:13" x14ac:dyDescent="0.35">
      <c r="A183" s="119">
        <v>46112</v>
      </c>
      <c r="B183" s="17" t="s">
        <v>131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21"/>
      <c r="M183" s="120"/>
    </row>
    <row r="184" spans="1:13" x14ac:dyDescent="0.35">
      <c r="A184" s="119"/>
      <c r="B184" s="17" t="s">
        <v>135</v>
      </c>
      <c r="C184" s="17"/>
      <c r="D184" s="17"/>
      <c r="E184" s="17"/>
      <c r="F184" s="17"/>
      <c r="G184" s="17"/>
      <c r="H184" s="17"/>
      <c r="I184" s="17"/>
      <c r="J184" s="17"/>
      <c r="K184" s="17"/>
      <c r="L184" s="122"/>
      <c r="M184" s="120"/>
    </row>
    <row r="185" spans="1:13" x14ac:dyDescent="0.35">
      <c r="A185" s="119"/>
      <c r="B185" s="17" t="s">
        <v>136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22"/>
      <c r="M185" s="120"/>
    </row>
    <row r="186" spans="1:13" x14ac:dyDescent="0.35">
      <c r="A186" s="119"/>
      <c r="B186" s="17" t="s">
        <v>29</v>
      </c>
      <c r="C186" s="17"/>
      <c r="D186" s="17"/>
      <c r="E186" s="17"/>
      <c r="F186" s="17"/>
      <c r="G186" s="17"/>
      <c r="H186" s="17"/>
      <c r="I186" s="17"/>
      <c r="J186" s="17"/>
      <c r="K186" s="17"/>
      <c r="L186" s="122"/>
      <c r="M186" s="120"/>
    </row>
    <row r="187" spans="1:13" x14ac:dyDescent="0.35">
      <c r="A187" s="119"/>
      <c r="B187" s="17" t="s">
        <v>137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22"/>
      <c r="M187" s="120"/>
    </row>
    <row r="188" spans="1:13" x14ac:dyDescent="0.35">
      <c r="A188" s="119"/>
      <c r="B188" s="17" t="s">
        <v>138</v>
      </c>
      <c r="C188" s="17"/>
      <c r="D188" s="17"/>
      <c r="E188" s="17"/>
      <c r="F188" s="17"/>
      <c r="G188" s="17"/>
      <c r="H188" s="17"/>
      <c r="I188" s="17"/>
      <c r="J188" s="17"/>
      <c r="K188" s="17"/>
      <c r="L188" s="123"/>
      <c r="M188" s="120"/>
    </row>
  </sheetData>
  <mergeCells count="94">
    <mergeCell ref="A183:A188"/>
    <mergeCell ref="L183:L188"/>
    <mergeCell ref="M183:M188"/>
    <mergeCell ref="A171:A176"/>
    <mergeCell ref="L171:L176"/>
    <mergeCell ref="M171:M176"/>
    <mergeCell ref="A177:A182"/>
    <mergeCell ref="L177:L182"/>
    <mergeCell ref="M177:M182"/>
    <mergeCell ref="L165:L170"/>
    <mergeCell ref="M165:M170"/>
    <mergeCell ref="L153:L158"/>
    <mergeCell ref="L129:L134"/>
    <mergeCell ref="M129:M134"/>
    <mergeCell ref="M153:M158"/>
    <mergeCell ref="L159:L164"/>
    <mergeCell ref="M159:M164"/>
    <mergeCell ref="L135:L140"/>
    <mergeCell ref="M135:M140"/>
    <mergeCell ref="L141:L146"/>
    <mergeCell ref="M141:M146"/>
    <mergeCell ref="L147:L152"/>
    <mergeCell ref="M147:M152"/>
    <mergeCell ref="A63:A68"/>
    <mergeCell ref="L63:L68"/>
    <mergeCell ref="M63:M68"/>
    <mergeCell ref="A51:A56"/>
    <mergeCell ref="L51:L56"/>
    <mergeCell ref="M51:M56"/>
    <mergeCell ref="A57:A62"/>
    <mergeCell ref="L57:L62"/>
    <mergeCell ref="M57:M62"/>
    <mergeCell ref="A1:C1"/>
    <mergeCell ref="A3:A8"/>
    <mergeCell ref="L3:L8"/>
    <mergeCell ref="M3:M8"/>
    <mergeCell ref="A9:A14"/>
    <mergeCell ref="L9:L14"/>
    <mergeCell ref="M9:M14"/>
    <mergeCell ref="M15:M20"/>
    <mergeCell ref="A21:A26"/>
    <mergeCell ref="L21:L26"/>
    <mergeCell ref="M21:M26"/>
    <mergeCell ref="A27:A32"/>
    <mergeCell ref="L27:L32"/>
    <mergeCell ref="M27:M32"/>
    <mergeCell ref="A15:A20"/>
    <mergeCell ref="L15:L20"/>
    <mergeCell ref="A45:A50"/>
    <mergeCell ref="L45:L50"/>
    <mergeCell ref="M45:M50"/>
    <mergeCell ref="A33:A38"/>
    <mergeCell ref="L33:L38"/>
    <mergeCell ref="M33:M38"/>
    <mergeCell ref="A39:A44"/>
    <mergeCell ref="L39:L44"/>
    <mergeCell ref="M39:M44"/>
    <mergeCell ref="M87:M92"/>
    <mergeCell ref="L93:L98"/>
    <mergeCell ref="M93:M98"/>
    <mergeCell ref="L99:L104"/>
    <mergeCell ref="M99:M104"/>
    <mergeCell ref="M69:M74"/>
    <mergeCell ref="L75:L80"/>
    <mergeCell ref="M75:M80"/>
    <mergeCell ref="L81:L86"/>
    <mergeCell ref="M81:M86"/>
    <mergeCell ref="A99:A104"/>
    <mergeCell ref="A105:A110"/>
    <mergeCell ref="A111:A116"/>
    <mergeCell ref="L105:L110"/>
    <mergeCell ref="L69:L74"/>
    <mergeCell ref="L87:L92"/>
    <mergeCell ref="A69:A74"/>
    <mergeCell ref="A75:A80"/>
    <mergeCell ref="A81:A86"/>
    <mergeCell ref="A87:A92"/>
    <mergeCell ref="A93:A98"/>
    <mergeCell ref="M105:M110"/>
    <mergeCell ref="L111:L116"/>
    <mergeCell ref="M111:M116"/>
    <mergeCell ref="A117:A122"/>
    <mergeCell ref="A123:A128"/>
    <mergeCell ref="L117:L122"/>
    <mergeCell ref="M117:M122"/>
    <mergeCell ref="L123:L128"/>
    <mergeCell ref="M123:M128"/>
    <mergeCell ref="A159:A164"/>
    <mergeCell ref="A165:A170"/>
    <mergeCell ref="A129:A134"/>
    <mergeCell ref="A135:A140"/>
    <mergeCell ref="A141:A146"/>
    <mergeCell ref="A147:A152"/>
    <mergeCell ref="A153:A158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S95"/>
  <sheetViews>
    <sheetView topLeftCell="A10" zoomScale="70" zoomScaleNormal="70" workbookViewId="0">
      <selection activeCell="C92" sqref="C92:BQ92"/>
    </sheetView>
  </sheetViews>
  <sheetFormatPr defaultColWidth="8.81640625" defaultRowHeight="14.5" x14ac:dyDescent="0.35"/>
  <cols>
    <col min="1" max="1" width="10" bestFit="1" customWidth="1"/>
    <col min="2" max="2" width="7.453125" bestFit="1" customWidth="1"/>
    <col min="3" max="11" width="5.54296875" bestFit="1" customWidth="1"/>
    <col min="12" max="14" width="6.1796875" bestFit="1" customWidth="1"/>
    <col min="70" max="70" width="21.54296875" bestFit="1" customWidth="1"/>
    <col min="71" max="71" width="55.1796875" bestFit="1" customWidth="1"/>
  </cols>
  <sheetData>
    <row r="1" spans="1:71" ht="16.5" thickBot="1" x14ac:dyDescent="0.3">
      <c r="A1" s="135" t="s">
        <v>68</v>
      </c>
      <c r="B1" s="136"/>
      <c r="C1" s="136"/>
      <c r="D1" s="136"/>
      <c r="E1" s="136"/>
      <c r="F1" s="136"/>
      <c r="G1" s="136"/>
      <c r="H1" s="136"/>
      <c r="I1" s="13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2"/>
      <c r="BS1" s="2"/>
    </row>
    <row r="2" spans="1:71" ht="21" customHeight="1" x14ac:dyDescent="0.25">
      <c r="A2" s="3" t="s">
        <v>34</v>
      </c>
      <c r="B2" s="4" t="s">
        <v>12</v>
      </c>
      <c r="C2" s="5" t="s">
        <v>63</v>
      </c>
      <c r="D2" s="5" t="s">
        <v>62</v>
      </c>
      <c r="E2" s="5" t="s">
        <v>61</v>
      </c>
      <c r="F2" s="5" t="s">
        <v>60</v>
      </c>
      <c r="G2" s="5" t="s">
        <v>59</v>
      </c>
      <c r="H2" s="5" t="s">
        <v>58</v>
      </c>
      <c r="I2" s="5" t="s">
        <v>57</v>
      </c>
      <c r="J2" s="6" t="s">
        <v>56</v>
      </c>
      <c r="K2" s="6" t="s">
        <v>55</v>
      </c>
      <c r="L2" s="6" t="s">
        <v>69</v>
      </c>
      <c r="M2" s="6" t="s">
        <v>70</v>
      </c>
      <c r="N2" s="6" t="s">
        <v>71</v>
      </c>
      <c r="O2" s="6" t="s">
        <v>72</v>
      </c>
      <c r="P2" s="6" t="s">
        <v>73</v>
      </c>
      <c r="Q2" s="6" t="s">
        <v>74</v>
      </c>
      <c r="R2" s="6" t="s">
        <v>75</v>
      </c>
      <c r="S2" s="6" t="s">
        <v>76</v>
      </c>
      <c r="T2" s="6" t="s">
        <v>77</v>
      </c>
      <c r="U2" s="6" t="s">
        <v>78</v>
      </c>
      <c r="V2" s="6" t="s">
        <v>79</v>
      </c>
      <c r="W2" s="6" t="s">
        <v>80</v>
      </c>
      <c r="X2" s="6" t="s">
        <v>81</v>
      </c>
      <c r="Y2" s="6" t="s">
        <v>82</v>
      </c>
      <c r="Z2" s="6" t="s">
        <v>83</v>
      </c>
      <c r="AA2" s="6" t="s">
        <v>84</v>
      </c>
      <c r="AB2" s="6" t="s">
        <v>85</v>
      </c>
      <c r="AC2" s="6" t="s">
        <v>86</v>
      </c>
      <c r="AD2" s="6" t="s">
        <v>87</v>
      </c>
      <c r="AE2" s="6" t="s">
        <v>88</v>
      </c>
      <c r="AF2" s="6" t="s">
        <v>89</v>
      </c>
      <c r="AG2" s="6" t="s">
        <v>90</v>
      </c>
      <c r="AH2" s="6" t="s">
        <v>91</v>
      </c>
      <c r="AI2" s="6" t="s">
        <v>92</v>
      </c>
      <c r="AJ2" s="6" t="s">
        <v>93</v>
      </c>
      <c r="AK2" s="6" t="s">
        <v>94</v>
      </c>
      <c r="AL2" s="6" t="s">
        <v>95</v>
      </c>
      <c r="AM2" s="6" t="s">
        <v>96</v>
      </c>
      <c r="AN2" s="6" t="s">
        <v>97</v>
      </c>
      <c r="AO2" s="6" t="s">
        <v>98</v>
      </c>
      <c r="AP2" s="6" t="s">
        <v>99</v>
      </c>
      <c r="AQ2" s="6" t="s">
        <v>100</v>
      </c>
      <c r="AR2" s="6" t="s">
        <v>101</v>
      </c>
      <c r="AS2" s="6" t="s">
        <v>102</v>
      </c>
      <c r="AT2" s="6" t="s">
        <v>103</v>
      </c>
      <c r="AU2" s="6" t="s">
        <v>104</v>
      </c>
      <c r="AV2" s="6" t="s">
        <v>105</v>
      </c>
      <c r="AW2" s="6" t="s">
        <v>106</v>
      </c>
      <c r="AX2" s="6" t="s">
        <v>107</v>
      </c>
      <c r="AY2" s="6" t="s">
        <v>108</v>
      </c>
      <c r="AZ2" s="6" t="s">
        <v>109</v>
      </c>
      <c r="BA2" s="6" t="s">
        <v>110</v>
      </c>
      <c r="BB2" s="6" t="s">
        <v>111</v>
      </c>
      <c r="BC2" s="6" t="s">
        <v>112</v>
      </c>
      <c r="BD2" s="6" t="s">
        <v>113</v>
      </c>
      <c r="BE2" s="6" t="s">
        <v>114</v>
      </c>
      <c r="BF2" s="6" t="s">
        <v>115</v>
      </c>
      <c r="BG2" s="6" t="s">
        <v>116</v>
      </c>
      <c r="BH2" s="6" t="s">
        <v>117</v>
      </c>
      <c r="BI2" s="6" t="s">
        <v>118</v>
      </c>
      <c r="BJ2" s="6" t="s">
        <v>119</v>
      </c>
      <c r="BK2" s="6" t="s">
        <v>120</v>
      </c>
      <c r="BL2" s="6" t="s">
        <v>121</v>
      </c>
      <c r="BM2" s="6" t="s">
        <v>122</v>
      </c>
      <c r="BN2" s="6" t="s">
        <v>123</v>
      </c>
      <c r="BO2" s="6" t="s">
        <v>124</v>
      </c>
      <c r="BP2" s="6" t="s">
        <v>125</v>
      </c>
      <c r="BQ2" s="6" t="s">
        <v>126</v>
      </c>
      <c r="BR2" s="7" t="s">
        <v>44</v>
      </c>
      <c r="BS2" s="5" t="s">
        <v>38</v>
      </c>
    </row>
    <row r="3" spans="1:71" x14ac:dyDescent="0.35">
      <c r="A3" s="129">
        <v>46174</v>
      </c>
      <c r="B3" s="8">
        <v>0.25</v>
      </c>
      <c r="C3" s="9" t="s">
        <v>127</v>
      </c>
      <c r="D3" s="9" t="s">
        <v>127</v>
      </c>
      <c r="E3" s="9" t="s">
        <v>127</v>
      </c>
      <c r="F3" s="9" t="s">
        <v>127</v>
      </c>
      <c r="G3" s="9" t="s">
        <v>127</v>
      </c>
      <c r="H3" s="9" t="s">
        <v>127</v>
      </c>
      <c r="I3" s="9" t="s">
        <v>127</v>
      </c>
      <c r="J3" s="9" t="s">
        <v>127</v>
      </c>
      <c r="K3" s="9" t="s">
        <v>127</v>
      </c>
      <c r="L3" s="9" t="s">
        <v>127</v>
      </c>
      <c r="M3" s="9" t="s">
        <v>127</v>
      </c>
      <c r="N3" s="9" t="s">
        <v>128</v>
      </c>
      <c r="O3" s="9" t="s">
        <v>128</v>
      </c>
      <c r="P3" s="9" t="s">
        <v>128</v>
      </c>
      <c r="Q3" s="9" t="s">
        <v>128</v>
      </c>
      <c r="R3" s="9" t="s">
        <v>128</v>
      </c>
      <c r="S3" s="9" t="s">
        <v>128</v>
      </c>
      <c r="T3" s="9" t="s">
        <v>128</v>
      </c>
      <c r="U3" s="9" t="s">
        <v>127</v>
      </c>
      <c r="V3" s="9" t="s">
        <v>127</v>
      </c>
      <c r="W3" s="9" t="s">
        <v>128</v>
      </c>
      <c r="X3" s="9" t="s">
        <v>127</v>
      </c>
      <c r="Y3" s="9" t="s">
        <v>128</v>
      </c>
      <c r="Z3" s="9" t="s">
        <v>128</v>
      </c>
      <c r="AA3" s="9" t="s">
        <v>127</v>
      </c>
      <c r="AB3" s="9" t="s">
        <v>128</v>
      </c>
      <c r="AC3" s="9" t="s">
        <v>127</v>
      </c>
      <c r="AD3" s="9" t="s">
        <v>127</v>
      </c>
      <c r="AE3" s="9" t="s">
        <v>128</v>
      </c>
      <c r="AF3" s="9" t="s">
        <v>127</v>
      </c>
      <c r="AG3" s="9" t="s">
        <v>128</v>
      </c>
      <c r="AH3" s="9" t="s">
        <v>128</v>
      </c>
      <c r="AI3" s="9" t="s">
        <v>127</v>
      </c>
      <c r="AJ3" s="9" t="s">
        <v>128</v>
      </c>
      <c r="AK3" s="9" t="s">
        <v>128</v>
      </c>
      <c r="AL3" s="9" t="s">
        <v>127</v>
      </c>
      <c r="AM3" s="9" t="s">
        <v>128</v>
      </c>
      <c r="AN3" s="9" t="s">
        <v>128</v>
      </c>
      <c r="AO3" s="9" t="s">
        <v>128</v>
      </c>
      <c r="AP3" s="9" t="s">
        <v>128</v>
      </c>
      <c r="AQ3" s="9" t="s">
        <v>128</v>
      </c>
      <c r="AR3" s="9" t="s">
        <v>128</v>
      </c>
      <c r="AS3" s="9" t="s">
        <v>128</v>
      </c>
      <c r="AT3" s="9" t="s">
        <v>128</v>
      </c>
      <c r="AU3" s="9" t="s">
        <v>128</v>
      </c>
      <c r="AV3" s="9" t="s">
        <v>127</v>
      </c>
      <c r="AW3" s="9" t="s">
        <v>128</v>
      </c>
      <c r="AX3" s="9" t="s">
        <v>127</v>
      </c>
      <c r="AY3" s="9" t="s">
        <v>127</v>
      </c>
      <c r="AZ3" s="9" t="s">
        <v>127</v>
      </c>
      <c r="BA3" s="9" t="s">
        <v>128</v>
      </c>
      <c r="BB3" s="9" t="s">
        <v>127</v>
      </c>
      <c r="BC3" s="9" t="s">
        <v>127</v>
      </c>
      <c r="BD3" s="9" t="s">
        <v>128</v>
      </c>
      <c r="BE3" s="9" t="s">
        <v>128</v>
      </c>
      <c r="BF3" s="9" t="s">
        <v>127</v>
      </c>
      <c r="BG3" s="9" t="s">
        <v>127</v>
      </c>
      <c r="BH3" s="9" t="s">
        <v>127</v>
      </c>
      <c r="BI3" s="9" t="s">
        <v>128</v>
      </c>
      <c r="BJ3" s="9" t="s">
        <v>127</v>
      </c>
      <c r="BK3" s="9" t="s">
        <v>128</v>
      </c>
      <c r="BL3" s="9" t="s">
        <v>127</v>
      </c>
      <c r="BM3" s="9" t="s">
        <v>128</v>
      </c>
      <c r="BN3" s="9" t="s">
        <v>127</v>
      </c>
      <c r="BO3" s="9" t="s">
        <v>127</v>
      </c>
      <c r="BP3" s="9" t="s">
        <v>127</v>
      </c>
      <c r="BQ3" s="9" t="s">
        <v>127</v>
      </c>
      <c r="BR3" s="132" t="s">
        <v>237</v>
      </c>
      <c r="BS3" s="120" t="s">
        <v>129</v>
      </c>
    </row>
    <row r="4" spans="1:71" x14ac:dyDescent="0.35">
      <c r="A4" s="130"/>
      <c r="B4" s="10">
        <v>0.75</v>
      </c>
      <c r="C4" s="11" t="s">
        <v>127</v>
      </c>
      <c r="D4" s="11" t="s">
        <v>127</v>
      </c>
      <c r="E4" s="11" t="s">
        <v>127</v>
      </c>
      <c r="F4" s="11" t="s">
        <v>127</v>
      </c>
      <c r="G4" s="11" t="s">
        <v>127</v>
      </c>
      <c r="H4" s="11" t="s">
        <v>127</v>
      </c>
      <c r="I4" s="11" t="s">
        <v>127</v>
      </c>
      <c r="J4" s="11" t="s">
        <v>127</v>
      </c>
      <c r="K4" s="11" t="s">
        <v>127</v>
      </c>
      <c r="L4" s="11" t="s">
        <v>127</v>
      </c>
      <c r="M4" s="11" t="s">
        <v>127</v>
      </c>
      <c r="N4" s="11" t="s">
        <v>128</v>
      </c>
      <c r="O4" s="11" t="s">
        <v>128</v>
      </c>
      <c r="P4" s="11" t="s">
        <v>128</v>
      </c>
      <c r="Q4" s="11" t="s">
        <v>128</v>
      </c>
      <c r="R4" s="11" t="s">
        <v>128</v>
      </c>
      <c r="S4" s="11" t="s">
        <v>128</v>
      </c>
      <c r="T4" s="11" t="s">
        <v>128</v>
      </c>
      <c r="U4" s="11" t="s">
        <v>127</v>
      </c>
      <c r="V4" s="11" t="s">
        <v>127</v>
      </c>
      <c r="W4" s="11" t="s">
        <v>128</v>
      </c>
      <c r="X4" s="11" t="s">
        <v>127</v>
      </c>
      <c r="Y4" s="11" t="s">
        <v>128</v>
      </c>
      <c r="Z4" s="11" t="s">
        <v>128</v>
      </c>
      <c r="AA4" s="11" t="s">
        <v>127</v>
      </c>
      <c r="AB4" s="11" t="s">
        <v>128</v>
      </c>
      <c r="AC4" s="11" t="s">
        <v>127</v>
      </c>
      <c r="AD4" s="11" t="s">
        <v>127</v>
      </c>
      <c r="AE4" s="11" t="s">
        <v>128</v>
      </c>
      <c r="AF4" s="11" t="s">
        <v>127</v>
      </c>
      <c r="AG4" s="11" t="s">
        <v>128</v>
      </c>
      <c r="AH4" s="11" t="s">
        <v>128</v>
      </c>
      <c r="AI4" s="11" t="s">
        <v>127</v>
      </c>
      <c r="AJ4" s="11" t="s">
        <v>128</v>
      </c>
      <c r="AK4" s="11" t="s">
        <v>128</v>
      </c>
      <c r="AL4" s="11" t="s">
        <v>127</v>
      </c>
      <c r="AM4" s="11" t="s">
        <v>128</v>
      </c>
      <c r="AN4" s="11" t="s">
        <v>128</v>
      </c>
      <c r="AO4" s="11" t="s">
        <v>128</v>
      </c>
      <c r="AP4" s="11" t="s">
        <v>128</v>
      </c>
      <c r="AQ4" s="11" t="s">
        <v>128</v>
      </c>
      <c r="AR4" s="11" t="s">
        <v>128</v>
      </c>
      <c r="AS4" s="11" t="s">
        <v>128</v>
      </c>
      <c r="AT4" s="11" t="s">
        <v>128</v>
      </c>
      <c r="AU4" s="11" t="s">
        <v>128</v>
      </c>
      <c r="AV4" s="11" t="s">
        <v>127</v>
      </c>
      <c r="AW4" s="11" t="s">
        <v>128</v>
      </c>
      <c r="AX4" s="11" t="s">
        <v>127</v>
      </c>
      <c r="AY4" s="11" t="s">
        <v>127</v>
      </c>
      <c r="AZ4" s="11" t="s">
        <v>127</v>
      </c>
      <c r="BA4" s="11" t="s">
        <v>128</v>
      </c>
      <c r="BB4" s="11" t="s">
        <v>127</v>
      </c>
      <c r="BC4" s="11" t="s">
        <v>127</v>
      </c>
      <c r="BD4" s="11" t="s">
        <v>128</v>
      </c>
      <c r="BE4" s="11" t="s">
        <v>128</v>
      </c>
      <c r="BF4" s="11" t="s">
        <v>127</v>
      </c>
      <c r="BG4" s="11" t="s">
        <v>127</v>
      </c>
      <c r="BH4" s="11" t="s">
        <v>127</v>
      </c>
      <c r="BI4" s="11" t="s">
        <v>128</v>
      </c>
      <c r="BJ4" s="11" t="s">
        <v>127</v>
      </c>
      <c r="BK4" s="11" t="s">
        <v>128</v>
      </c>
      <c r="BL4" s="11" t="s">
        <v>127</v>
      </c>
      <c r="BM4" s="11" t="s">
        <v>128</v>
      </c>
      <c r="BN4" s="11" t="s">
        <v>127</v>
      </c>
      <c r="BO4" s="11" t="s">
        <v>127</v>
      </c>
      <c r="BP4" s="11" t="s">
        <v>127</v>
      </c>
      <c r="BQ4" s="11" t="s">
        <v>127</v>
      </c>
      <c r="BR4" s="133"/>
      <c r="BS4" s="120"/>
    </row>
    <row r="5" spans="1:71" x14ac:dyDescent="0.35">
      <c r="A5" s="130"/>
      <c r="B5" s="12"/>
      <c r="C5" s="126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7"/>
      <c r="BF5" s="127"/>
      <c r="BG5" s="127"/>
      <c r="BH5" s="127"/>
      <c r="BI5" s="127"/>
      <c r="BJ5" s="127"/>
      <c r="BK5" s="127"/>
      <c r="BL5" s="127"/>
      <c r="BM5" s="127"/>
      <c r="BN5" s="127"/>
      <c r="BO5" s="127"/>
      <c r="BP5" s="127"/>
      <c r="BQ5" s="128"/>
      <c r="BR5" s="134"/>
      <c r="BS5" s="120"/>
    </row>
    <row r="6" spans="1:71" x14ac:dyDescent="0.35">
      <c r="A6" s="129">
        <v>46175</v>
      </c>
      <c r="B6" s="10">
        <v>0.25</v>
      </c>
      <c r="C6" s="11" t="s">
        <v>127</v>
      </c>
      <c r="D6" s="11" t="s">
        <v>127</v>
      </c>
      <c r="E6" s="11" t="s">
        <v>127</v>
      </c>
      <c r="F6" s="11" t="s">
        <v>127</v>
      </c>
      <c r="G6" s="11" t="s">
        <v>127</v>
      </c>
      <c r="H6" s="11" t="s">
        <v>127</v>
      </c>
      <c r="I6" s="11" t="s">
        <v>127</v>
      </c>
      <c r="J6" s="11" t="s">
        <v>127</v>
      </c>
      <c r="K6" s="11" t="s">
        <v>127</v>
      </c>
      <c r="L6" s="11" t="s">
        <v>127</v>
      </c>
      <c r="M6" s="11" t="s">
        <v>127</v>
      </c>
      <c r="N6" s="11" t="s">
        <v>128</v>
      </c>
      <c r="O6" s="11" t="s">
        <v>128</v>
      </c>
      <c r="P6" s="11" t="s">
        <v>128</v>
      </c>
      <c r="Q6" s="11" t="s">
        <v>128</v>
      </c>
      <c r="R6" s="11" t="s">
        <v>128</v>
      </c>
      <c r="S6" s="11" t="s">
        <v>128</v>
      </c>
      <c r="T6" s="11" t="s">
        <v>128</v>
      </c>
      <c r="U6" s="11" t="s">
        <v>127</v>
      </c>
      <c r="V6" s="11" t="s">
        <v>127</v>
      </c>
      <c r="W6" s="11" t="s">
        <v>128</v>
      </c>
      <c r="X6" s="11" t="s">
        <v>127</v>
      </c>
      <c r="Y6" s="11" t="s">
        <v>128</v>
      </c>
      <c r="Z6" s="11" t="s">
        <v>128</v>
      </c>
      <c r="AA6" s="11" t="s">
        <v>127</v>
      </c>
      <c r="AB6" s="11" t="s">
        <v>128</v>
      </c>
      <c r="AC6" s="11" t="s">
        <v>127</v>
      </c>
      <c r="AD6" s="11" t="s">
        <v>127</v>
      </c>
      <c r="AE6" s="11" t="s">
        <v>128</v>
      </c>
      <c r="AF6" s="11" t="s">
        <v>127</v>
      </c>
      <c r="AG6" s="11" t="s">
        <v>128</v>
      </c>
      <c r="AH6" s="11" t="s">
        <v>128</v>
      </c>
      <c r="AI6" s="11" t="s">
        <v>127</v>
      </c>
      <c r="AJ6" s="11" t="s">
        <v>128</v>
      </c>
      <c r="AK6" s="11" t="s">
        <v>128</v>
      </c>
      <c r="AL6" s="11" t="s">
        <v>127</v>
      </c>
      <c r="AM6" s="11" t="s">
        <v>128</v>
      </c>
      <c r="AN6" s="11" t="s">
        <v>128</v>
      </c>
      <c r="AO6" s="11" t="s">
        <v>128</v>
      </c>
      <c r="AP6" s="11" t="s">
        <v>128</v>
      </c>
      <c r="AQ6" s="11" t="s">
        <v>128</v>
      </c>
      <c r="AR6" s="11" t="s">
        <v>128</v>
      </c>
      <c r="AS6" s="11" t="s">
        <v>128</v>
      </c>
      <c r="AT6" s="11" t="s">
        <v>128</v>
      </c>
      <c r="AU6" s="11" t="s">
        <v>128</v>
      </c>
      <c r="AV6" s="11" t="s">
        <v>127</v>
      </c>
      <c r="AW6" s="11" t="s">
        <v>128</v>
      </c>
      <c r="AX6" s="11" t="s">
        <v>127</v>
      </c>
      <c r="AY6" s="11" t="s">
        <v>127</v>
      </c>
      <c r="AZ6" s="11" t="s">
        <v>127</v>
      </c>
      <c r="BA6" s="11" t="s">
        <v>128</v>
      </c>
      <c r="BB6" s="11" t="s">
        <v>127</v>
      </c>
      <c r="BC6" s="11" t="s">
        <v>127</v>
      </c>
      <c r="BD6" s="11" t="s">
        <v>128</v>
      </c>
      <c r="BE6" s="11" t="s">
        <v>128</v>
      </c>
      <c r="BF6" s="11" t="s">
        <v>127</v>
      </c>
      <c r="BG6" s="11" t="s">
        <v>127</v>
      </c>
      <c r="BH6" s="11" t="s">
        <v>127</v>
      </c>
      <c r="BI6" s="11" t="s">
        <v>128</v>
      </c>
      <c r="BJ6" s="11" t="s">
        <v>127</v>
      </c>
      <c r="BK6" s="11" t="s">
        <v>128</v>
      </c>
      <c r="BL6" s="11" t="s">
        <v>127</v>
      </c>
      <c r="BM6" s="11" t="s">
        <v>128</v>
      </c>
      <c r="BN6" s="11" t="s">
        <v>127</v>
      </c>
      <c r="BO6" s="11" t="s">
        <v>127</v>
      </c>
      <c r="BP6" s="11" t="s">
        <v>127</v>
      </c>
      <c r="BQ6" s="11" t="s">
        <v>127</v>
      </c>
      <c r="BR6" s="132" t="s">
        <v>237</v>
      </c>
      <c r="BS6" s="120" t="s">
        <v>129</v>
      </c>
    </row>
    <row r="7" spans="1:71" x14ac:dyDescent="0.35">
      <c r="A7" s="130"/>
      <c r="B7" s="10">
        <v>0.75</v>
      </c>
      <c r="C7" s="11" t="s">
        <v>127</v>
      </c>
      <c r="D7" s="11" t="s">
        <v>127</v>
      </c>
      <c r="E7" s="11" t="s">
        <v>127</v>
      </c>
      <c r="F7" s="11" t="s">
        <v>127</v>
      </c>
      <c r="G7" s="11" t="s">
        <v>127</v>
      </c>
      <c r="H7" s="11" t="s">
        <v>127</v>
      </c>
      <c r="I7" s="11" t="s">
        <v>127</v>
      </c>
      <c r="J7" s="11" t="s">
        <v>127</v>
      </c>
      <c r="K7" s="11" t="s">
        <v>127</v>
      </c>
      <c r="L7" s="11" t="s">
        <v>127</v>
      </c>
      <c r="M7" s="11" t="s">
        <v>127</v>
      </c>
      <c r="N7" s="11" t="s">
        <v>128</v>
      </c>
      <c r="O7" s="11" t="s">
        <v>128</v>
      </c>
      <c r="P7" s="11" t="s">
        <v>128</v>
      </c>
      <c r="Q7" s="11" t="s">
        <v>128</v>
      </c>
      <c r="R7" s="11" t="s">
        <v>128</v>
      </c>
      <c r="S7" s="11" t="s">
        <v>128</v>
      </c>
      <c r="T7" s="11" t="s">
        <v>128</v>
      </c>
      <c r="U7" s="11" t="s">
        <v>127</v>
      </c>
      <c r="V7" s="11" t="s">
        <v>127</v>
      </c>
      <c r="W7" s="11" t="s">
        <v>128</v>
      </c>
      <c r="X7" s="11" t="s">
        <v>127</v>
      </c>
      <c r="Y7" s="11" t="s">
        <v>128</v>
      </c>
      <c r="Z7" s="11" t="s">
        <v>128</v>
      </c>
      <c r="AA7" s="11" t="s">
        <v>127</v>
      </c>
      <c r="AB7" s="11" t="s">
        <v>128</v>
      </c>
      <c r="AC7" s="11" t="s">
        <v>127</v>
      </c>
      <c r="AD7" s="11" t="s">
        <v>127</v>
      </c>
      <c r="AE7" s="11" t="s">
        <v>128</v>
      </c>
      <c r="AF7" s="11" t="s">
        <v>127</v>
      </c>
      <c r="AG7" s="11" t="s">
        <v>128</v>
      </c>
      <c r="AH7" s="11" t="s">
        <v>128</v>
      </c>
      <c r="AI7" s="11" t="s">
        <v>127</v>
      </c>
      <c r="AJ7" s="11" t="s">
        <v>128</v>
      </c>
      <c r="AK7" s="11" t="s">
        <v>128</v>
      </c>
      <c r="AL7" s="11" t="s">
        <v>127</v>
      </c>
      <c r="AM7" s="11" t="s">
        <v>128</v>
      </c>
      <c r="AN7" s="11" t="s">
        <v>128</v>
      </c>
      <c r="AO7" s="11" t="s">
        <v>128</v>
      </c>
      <c r="AP7" s="11" t="s">
        <v>128</v>
      </c>
      <c r="AQ7" s="11" t="s">
        <v>128</v>
      </c>
      <c r="AR7" s="11" t="s">
        <v>128</v>
      </c>
      <c r="AS7" s="11" t="s">
        <v>128</v>
      </c>
      <c r="AT7" s="11" t="s">
        <v>128</v>
      </c>
      <c r="AU7" s="11" t="s">
        <v>128</v>
      </c>
      <c r="AV7" s="11" t="s">
        <v>127</v>
      </c>
      <c r="AW7" s="11" t="s">
        <v>128</v>
      </c>
      <c r="AX7" s="11" t="s">
        <v>127</v>
      </c>
      <c r="AY7" s="11" t="s">
        <v>127</v>
      </c>
      <c r="AZ7" s="11" t="s">
        <v>127</v>
      </c>
      <c r="BA7" s="11" t="s">
        <v>128</v>
      </c>
      <c r="BB7" s="11" t="s">
        <v>127</v>
      </c>
      <c r="BC7" s="11" t="s">
        <v>127</v>
      </c>
      <c r="BD7" s="11" t="s">
        <v>128</v>
      </c>
      <c r="BE7" s="11" t="s">
        <v>128</v>
      </c>
      <c r="BF7" s="11" t="s">
        <v>127</v>
      </c>
      <c r="BG7" s="11" t="s">
        <v>127</v>
      </c>
      <c r="BH7" s="11" t="s">
        <v>127</v>
      </c>
      <c r="BI7" s="11" t="s">
        <v>128</v>
      </c>
      <c r="BJ7" s="11" t="s">
        <v>127</v>
      </c>
      <c r="BK7" s="11" t="s">
        <v>128</v>
      </c>
      <c r="BL7" s="11" t="s">
        <v>127</v>
      </c>
      <c r="BM7" s="11" t="s">
        <v>128</v>
      </c>
      <c r="BN7" s="11" t="s">
        <v>127</v>
      </c>
      <c r="BO7" s="11" t="s">
        <v>127</v>
      </c>
      <c r="BP7" s="11" t="s">
        <v>127</v>
      </c>
      <c r="BQ7" s="11" t="s">
        <v>127</v>
      </c>
      <c r="BR7" s="133"/>
      <c r="BS7" s="120"/>
    </row>
    <row r="8" spans="1:71" x14ac:dyDescent="0.35">
      <c r="A8" s="130"/>
      <c r="B8" s="12"/>
      <c r="C8" s="126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8"/>
      <c r="BR8" s="134"/>
      <c r="BS8" s="120"/>
    </row>
    <row r="9" spans="1:71" x14ac:dyDescent="0.35">
      <c r="A9" s="129">
        <v>46176</v>
      </c>
      <c r="B9" s="10">
        <v>0.25</v>
      </c>
      <c r="C9" s="11" t="s">
        <v>127</v>
      </c>
      <c r="D9" s="11" t="s">
        <v>127</v>
      </c>
      <c r="E9" s="11" t="s">
        <v>127</v>
      </c>
      <c r="F9" s="11" t="s">
        <v>127</v>
      </c>
      <c r="G9" s="11" t="s">
        <v>127</v>
      </c>
      <c r="H9" s="11" t="s">
        <v>127</v>
      </c>
      <c r="I9" s="11" t="s">
        <v>127</v>
      </c>
      <c r="J9" s="11" t="s">
        <v>127</v>
      </c>
      <c r="K9" s="11" t="s">
        <v>127</v>
      </c>
      <c r="L9" s="11" t="s">
        <v>127</v>
      </c>
      <c r="M9" s="11" t="s">
        <v>127</v>
      </c>
      <c r="N9" s="11" t="s">
        <v>128</v>
      </c>
      <c r="O9" s="11" t="s">
        <v>128</v>
      </c>
      <c r="P9" s="11" t="s">
        <v>128</v>
      </c>
      <c r="Q9" s="11" t="s">
        <v>128</v>
      </c>
      <c r="R9" s="11" t="s">
        <v>128</v>
      </c>
      <c r="S9" s="11" t="s">
        <v>128</v>
      </c>
      <c r="T9" s="11" t="s">
        <v>128</v>
      </c>
      <c r="U9" s="11" t="s">
        <v>127</v>
      </c>
      <c r="V9" s="11" t="s">
        <v>127</v>
      </c>
      <c r="W9" s="11" t="s">
        <v>128</v>
      </c>
      <c r="X9" s="11" t="s">
        <v>127</v>
      </c>
      <c r="Y9" s="11" t="s">
        <v>128</v>
      </c>
      <c r="Z9" s="11" t="s">
        <v>128</v>
      </c>
      <c r="AA9" s="11" t="s">
        <v>127</v>
      </c>
      <c r="AB9" s="11" t="s">
        <v>128</v>
      </c>
      <c r="AC9" s="11" t="s">
        <v>127</v>
      </c>
      <c r="AD9" s="11" t="s">
        <v>127</v>
      </c>
      <c r="AE9" s="11" t="s">
        <v>128</v>
      </c>
      <c r="AF9" s="11" t="s">
        <v>127</v>
      </c>
      <c r="AG9" s="11" t="s">
        <v>128</v>
      </c>
      <c r="AH9" s="11" t="s">
        <v>128</v>
      </c>
      <c r="AI9" s="11" t="s">
        <v>127</v>
      </c>
      <c r="AJ9" s="11" t="s">
        <v>128</v>
      </c>
      <c r="AK9" s="11" t="s">
        <v>128</v>
      </c>
      <c r="AL9" s="11" t="s">
        <v>127</v>
      </c>
      <c r="AM9" s="11" t="s">
        <v>128</v>
      </c>
      <c r="AN9" s="11" t="s">
        <v>128</v>
      </c>
      <c r="AO9" s="11" t="s">
        <v>128</v>
      </c>
      <c r="AP9" s="11" t="s">
        <v>128</v>
      </c>
      <c r="AQ9" s="11" t="s">
        <v>128</v>
      </c>
      <c r="AR9" s="11" t="s">
        <v>128</v>
      </c>
      <c r="AS9" s="11" t="s">
        <v>128</v>
      </c>
      <c r="AT9" s="11" t="s">
        <v>128</v>
      </c>
      <c r="AU9" s="11" t="s">
        <v>128</v>
      </c>
      <c r="AV9" s="11" t="s">
        <v>127</v>
      </c>
      <c r="AW9" s="11" t="s">
        <v>128</v>
      </c>
      <c r="AX9" s="11" t="s">
        <v>127</v>
      </c>
      <c r="AY9" s="11" t="s">
        <v>127</v>
      </c>
      <c r="AZ9" s="11" t="s">
        <v>127</v>
      </c>
      <c r="BA9" s="11" t="s">
        <v>128</v>
      </c>
      <c r="BB9" s="11" t="s">
        <v>127</v>
      </c>
      <c r="BC9" s="11" t="s">
        <v>127</v>
      </c>
      <c r="BD9" s="11" t="s">
        <v>128</v>
      </c>
      <c r="BE9" s="11" t="s">
        <v>128</v>
      </c>
      <c r="BF9" s="11" t="s">
        <v>127</v>
      </c>
      <c r="BG9" s="11" t="s">
        <v>127</v>
      </c>
      <c r="BH9" s="11" t="s">
        <v>127</v>
      </c>
      <c r="BI9" s="11" t="s">
        <v>128</v>
      </c>
      <c r="BJ9" s="11" t="s">
        <v>127</v>
      </c>
      <c r="BK9" s="11" t="s">
        <v>128</v>
      </c>
      <c r="BL9" s="11" t="s">
        <v>127</v>
      </c>
      <c r="BM9" s="11" t="s">
        <v>128</v>
      </c>
      <c r="BN9" s="11" t="s">
        <v>127</v>
      </c>
      <c r="BO9" s="11" t="s">
        <v>127</v>
      </c>
      <c r="BP9" s="11" t="s">
        <v>127</v>
      </c>
      <c r="BQ9" s="11" t="s">
        <v>127</v>
      </c>
      <c r="BR9" s="132" t="s">
        <v>237</v>
      </c>
      <c r="BS9" s="120" t="s">
        <v>129</v>
      </c>
    </row>
    <row r="10" spans="1:71" x14ac:dyDescent="0.35">
      <c r="A10" s="130"/>
      <c r="B10" s="10">
        <v>0.75</v>
      </c>
      <c r="C10" s="11" t="s">
        <v>127</v>
      </c>
      <c r="D10" s="11" t="s">
        <v>127</v>
      </c>
      <c r="E10" s="11" t="s">
        <v>127</v>
      </c>
      <c r="F10" s="11" t="s">
        <v>127</v>
      </c>
      <c r="G10" s="11" t="s">
        <v>127</v>
      </c>
      <c r="H10" s="11" t="s">
        <v>127</v>
      </c>
      <c r="I10" s="11" t="s">
        <v>127</v>
      </c>
      <c r="J10" s="11" t="s">
        <v>127</v>
      </c>
      <c r="K10" s="11" t="s">
        <v>127</v>
      </c>
      <c r="L10" s="11" t="s">
        <v>127</v>
      </c>
      <c r="M10" s="11" t="s">
        <v>127</v>
      </c>
      <c r="N10" s="11" t="s">
        <v>128</v>
      </c>
      <c r="O10" s="11" t="s">
        <v>128</v>
      </c>
      <c r="P10" s="11" t="s">
        <v>128</v>
      </c>
      <c r="Q10" s="11" t="s">
        <v>128</v>
      </c>
      <c r="R10" s="11" t="s">
        <v>128</v>
      </c>
      <c r="S10" s="11" t="s">
        <v>128</v>
      </c>
      <c r="T10" s="11" t="s">
        <v>128</v>
      </c>
      <c r="U10" s="11" t="s">
        <v>127</v>
      </c>
      <c r="V10" s="11" t="s">
        <v>127</v>
      </c>
      <c r="W10" s="11" t="s">
        <v>128</v>
      </c>
      <c r="X10" s="11" t="s">
        <v>127</v>
      </c>
      <c r="Y10" s="11" t="s">
        <v>128</v>
      </c>
      <c r="Z10" s="11" t="s">
        <v>128</v>
      </c>
      <c r="AA10" s="11" t="s">
        <v>127</v>
      </c>
      <c r="AB10" s="11" t="s">
        <v>128</v>
      </c>
      <c r="AC10" s="11" t="s">
        <v>127</v>
      </c>
      <c r="AD10" s="11" t="s">
        <v>127</v>
      </c>
      <c r="AE10" s="11" t="s">
        <v>128</v>
      </c>
      <c r="AF10" s="11" t="s">
        <v>127</v>
      </c>
      <c r="AG10" s="11" t="s">
        <v>128</v>
      </c>
      <c r="AH10" s="11" t="s">
        <v>128</v>
      </c>
      <c r="AI10" s="11" t="s">
        <v>127</v>
      </c>
      <c r="AJ10" s="11" t="s">
        <v>128</v>
      </c>
      <c r="AK10" s="11" t="s">
        <v>128</v>
      </c>
      <c r="AL10" s="11" t="s">
        <v>127</v>
      </c>
      <c r="AM10" s="11" t="s">
        <v>128</v>
      </c>
      <c r="AN10" s="11" t="s">
        <v>128</v>
      </c>
      <c r="AO10" s="11" t="s">
        <v>128</v>
      </c>
      <c r="AP10" s="11" t="s">
        <v>128</v>
      </c>
      <c r="AQ10" s="11" t="s">
        <v>128</v>
      </c>
      <c r="AR10" s="11" t="s">
        <v>128</v>
      </c>
      <c r="AS10" s="11" t="s">
        <v>128</v>
      </c>
      <c r="AT10" s="11" t="s">
        <v>128</v>
      </c>
      <c r="AU10" s="11" t="s">
        <v>128</v>
      </c>
      <c r="AV10" s="11" t="s">
        <v>127</v>
      </c>
      <c r="AW10" s="11" t="s">
        <v>128</v>
      </c>
      <c r="AX10" s="11" t="s">
        <v>127</v>
      </c>
      <c r="AY10" s="11" t="s">
        <v>127</v>
      </c>
      <c r="AZ10" s="11" t="s">
        <v>127</v>
      </c>
      <c r="BA10" s="11" t="s">
        <v>128</v>
      </c>
      <c r="BB10" s="11" t="s">
        <v>127</v>
      </c>
      <c r="BC10" s="11" t="s">
        <v>127</v>
      </c>
      <c r="BD10" s="11" t="s">
        <v>128</v>
      </c>
      <c r="BE10" s="11" t="s">
        <v>128</v>
      </c>
      <c r="BF10" s="11" t="s">
        <v>127</v>
      </c>
      <c r="BG10" s="11" t="s">
        <v>127</v>
      </c>
      <c r="BH10" s="11" t="s">
        <v>127</v>
      </c>
      <c r="BI10" s="11" t="s">
        <v>128</v>
      </c>
      <c r="BJ10" s="11" t="s">
        <v>127</v>
      </c>
      <c r="BK10" s="11" t="s">
        <v>128</v>
      </c>
      <c r="BL10" s="11" t="s">
        <v>127</v>
      </c>
      <c r="BM10" s="11" t="s">
        <v>128</v>
      </c>
      <c r="BN10" s="11" t="s">
        <v>127</v>
      </c>
      <c r="BO10" s="11" t="s">
        <v>127</v>
      </c>
      <c r="BP10" s="11" t="s">
        <v>127</v>
      </c>
      <c r="BQ10" s="11" t="s">
        <v>127</v>
      </c>
      <c r="BR10" s="133"/>
      <c r="BS10" s="120"/>
    </row>
    <row r="11" spans="1:71" x14ac:dyDescent="0.35">
      <c r="A11" s="130"/>
      <c r="B11" s="12"/>
      <c r="C11" s="126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8"/>
      <c r="BR11" s="134"/>
      <c r="BS11" s="120"/>
    </row>
    <row r="12" spans="1:71" x14ac:dyDescent="0.35">
      <c r="A12" s="129">
        <v>46177</v>
      </c>
      <c r="B12" s="10">
        <v>0.25</v>
      </c>
      <c r="C12" s="11" t="s">
        <v>127</v>
      </c>
      <c r="D12" s="11" t="s">
        <v>127</v>
      </c>
      <c r="E12" s="11" t="s">
        <v>127</v>
      </c>
      <c r="F12" s="11" t="s">
        <v>127</v>
      </c>
      <c r="G12" s="11" t="s">
        <v>127</v>
      </c>
      <c r="H12" s="11" t="s">
        <v>127</v>
      </c>
      <c r="I12" s="11" t="s">
        <v>127</v>
      </c>
      <c r="J12" s="11" t="s">
        <v>127</v>
      </c>
      <c r="K12" s="11" t="s">
        <v>127</v>
      </c>
      <c r="L12" s="11" t="s">
        <v>127</v>
      </c>
      <c r="M12" s="11" t="s">
        <v>127</v>
      </c>
      <c r="N12" s="11" t="s">
        <v>128</v>
      </c>
      <c r="O12" s="11" t="s">
        <v>128</v>
      </c>
      <c r="P12" s="11" t="s">
        <v>128</v>
      </c>
      <c r="Q12" s="11" t="s">
        <v>128</v>
      </c>
      <c r="R12" s="11" t="s">
        <v>128</v>
      </c>
      <c r="S12" s="11" t="s">
        <v>128</v>
      </c>
      <c r="T12" s="11" t="s">
        <v>128</v>
      </c>
      <c r="U12" s="11" t="s">
        <v>127</v>
      </c>
      <c r="V12" s="11" t="s">
        <v>127</v>
      </c>
      <c r="W12" s="11" t="s">
        <v>128</v>
      </c>
      <c r="X12" s="11" t="s">
        <v>127</v>
      </c>
      <c r="Y12" s="11" t="s">
        <v>128</v>
      </c>
      <c r="Z12" s="11" t="s">
        <v>128</v>
      </c>
      <c r="AA12" s="11" t="s">
        <v>127</v>
      </c>
      <c r="AB12" s="11" t="s">
        <v>128</v>
      </c>
      <c r="AC12" s="11" t="s">
        <v>127</v>
      </c>
      <c r="AD12" s="11" t="s">
        <v>127</v>
      </c>
      <c r="AE12" s="11" t="s">
        <v>128</v>
      </c>
      <c r="AF12" s="11" t="s">
        <v>127</v>
      </c>
      <c r="AG12" s="11" t="s">
        <v>128</v>
      </c>
      <c r="AH12" s="11" t="s">
        <v>128</v>
      </c>
      <c r="AI12" s="11" t="s">
        <v>127</v>
      </c>
      <c r="AJ12" s="11" t="s">
        <v>128</v>
      </c>
      <c r="AK12" s="11" t="s">
        <v>128</v>
      </c>
      <c r="AL12" s="11" t="s">
        <v>127</v>
      </c>
      <c r="AM12" s="11" t="s">
        <v>128</v>
      </c>
      <c r="AN12" s="11" t="s">
        <v>128</v>
      </c>
      <c r="AO12" s="11" t="s">
        <v>128</v>
      </c>
      <c r="AP12" s="11" t="s">
        <v>128</v>
      </c>
      <c r="AQ12" s="11" t="s">
        <v>128</v>
      </c>
      <c r="AR12" s="11" t="s">
        <v>128</v>
      </c>
      <c r="AS12" s="11" t="s">
        <v>128</v>
      </c>
      <c r="AT12" s="11" t="s">
        <v>128</v>
      </c>
      <c r="AU12" s="11" t="s">
        <v>128</v>
      </c>
      <c r="AV12" s="11" t="s">
        <v>127</v>
      </c>
      <c r="AW12" s="11" t="s">
        <v>128</v>
      </c>
      <c r="AX12" s="11" t="s">
        <v>127</v>
      </c>
      <c r="AY12" s="11" t="s">
        <v>127</v>
      </c>
      <c r="AZ12" s="11" t="s">
        <v>127</v>
      </c>
      <c r="BA12" s="11" t="s">
        <v>128</v>
      </c>
      <c r="BB12" s="11" t="s">
        <v>127</v>
      </c>
      <c r="BC12" s="11" t="s">
        <v>127</v>
      </c>
      <c r="BD12" s="11" t="s">
        <v>128</v>
      </c>
      <c r="BE12" s="11" t="s">
        <v>128</v>
      </c>
      <c r="BF12" s="11" t="s">
        <v>127</v>
      </c>
      <c r="BG12" s="11" t="s">
        <v>127</v>
      </c>
      <c r="BH12" s="11" t="s">
        <v>127</v>
      </c>
      <c r="BI12" s="11" t="s">
        <v>128</v>
      </c>
      <c r="BJ12" s="11" t="s">
        <v>127</v>
      </c>
      <c r="BK12" s="11" t="s">
        <v>128</v>
      </c>
      <c r="BL12" s="11" t="s">
        <v>127</v>
      </c>
      <c r="BM12" s="11" t="s">
        <v>128</v>
      </c>
      <c r="BN12" s="11" t="s">
        <v>127</v>
      </c>
      <c r="BO12" s="11" t="s">
        <v>127</v>
      </c>
      <c r="BP12" s="11" t="s">
        <v>127</v>
      </c>
      <c r="BQ12" s="11" t="s">
        <v>127</v>
      </c>
      <c r="BR12" s="132" t="s">
        <v>237</v>
      </c>
      <c r="BS12" s="120" t="s">
        <v>129</v>
      </c>
    </row>
    <row r="13" spans="1:71" x14ac:dyDescent="0.35">
      <c r="A13" s="130"/>
      <c r="B13" s="10">
        <v>0.75</v>
      </c>
      <c r="C13" s="11" t="s">
        <v>127</v>
      </c>
      <c r="D13" s="11" t="s">
        <v>127</v>
      </c>
      <c r="E13" s="11" t="s">
        <v>127</v>
      </c>
      <c r="F13" s="11" t="s">
        <v>127</v>
      </c>
      <c r="G13" s="11" t="s">
        <v>127</v>
      </c>
      <c r="H13" s="11" t="s">
        <v>127</v>
      </c>
      <c r="I13" s="11" t="s">
        <v>127</v>
      </c>
      <c r="J13" s="11" t="s">
        <v>127</v>
      </c>
      <c r="K13" s="11" t="s">
        <v>127</v>
      </c>
      <c r="L13" s="11" t="s">
        <v>127</v>
      </c>
      <c r="M13" s="11" t="s">
        <v>127</v>
      </c>
      <c r="N13" s="11" t="s">
        <v>128</v>
      </c>
      <c r="O13" s="11" t="s">
        <v>128</v>
      </c>
      <c r="P13" s="11" t="s">
        <v>128</v>
      </c>
      <c r="Q13" s="11" t="s">
        <v>128</v>
      </c>
      <c r="R13" s="11" t="s">
        <v>128</v>
      </c>
      <c r="S13" s="11" t="s">
        <v>128</v>
      </c>
      <c r="T13" s="11" t="s">
        <v>128</v>
      </c>
      <c r="U13" s="11" t="s">
        <v>127</v>
      </c>
      <c r="V13" s="11" t="s">
        <v>127</v>
      </c>
      <c r="W13" s="11" t="s">
        <v>128</v>
      </c>
      <c r="X13" s="11" t="s">
        <v>127</v>
      </c>
      <c r="Y13" s="11" t="s">
        <v>128</v>
      </c>
      <c r="Z13" s="11" t="s">
        <v>128</v>
      </c>
      <c r="AA13" s="11" t="s">
        <v>127</v>
      </c>
      <c r="AB13" s="11" t="s">
        <v>128</v>
      </c>
      <c r="AC13" s="11" t="s">
        <v>127</v>
      </c>
      <c r="AD13" s="11" t="s">
        <v>127</v>
      </c>
      <c r="AE13" s="11" t="s">
        <v>128</v>
      </c>
      <c r="AF13" s="11" t="s">
        <v>127</v>
      </c>
      <c r="AG13" s="11" t="s">
        <v>128</v>
      </c>
      <c r="AH13" s="11" t="s">
        <v>128</v>
      </c>
      <c r="AI13" s="11" t="s">
        <v>127</v>
      </c>
      <c r="AJ13" s="11" t="s">
        <v>128</v>
      </c>
      <c r="AK13" s="11" t="s">
        <v>128</v>
      </c>
      <c r="AL13" s="11" t="s">
        <v>127</v>
      </c>
      <c r="AM13" s="11" t="s">
        <v>128</v>
      </c>
      <c r="AN13" s="11" t="s">
        <v>128</v>
      </c>
      <c r="AO13" s="11" t="s">
        <v>128</v>
      </c>
      <c r="AP13" s="11" t="s">
        <v>128</v>
      </c>
      <c r="AQ13" s="11" t="s">
        <v>128</v>
      </c>
      <c r="AR13" s="11" t="s">
        <v>128</v>
      </c>
      <c r="AS13" s="11" t="s">
        <v>128</v>
      </c>
      <c r="AT13" s="11" t="s">
        <v>128</v>
      </c>
      <c r="AU13" s="11" t="s">
        <v>128</v>
      </c>
      <c r="AV13" s="11" t="s">
        <v>127</v>
      </c>
      <c r="AW13" s="11" t="s">
        <v>128</v>
      </c>
      <c r="AX13" s="11" t="s">
        <v>127</v>
      </c>
      <c r="AY13" s="11" t="s">
        <v>127</v>
      </c>
      <c r="AZ13" s="11" t="s">
        <v>127</v>
      </c>
      <c r="BA13" s="11" t="s">
        <v>128</v>
      </c>
      <c r="BB13" s="11" t="s">
        <v>127</v>
      </c>
      <c r="BC13" s="11" t="s">
        <v>127</v>
      </c>
      <c r="BD13" s="11" t="s">
        <v>128</v>
      </c>
      <c r="BE13" s="11" t="s">
        <v>128</v>
      </c>
      <c r="BF13" s="11" t="s">
        <v>127</v>
      </c>
      <c r="BG13" s="11" t="s">
        <v>127</v>
      </c>
      <c r="BH13" s="11" t="s">
        <v>127</v>
      </c>
      <c r="BI13" s="11" t="s">
        <v>128</v>
      </c>
      <c r="BJ13" s="11" t="s">
        <v>127</v>
      </c>
      <c r="BK13" s="11" t="s">
        <v>128</v>
      </c>
      <c r="BL13" s="11" t="s">
        <v>127</v>
      </c>
      <c r="BM13" s="11" t="s">
        <v>128</v>
      </c>
      <c r="BN13" s="11" t="s">
        <v>127</v>
      </c>
      <c r="BO13" s="11" t="s">
        <v>127</v>
      </c>
      <c r="BP13" s="11" t="s">
        <v>127</v>
      </c>
      <c r="BQ13" s="11" t="s">
        <v>127</v>
      </c>
      <c r="BR13" s="133"/>
      <c r="BS13" s="120"/>
    </row>
    <row r="14" spans="1:71" x14ac:dyDescent="0.35">
      <c r="A14" s="130"/>
      <c r="B14" s="12"/>
      <c r="C14" s="126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8"/>
      <c r="BR14" s="134"/>
      <c r="BS14" s="120"/>
    </row>
    <row r="15" spans="1:71" x14ac:dyDescent="0.35">
      <c r="A15" s="129">
        <v>46178</v>
      </c>
      <c r="B15" s="10">
        <v>0.25</v>
      </c>
      <c r="C15" s="11" t="s">
        <v>127</v>
      </c>
      <c r="D15" s="11" t="s">
        <v>127</v>
      </c>
      <c r="E15" s="11" t="s">
        <v>127</v>
      </c>
      <c r="F15" s="11" t="s">
        <v>127</v>
      </c>
      <c r="G15" s="11" t="s">
        <v>127</v>
      </c>
      <c r="H15" s="11" t="s">
        <v>127</v>
      </c>
      <c r="I15" s="11" t="s">
        <v>127</v>
      </c>
      <c r="J15" s="11" t="s">
        <v>127</v>
      </c>
      <c r="K15" s="11" t="s">
        <v>127</v>
      </c>
      <c r="L15" s="11" t="s">
        <v>127</v>
      </c>
      <c r="M15" s="11" t="s">
        <v>127</v>
      </c>
      <c r="N15" s="11" t="s">
        <v>128</v>
      </c>
      <c r="O15" s="11" t="s">
        <v>128</v>
      </c>
      <c r="P15" s="11" t="s">
        <v>128</v>
      </c>
      <c r="Q15" s="11" t="s">
        <v>128</v>
      </c>
      <c r="R15" s="11" t="s">
        <v>128</v>
      </c>
      <c r="S15" s="11" t="s">
        <v>128</v>
      </c>
      <c r="T15" s="11" t="s">
        <v>128</v>
      </c>
      <c r="U15" s="11" t="s">
        <v>127</v>
      </c>
      <c r="V15" s="11" t="s">
        <v>127</v>
      </c>
      <c r="W15" s="11" t="s">
        <v>128</v>
      </c>
      <c r="X15" s="11" t="s">
        <v>127</v>
      </c>
      <c r="Y15" s="11" t="s">
        <v>128</v>
      </c>
      <c r="Z15" s="11" t="s">
        <v>128</v>
      </c>
      <c r="AA15" s="11" t="s">
        <v>127</v>
      </c>
      <c r="AB15" s="11" t="s">
        <v>128</v>
      </c>
      <c r="AC15" s="11" t="s">
        <v>127</v>
      </c>
      <c r="AD15" s="11" t="s">
        <v>127</v>
      </c>
      <c r="AE15" s="11" t="s">
        <v>128</v>
      </c>
      <c r="AF15" s="11" t="s">
        <v>127</v>
      </c>
      <c r="AG15" s="11" t="s">
        <v>128</v>
      </c>
      <c r="AH15" s="11" t="s">
        <v>128</v>
      </c>
      <c r="AI15" s="11" t="s">
        <v>127</v>
      </c>
      <c r="AJ15" s="11" t="s">
        <v>128</v>
      </c>
      <c r="AK15" s="11" t="s">
        <v>128</v>
      </c>
      <c r="AL15" s="11" t="s">
        <v>127</v>
      </c>
      <c r="AM15" s="11" t="s">
        <v>128</v>
      </c>
      <c r="AN15" s="11" t="s">
        <v>128</v>
      </c>
      <c r="AO15" s="11" t="s">
        <v>128</v>
      </c>
      <c r="AP15" s="11" t="s">
        <v>128</v>
      </c>
      <c r="AQ15" s="11" t="s">
        <v>128</v>
      </c>
      <c r="AR15" s="11" t="s">
        <v>128</v>
      </c>
      <c r="AS15" s="11" t="s">
        <v>128</v>
      </c>
      <c r="AT15" s="11" t="s">
        <v>128</v>
      </c>
      <c r="AU15" s="11" t="s">
        <v>128</v>
      </c>
      <c r="AV15" s="11" t="s">
        <v>127</v>
      </c>
      <c r="AW15" s="11" t="s">
        <v>128</v>
      </c>
      <c r="AX15" s="11" t="s">
        <v>127</v>
      </c>
      <c r="AY15" s="11" t="s">
        <v>127</v>
      </c>
      <c r="AZ15" s="11" t="s">
        <v>127</v>
      </c>
      <c r="BA15" s="11" t="s">
        <v>128</v>
      </c>
      <c r="BB15" s="11" t="s">
        <v>127</v>
      </c>
      <c r="BC15" s="11" t="s">
        <v>127</v>
      </c>
      <c r="BD15" s="11" t="s">
        <v>128</v>
      </c>
      <c r="BE15" s="11" t="s">
        <v>128</v>
      </c>
      <c r="BF15" s="11" t="s">
        <v>127</v>
      </c>
      <c r="BG15" s="11" t="s">
        <v>127</v>
      </c>
      <c r="BH15" s="11" t="s">
        <v>127</v>
      </c>
      <c r="BI15" s="11" t="s">
        <v>128</v>
      </c>
      <c r="BJ15" s="11" t="s">
        <v>127</v>
      </c>
      <c r="BK15" s="11" t="s">
        <v>128</v>
      </c>
      <c r="BL15" s="11" t="s">
        <v>127</v>
      </c>
      <c r="BM15" s="11" t="s">
        <v>128</v>
      </c>
      <c r="BN15" s="11" t="s">
        <v>127</v>
      </c>
      <c r="BO15" s="11" t="s">
        <v>127</v>
      </c>
      <c r="BP15" s="11" t="s">
        <v>127</v>
      </c>
      <c r="BQ15" s="11" t="s">
        <v>127</v>
      </c>
      <c r="BR15" s="132" t="s">
        <v>237</v>
      </c>
      <c r="BS15" s="120" t="s">
        <v>129</v>
      </c>
    </row>
    <row r="16" spans="1:71" x14ac:dyDescent="0.35">
      <c r="A16" s="130"/>
      <c r="B16" s="10">
        <v>0.75</v>
      </c>
      <c r="C16" s="11" t="s">
        <v>127</v>
      </c>
      <c r="D16" s="11" t="s">
        <v>127</v>
      </c>
      <c r="E16" s="11" t="s">
        <v>127</v>
      </c>
      <c r="F16" s="11" t="s">
        <v>127</v>
      </c>
      <c r="G16" s="11" t="s">
        <v>127</v>
      </c>
      <c r="H16" s="11" t="s">
        <v>127</v>
      </c>
      <c r="I16" s="11" t="s">
        <v>127</v>
      </c>
      <c r="J16" s="11" t="s">
        <v>127</v>
      </c>
      <c r="K16" s="11" t="s">
        <v>127</v>
      </c>
      <c r="L16" s="11" t="s">
        <v>127</v>
      </c>
      <c r="M16" s="11" t="s">
        <v>127</v>
      </c>
      <c r="N16" s="11" t="s">
        <v>128</v>
      </c>
      <c r="O16" s="11" t="s">
        <v>128</v>
      </c>
      <c r="P16" s="11" t="s">
        <v>128</v>
      </c>
      <c r="Q16" s="11" t="s">
        <v>128</v>
      </c>
      <c r="R16" s="11" t="s">
        <v>128</v>
      </c>
      <c r="S16" s="11" t="s">
        <v>128</v>
      </c>
      <c r="T16" s="11" t="s">
        <v>128</v>
      </c>
      <c r="U16" s="11" t="s">
        <v>127</v>
      </c>
      <c r="V16" s="11" t="s">
        <v>127</v>
      </c>
      <c r="W16" s="11" t="s">
        <v>128</v>
      </c>
      <c r="X16" s="11" t="s">
        <v>127</v>
      </c>
      <c r="Y16" s="11" t="s">
        <v>128</v>
      </c>
      <c r="Z16" s="11" t="s">
        <v>128</v>
      </c>
      <c r="AA16" s="11" t="s">
        <v>127</v>
      </c>
      <c r="AB16" s="11" t="s">
        <v>128</v>
      </c>
      <c r="AC16" s="11" t="s">
        <v>127</v>
      </c>
      <c r="AD16" s="11" t="s">
        <v>127</v>
      </c>
      <c r="AE16" s="11" t="s">
        <v>128</v>
      </c>
      <c r="AF16" s="11" t="s">
        <v>127</v>
      </c>
      <c r="AG16" s="11" t="s">
        <v>128</v>
      </c>
      <c r="AH16" s="11" t="s">
        <v>128</v>
      </c>
      <c r="AI16" s="11" t="s">
        <v>127</v>
      </c>
      <c r="AJ16" s="11" t="s">
        <v>128</v>
      </c>
      <c r="AK16" s="11" t="s">
        <v>128</v>
      </c>
      <c r="AL16" s="11" t="s">
        <v>127</v>
      </c>
      <c r="AM16" s="11" t="s">
        <v>128</v>
      </c>
      <c r="AN16" s="11" t="s">
        <v>128</v>
      </c>
      <c r="AO16" s="11" t="s">
        <v>128</v>
      </c>
      <c r="AP16" s="11" t="s">
        <v>128</v>
      </c>
      <c r="AQ16" s="11" t="s">
        <v>128</v>
      </c>
      <c r="AR16" s="11" t="s">
        <v>128</v>
      </c>
      <c r="AS16" s="11" t="s">
        <v>128</v>
      </c>
      <c r="AT16" s="11" t="s">
        <v>128</v>
      </c>
      <c r="AU16" s="11" t="s">
        <v>128</v>
      </c>
      <c r="AV16" s="11" t="s">
        <v>127</v>
      </c>
      <c r="AW16" s="11" t="s">
        <v>128</v>
      </c>
      <c r="AX16" s="11" t="s">
        <v>127</v>
      </c>
      <c r="AY16" s="11" t="s">
        <v>127</v>
      </c>
      <c r="AZ16" s="11" t="s">
        <v>127</v>
      </c>
      <c r="BA16" s="11" t="s">
        <v>128</v>
      </c>
      <c r="BB16" s="11" t="s">
        <v>127</v>
      </c>
      <c r="BC16" s="11" t="s">
        <v>127</v>
      </c>
      <c r="BD16" s="11" t="s">
        <v>128</v>
      </c>
      <c r="BE16" s="11" t="s">
        <v>128</v>
      </c>
      <c r="BF16" s="11" t="s">
        <v>127</v>
      </c>
      <c r="BG16" s="11" t="s">
        <v>127</v>
      </c>
      <c r="BH16" s="11" t="s">
        <v>127</v>
      </c>
      <c r="BI16" s="11" t="s">
        <v>128</v>
      </c>
      <c r="BJ16" s="11" t="s">
        <v>127</v>
      </c>
      <c r="BK16" s="11" t="s">
        <v>128</v>
      </c>
      <c r="BL16" s="11" t="s">
        <v>127</v>
      </c>
      <c r="BM16" s="11" t="s">
        <v>128</v>
      </c>
      <c r="BN16" s="11" t="s">
        <v>127</v>
      </c>
      <c r="BO16" s="11" t="s">
        <v>127</v>
      </c>
      <c r="BP16" s="11" t="s">
        <v>127</v>
      </c>
      <c r="BQ16" s="11" t="s">
        <v>127</v>
      </c>
      <c r="BR16" s="133"/>
      <c r="BS16" s="120"/>
    </row>
    <row r="17" spans="1:71" x14ac:dyDescent="0.35">
      <c r="A17" s="130"/>
      <c r="B17" s="12"/>
      <c r="C17" s="126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8"/>
      <c r="BR17" s="134"/>
      <c r="BS17" s="120"/>
    </row>
    <row r="18" spans="1:71" x14ac:dyDescent="0.35">
      <c r="A18" s="129">
        <v>46179</v>
      </c>
      <c r="B18" s="10">
        <v>0.25</v>
      </c>
      <c r="C18" s="11" t="s">
        <v>127</v>
      </c>
      <c r="D18" s="11" t="s">
        <v>127</v>
      </c>
      <c r="E18" s="11" t="s">
        <v>127</v>
      </c>
      <c r="F18" s="11" t="s">
        <v>127</v>
      </c>
      <c r="G18" s="11" t="s">
        <v>127</v>
      </c>
      <c r="H18" s="11" t="s">
        <v>127</v>
      </c>
      <c r="I18" s="11" t="s">
        <v>127</v>
      </c>
      <c r="J18" s="11" t="s">
        <v>127</v>
      </c>
      <c r="K18" s="11" t="s">
        <v>127</v>
      </c>
      <c r="L18" s="11" t="s">
        <v>127</v>
      </c>
      <c r="M18" s="11" t="s">
        <v>127</v>
      </c>
      <c r="N18" s="11" t="s">
        <v>128</v>
      </c>
      <c r="O18" s="11" t="s">
        <v>128</v>
      </c>
      <c r="P18" s="11" t="s">
        <v>128</v>
      </c>
      <c r="Q18" s="11" t="s">
        <v>128</v>
      </c>
      <c r="R18" s="11" t="s">
        <v>128</v>
      </c>
      <c r="S18" s="11" t="s">
        <v>128</v>
      </c>
      <c r="T18" s="11" t="s">
        <v>128</v>
      </c>
      <c r="U18" s="11" t="s">
        <v>127</v>
      </c>
      <c r="V18" s="11" t="s">
        <v>127</v>
      </c>
      <c r="W18" s="11" t="s">
        <v>128</v>
      </c>
      <c r="X18" s="11" t="s">
        <v>127</v>
      </c>
      <c r="Y18" s="11" t="s">
        <v>128</v>
      </c>
      <c r="Z18" s="11" t="s">
        <v>128</v>
      </c>
      <c r="AA18" s="11" t="s">
        <v>127</v>
      </c>
      <c r="AB18" s="11" t="s">
        <v>128</v>
      </c>
      <c r="AC18" s="11" t="s">
        <v>127</v>
      </c>
      <c r="AD18" s="11" t="s">
        <v>127</v>
      </c>
      <c r="AE18" s="11" t="s">
        <v>128</v>
      </c>
      <c r="AF18" s="11" t="s">
        <v>127</v>
      </c>
      <c r="AG18" s="11" t="s">
        <v>128</v>
      </c>
      <c r="AH18" s="11" t="s">
        <v>128</v>
      </c>
      <c r="AI18" s="11" t="s">
        <v>127</v>
      </c>
      <c r="AJ18" s="11" t="s">
        <v>128</v>
      </c>
      <c r="AK18" s="11" t="s">
        <v>128</v>
      </c>
      <c r="AL18" s="11" t="s">
        <v>127</v>
      </c>
      <c r="AM18" s="11" t="s">
        <v>128</v>
      </c>
      <c r="AN18" s="11" t="s">
        <v>128</v>
      </c>
      <c r="AO18" s="11" t="s">
        <v>128</v>
      </c>
      <c r="AP18" s="11" t="s">
        <v>128</v>
      </c>
      <c r="AQ18" s="11" t="s">
        <v>128</v>
      </c>
      <c r="AR18" s="11" t="s">
        <v>128</v>
      </c>
      <c r="AS18" s="11" t="s">
        <v>128</v>
      </c>
      <c r="AT18" s="11" t="s">
        <v>128</v>
      </c>
      <c r="AU18" s="11" t="s">
        <v>128</v>
      </c>
      <c r="AV18" s="11" t="s">
        <v>127</v>
      </c>
      <c r="AW18" s="11" t="s">
        <v>128</v>
      </c>
      <c r="AX18" s="11" t="s">
        <v>127</v>
      </c>
      <c r="AY18" s="11" t="s">
        <v>127</v>
      </c>
      <c r="AZ18" s="11" t="s">
        <v>127</v>
      </c>
      <c r="BA18" s="11" t="s">
        <v>128</v>
      </c>
      <c r="BB18" s="11" t="s">
        <v>127</v>
      </c>
      <c r="BC18" s="11" t="s">
        <v>127</v>
      </c>
      <c r="BD18" s="11" t="s">
        <v>128</v>
      </c>
      <c r="BE18" s="11" t="s">
        <v>128</v>
      </c>
      <c r="BF18" s="11" t="s">
        <v>127</v>
      </c>
      <c r="BG18" s="11" t="s">
        <v>127</v>
      </c>
      <c r="BH18" s="11" t="s">
        <v>127</v>
      </c>
      <c r="BI18" s="11" t="s">
        <v>128</v>
      </c>
      <c r="BJ18" s="11" t="s">
        <v>127</v>
      </c>
      <c r="BK18" s="11" t="s">
        <v>128</v>
      </c>
      <c r="BL18" s="11" t="s">
        <v>127</v>
      </c>
      <c r="BM18" s="11" t="s">
        <v>128</v>
      </c>
      <c r="BN18" s="11" t="s">
        <v>127</v>
      </c>
      <c r="BO18" s="11" t="s">
        <v>127</v>
      </c>
      <c r="BP18" s="11" t="s">
        <v>127</v>
      </c>
      <c r="BQ18" s="11" t="s">
        <v>127</v>
      </c>
      <c r="BR18" s="132" t="s">
        <v>237</v>
      </c>
      <c r="BS18" s="120" t="s">
        <v>129</v>
      </c>
    </row>
    <row r="19" spans="1:71" x14ac:dyDescent="0.35">
      <c r="A19" s="130"/>
      <c r="B19" s="10">
        <v>0.75</v>
      </c>
      <c r="C19" s="11" t="s">
        <v>127</v>
      </c>
      <c r="D19" s="11" t="s">
        <v>127</v>
      </c>
      <c r="E19" s="11" t="s">
        <v>127</v>
      </c>
      <c r="F19" s="11" t="s">
        <v>127</v>
      </c>
      <c r="G19" s="11" t="s">
        <v>127</v>
      </c>
      <c r="H19" s="11" t="s">
        <v>127</v>
      </c>
      <c r="I19" s="11" t="s">
        <v>127</v>
      </c>
      <c r="J19" s="11" t="s">
        <v>127</v>
      </c>
      <c r="K19" s="11" t="s">
        <v>127</v>
      </c>
      <c r="L19" s="11" t="s">
        <v>127</v>
      </c>
      <c r="M19" s="11" t="s">
        <v>127</v>
      </c>
      <c r="N19" s="11" t="s">
        <v>128</v>
      </c>
      <c r="O19" s="11" t="s">
        <v>128</v>
      </c>
      <c r="P19" s="11" t="s">
        <v>128</v>
      </c>
      <c r="Q19" s="11" t="s">
        <v>128</v>
      </c>
      <c r="R19" s="11" t="s">
        <v>128</v>
      </c>
      <c r="S19" s="11" t="s">
        <v>128</v>
      </c>
      <c r="T19" s="11" t="s">
        <v>128</v>
      </c>
      <c r="U19" s="11" t="s">
        <v>127</v>
      </c>
      <c r="V19" s="11" t="s">
        <v>127</v>
      </c>
      <c r="W19" s="11" t="s">
        <v>128</v>
      </c>
      <c r="X19" s="11" t="s">
        <v>127</v>
      </c>
      <c r="Y19" s="11" t="s">
        <v>128</v>
      </c>
      <c r="Z19" s="11" t="s">
        <v>128</v>
      </c>
      <c r="AA19" s="11" t="s">
        <v>127</v>
      </c>
      <c r="AB19" s="11" t="s">
        <v>128</v>
      </c>
      <c r="AC19" s="11" t="s">
        <v>127</v>
      </c>
      <c r="AD19" s="11" t="s">
        <v>127</v>
      </c>
      <c r="AE19" s="11" t="s">
        <v>128</v>
      </c>
      <c r="AF19" s="11" t="s">
        <v>127</v>
      </c>
      <c r="AG19" s="11" t="s">
        <v>128</v>
      </c>
      <c r="AH19" s="11" t="s">
        <v>128</v>
      </c>
      <c r="AI19" s="11" t="s">
        <v>127</v>
      </c>
      <c r="AJ19" s="11" t="s">
        <v>128</v>
      </c>
      <c r="AK19" s="11" t="s">
        <v>128</v>
      </c>
      <c r="AL19" s="11" t="s">
        <v>127</v>
      </c>
      <c r="AM19" s="11" t="s">
        <v>128</v>
      </c>
      <c r="AN19" s="11" t="s">
        <v>128</v>
      </c>
      <c r="AO19" s="11" t="s">
        <v>128</v>
      </c>
      <c r="AP19" s="11" t="s">
        <v>128</v>
      </c>
      <c r="AQ19" s="11" t="s">
        <v>128</v>
      </c>
      <c r="AR19" s="11" t="s">
        <v>128</v>
      </c>
      <c r="AS19" s="11" t="s">
        <v>128</v>
      </c>
      <c r="AT19" s="11" t="s">
        <v>128</v>
      </c>
      <c r="AU19" s="11" t="s">
        <v>128</v>
      </c>
      <c r="AV19" s="11" t="s">
        <v>127</v>
      </c>
      <c r="AW19" s="11" t="s">
        <v>128</v>
      </c>
      <c r="AX19" s="11" t="s">
        <v>127</v>
      </c>
      <c r="AY19" s="11" t="s">
        <v>127</v>
      </c>
      <c r="AZ19" s="11" t="s">
        <v>127</v>
      </c>
      <c r="BA19" s="11" t="s">
        <v>128</v>
      </c>
      <c r="BB19" s="11" t="s">
        <v>127</v>
      </c>
      <c r="BC19" s="11" t="s">
        <v>127</v>
      </c>
      <c r="BD19" s="11" t="s">
        <v>128</v>
      </c>
      <c r="BE19" s="11" t="s">
        <v>128</v>
      </c>
      <c r="BF19" s="11" t="s">
        <v>127</v>
      </c>
      <c r="BG19" s="11" t="s">
        <v>127</v>
      </c>
      <c r="BH19" s="11" t="s">
        <v>127</v>
      </c>
      <c r="BI19" s="11" t="s">
        <v>128</v>
      </c>
      <c r="BJ19" s="11" t="s">
        <v>127</v>
      </c>
      <c r="BK19" s="11" t="s">
        <v>128</v>
      </c>
      <c r="BL19" s="11" t="s">
        <v>127</v>
      </c>
      <c r="BM19" s="11" t="s">
        <v>128</v>
      </c>
      <c r="BN19" s="11" t="s">
        <v>127</v>
      </c>
      <c r="BO19" s="11" t="s">
        <v>127</v>
      </c>
      <c r="BP19" s="11" t="s">
        <v>127</v>
      </c>
      <c r="BQ19" s="11" t="s">
        <v>127</v>
      </c>
      <c r="BR19" s="133"/>
      <c r="BS19" s="120"/>
    </row>
    <row r="20" spans="1:71" x14ac:dyDescent="0.35">
      <c r="A20" s="130"/>
      <c r="B20" s="12"/>
      <c r="C20" s="126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8"/>
      <c r="BR20" s="134"/>
      <c r="BS20" s="120"/>
    </row>
    <row r="21" spans="1:71" x14ac:dyDescent="0.35">
      <c r="A21" s="129">
        <v>46180</v>
      </c>
      <c r="B21" s="10">
        <v>0.25</v>
      </c>
      <c r="C21" s="11" t="s">
        <v>127</v>
      </c>
      <c r="D21" s="11" t="s">
        <v>127</v>
      </c>
      <c r="E21" s="11" t="s">
        <v>127</v>
      </c>
      <c r="F21" s="11" t="s">
        <v>127</v>
      </c>
      <c r="G21" s="11" t="s">
        <v>127</v>
      </c>
      <c r="H21" s="11" t="s">
        <v>127</v>
      </c>
      <c r="I21" s="11" t="s">
        <v>127</v>
      </c>
      <c r="J21" s="11" t="s">
        <v>127</v>
      </c>
      <c r="K21" s="11" t="s">
        <v>127</v>
      </c>
      <c r="L21" s="11" t="s">
        <v>127</v>
      </c>
      <c r="M21" s="11" t="s">
        <v>127</v>
      </c>
      <c r="N21" s="11" t="s">
        <v>128</v>
      </c>
      <c r="O21" s="11" t="s">
        <v>128</v>
      </c>
      <c r="P21" s="11" t="s">
        <v>128</v>
      </c>
      <c r="Q21" s="11" t="s">
        <v>128</v>
      </c>
      <c r="R21" s="11" t="s">
        <v>128</v>
      </c>
      <c r="S21" s="11" t="s">
        <v>128</v>
      </c>
      <c r="T21" s="11" t="s">
        <v>128</v>
      </c>
      <c r="U21" s="11" t="s">
        <v>127</v>
      </c>
      <c r="V21" s="11" t="s">
        <v>127</v>
      </c>
      <c r="W21" s="11" t="s">
        <v>128</v>
      </c>
      <c r="X21" s="11" t="s">
        <v>127</v>
      </c>
      <c r="Y21" s="11" t="s">
        <v>128</v>
      </c>
      <c r="Z21" s="11" t="s">
        <v>128</v>
      </c>
      <c r="AA21" s="11" t="s">
        <v>127</v>
      </c>
      <c r="AB21" s="11" t="s">
        <v>128</v>
      </c>
      <c r="AC21" s="11" t="s">
        <v>127</v>
      </c>
      <c r="AD21" s="11" t="s">
        <v>127</v>
      </c>
      <c r="AE21" s="11" t="s">
        <v>128</v>
      </c>
      <c r="AF21" s="11" t="s">
        <v>127</v>
      </c>
      <c r="AG21" s="11" t="s">
        <v>128</v>
      </c>
      <c r="AH21" s="11" t="s">
        <v>128</v>
      </c>
      <c r="AI21" s="11" t="s">
        <v>127</v>
      </c>
      <c r="AJ21" s="11" t="s">
        <v>128</v>
      </c>
      <c r="AK21" s="11" t="s">
        <v>128</v>
      </c>
      <c r="AL21" s="11" t="s">
        <v>127</v>
      </c>
      <c r="AM21" s="11" t="s">
        <v>128</v>
      </c>
      <c r="AN21" s="11" t="s">
        <v>128</v>
      </c>
      <c r="AO21" s="11" t="s">
        <v>128</v>
      </c>
      <c r="AP21" s="11" t="s">
        <v>128</v>
      </c>
      <c r="AQ21" s="11" t="s">
        <v>128</v>
      </c>
      <c r="AR21" s="11" t="s">
        <v>128</v>
      </c>
      <c r="AS21" s="11" t="s">
        <v>128</v>
      </c>
      <c r="AT21" s="11" t="s">
        <v>128</v>
      </c>
      <c r="AU21" s="11" t="s">
        <v>128</v>
      </c>
      <c r="AV21" s="11" t="s">
        <v>127</v>
      </c>
      <c r="AW21" s="11" t="s">
        <v>128</v>
      </c>
      <c r="AX21" s="11" t="s">
        <v>127</v>
      </c>
      <c r="AY21" s="11" t="s">
        <v>127</v>
      </c>
      <c r="AZ21" s="11" t="s">
        <v>127</v>
      </c>
      <c r="BA21" s="11" t="s">
        <v>128</v>
      </c>
      <c r="BB21" s="11" t="s">
        <v>127</v>
      </c>
      <c r="BC21" s="11" t="s">
        <v>127</v>
      </c>
      <c r="BD21" s="11" t="s">
        <v>128</v>
      </c>
      <c r="BE21" s="11" t="s">
        <v>128</v>
      </c>
      <c r="BF21" s="11" t="s">
        <v>127</v>
      </c>
      <c r="BG21" s="11" t="s">
        <v>127</v>
      </c>
      <c r="BH21" s="11" t="s">
        <v>127</v>
      </c>
      <c r="BI21" s="11" t="s">
        <v>128</v>
      </c>
      <c r="BJ21" s="11" t="s">
        <v>127</v>
      </c>
      <c r="BK21" s="11" t="s">
        <v>128</v>
      </c>
      <c r="BL21" s="11" t="s">
        <v>127</v>
      </c>
      <c r="BM21" s="11" t="s">
        <v>128</v>
      </c>
      <c r="BN21" s="11" t="s">
        <v>127</v>
      </c>
      <c r="BO21" s="11" t="s">
        <v>127</v>
      </c>
      <c r="BP21" s="11" t="s">
        <v>127</v>
      </c>
      <c r="BQ21" s="11" t="s">
        <v>127</v>
      </c>
      <c r="BR21" s="132" t="s">
        <v>237</v>
      </c>
      <c r="BS21" s="120" t="s">
        <v>129</v>
      </c>
    </row>
    <row r="22" spans="1:71" x14ac:dyDescent="0.35">
      <c r="A22" s="130"/>
      <c r="B22" s="10">
        <v>0.75</v>
      </c>
      <c r="C22" s="11" t="s">
        <v>127</v>
      </c>
      <c r="D22" s="11" t="s">
        <v>127</v>
      </c>
      <c r="E22" s="11" t="s">
        <v>127</v>
      </c>
      <c r="F22" s="11" t="s">
        <v>127</v>
      </c>
      <c r="G22" s="11" t="s">
        <v>127</v>
      </c>
      <c r="H22" s="11" t="s">
        <v>127</v>
      </c>
      <c r="I22" s="11" t="s">
        <v>127</v>
      </c>
      <c r="J22" s="11" t="s">
        <v>127</v>
      </c>
      <c r="K22" s="11" t="s">
        <v>127</v>
      </c>
      <c r="L22" s="11" t="s">
        <v>127</v>
      </c>
      <c r="M22" s="11" t="s">
        <v>127</v>
      </c>
      <c r="N22" s="11" t="s">
        <v>128</v>
      </c>
      <c r="O22" s="11" t="s">
        <v>128</v>
      </c>
      <c r="P22" s="11" t="s">
        <v>128</v>
      </c>
      <c r="Q22" s="11" t="s">
        <v>128</v>
      </c>
      <c r="R22" s="11" t="s">
        <v>128</v>
      </c>
      <c r="S22" s="11" t="s">
        <v>128</v>
      </c>
      <c r="T22" s="11" t="s">
        <v>128</v>
      </c>
      <c r="U22" s="11" t="s">
        <v>127</v>
      </c>
      <c r="V22" s="11" t="s">
        <v>127</v>
      </c>
      <c r="W22" s="11" t="s">
        <v>128</v>
      </c>
      <c r="X22" s="11" t="s">
        <v>127</v>
      </c>
      <c r="Y22" s="11" t="s">
        <v>128</v>
      </c>
      <c r="Z22" s="11" t="s">
        <v>128</v>
      </c>
      <c r="AA22" s="11" t="s">
        <v>127</v>
      </c>
      <c r="AB22" s="11" t="s">
        <v>128</v>
      </c>
      <c r="AC22" s="11" t="s">
        <v>127</v>
      </c>
      <c r="AD22" s="11" t="s">
        <v>127</v>
      </c>
      <c r="AE22" s="11" t="s">
        <v>128</v>
      </c>
      <c r="AF22" s="11" t="s">
        <v>127</v>
      </c>
      <c r="AG22" s="11" t="s">
        <v>128</v>
      </c>
      <c r="AH22" s="11" t="s">
        <v>128</v>
      </c>
      <c r="AI22" s="11" t="s">
        <v>127</v>
      </c>
      <c r="AJ22" s="11" t="s">
        <v>128</v>
      </c>
      <c r="AK22" s="11" t="s">
        <v>128</v>
      </c>
      <c r="AL22" s="11" t="s">
        <v>127</v>
      </c>
      <c r="AM22" s="11" t="s">
        <v>128</v>
      </c>
      <c r="AN22" s="11" t="s">
        <v>128</v>
      </c>
      <c r="AO22" s="11" t="s">
        <v>128</v>
      </c>
      <c r="AP22" s="11" t="s">
        <v>128</v>
      </c>
      <c r="AQ22" s="11" t="s">
        <v>128</v>
      </c>
      <c r="AR22" s="11" t="s">
        <v>128</v>
      </c>
      <c r="AS22" s="11" t="s">
        <v>128</v>
      </c>
      <c r="AT22" s="11" t="s">
        <v>128</v>
      </c>
      <c r="AU22" s="11" t="s">
        <v>128</v>
      </c>
      <c r="AV22" s="11" t="s">
        <v>127</v>
      </c>
      <c r="AW22" s="11" t="s">
        <v>128</v>
      </c>
      <c r="AX22" s="11" t="s">
        <v>127</v>
      </c>
      <c r="AY22" s="11" t="s">
        <v>127</v>
      </c>
      <c r="AZ22" s="11" t="s">
        <v>127</v>
      </c>
      <c r="BA22" s="11" t="s">
        <v>128</v>
      </c>
      <c r="BB22" s="11" t="s">
        <v>127</v>
      </c>
      <c r="BC22" s="11" t="s">
        <v>127</v>
      </c>
      <c r="BD22" s="11" t="s">
        <v>128</v>
      </c>
      <c r="BE22" s="11" t="s">
        <v>128</v>
      </c>
      <c r="BF22" s="11" t="s">
        <v>127</v>
      </c>
      <c r="BG22" s="11" t="s">
        <v>127</v>
      </c>
      <c r="BH22" s="11" t="s">
        <v>127</v>
      </c>
      <c r="BI22" s="11" t="s">
        <v>128</v>
      </c>
      <c r="BJ22" s="11" t="s">
        <v>127</v>
      </c>
      <c r="BK22" s="11" t="s">
        <v>128</v>
      </c>
      <c r="BL22" s="11" t="s">
        <v>127</v>
      </c>
      <c r="BM22" s="11" t="s">
        <v>128</v>
      </c>
      <c r="BN22" s="11" t="s">
        <v>127</v>
      </c>
      <c r="BO22" s="11" t="s">
        <v>127</v>
      </c>
      <c r="BP22" s="11" t="s">
        <v>127</v>
      </c>
      <c r="BQ22" s="11" t="s">
        <v>127</v>
      </c>
      <c r="BR22" s="133"/>
      <c r="BS22" s="120"/>
    </row>
    <row r="23" spans="1:71" x14ac:dyDescent="0.35">
      <c r="A23" s="130"/>
      <c r="B23" s="12"/>
      <c r="C23" s="126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8"/>
      <c r="BR23" s="134"/>
      <c r="BS23" s="120"/>
    </row>
    <row r="24" spans="1:71" x14ac:dyDescent="0.35">
      <c r="A24" s="129">
        <v>46181</v>
      </c>
      <c r="B24" s="10">
        <v>0.25</v>
      </c>
      <c r="C24" s="11" t="s">
        <v>127</v>
      </c>
      <c r="D24" s="11" t="s">
        <v>127</v>
      </c>
      <c r="E24" s="11" t="s">
        <v>127</v>
      </c>
      <c r="F24" s="11" t="s">
        <v>127</v>
      </c>
      <c r="G24" s="11" t="s">
        <v>127</v>
      </c>
      <c r="H24" s="11" t="s">
        <v>127</v>
      </c>
      <c r="I24" s="11" t="s">
        <v>127</v>
      </c>
      <c r="J24" s="11" t="s">
        <v>127</v>
      </c>
      <c r="K24" s="11" t="s">
        <v>127</v>
      </c>
      <c r="L24" s="11" t="s">
        <v>127</v>
      </c>
      <c r="M24" s="11" t="s">
        <v>127</v>
      </c>
      <c r="N24" s="11" t="s">
        <v>128</v>
      </c>
      <c r="O24" s="11" t="s">
        <v>128</v>
      </c>
      <c r="P24" s="11" t="s">
        <v>128</v>
      </c>
      <c r="Q24" s="11" t="s">
        <v>128</v>
      </c>
      <c r="R24" s="11" t="s">
        <v>128</v>
      </c>
      <c r="S24" s="11" t="s">
        <v>128</v>
      </c>
      <c r="T24" s="11" t="s">
        <v>128</v>
      </c>
      <c r="U24" s="11" t="s">
        <v>127</v>
      </c>
      <c r="V24" s="11" t="s">
        <v>127</v>
      </c>
      <c r="W24" s="11" t="s">
        <v>128</v>
      </c>
      <c r="X24" s="11" t="s">
        <v>127</v>
      </c>
      <c r="Y24" s="11" t="s">
        <v>128</v>
      </c>
      <c r="Z24" s="11" t="s">
        <v>128</v>
      </c>
      <c r="AA24" s="11" t="s">
        <v>127</v>
      </c>
      <c r="AB24" s="11" t="s">
        <v>128</v>
      </c>
      <c r="AC24" s="11" t="s">
        <v>127</v>
      </c>
      <c r="AD24" s="11" t="s">
        <v>127</v>
      </c>
      <c r="AE24" s="11" t="s">
        <v>128</v>
      </c>
      <c r="AF24" s="11" t="s">
        <v>127</v>
      </c>
      <c r="AG24" s="11" t="s">
        <v>128</v>
      </c>
      <c r="AH24" s="11" t="s">
        <v>128</v>
      </c>
      <c r="AI24" s="11" t="s">
        <v>127</v>
      </c>
      <c r="AJ24" s="11" t="s">
        <v>128</v>
      </c>
      <c r="AK24" s="11" t="s">
        <v>128</v>
      </c>
      <c r="AL24" s="11" t="s">
        <v>127</v>
      </c>
      <c r="AM24" s="11" t="s">
        <v>128</v>
      </c>
      <c r="AN24" s="11" t="s">
        <v>128</v>
      </c>
      <c r="AO24" s="11" t="s">
        <v>128</v>
      </c>
      <c r="AP24" s="11" t="s">
        <v>128</v>
      </c>
      <c r="AQ24" s="11" t="s">
        <v>128</v>
      </c>
      <c r="AR24" s="11" t="s">
        <v>128</v>
      </c>
      <c r="AS24" s="11" t="s">
        <v>128</v>
      </c>
      <c r="AT24" s="11" t="s">
        <v>128</v>
      </c>
      <c r="AU24" s="11" t="s">
        <v>128</v>
      </c>
      <c r="AV24" s="11" t="s">
        <v>127</v>
      </c>
      <c r="AW24" s="11" t="s">
        <v>128</v>
      </c>
      <c r="AX24" s="11" t="s">
        <v>127</v>
      </c>
      <c r="AY24" s="11" t="s">
        <v>127</v>
      </c>
      <c r="AZ24" s="11" t="s">
        <v>127</v>
      </c>
      <c r="BA24" s="11" t="s">
        <v>128</v>
      </c>
      <c r="BB24" s="11" t="s">
        <v>127</v>
      </c>
      <c r="BC24" s="11" t="s">
        <v>127</v>
      </c>
      <c r="BD24" s="11" t="s">
        <v>128</v>
      </c>
      <c r="BE24" s="11" t="s">
        <v>128</v>
      </c>
      <c r="BF24" s="11" t="s">
        <v>127</v>
      </c>
      <c r="BG24" s="11" t="s">
        <v>127</v>
      </c>
      <c r="BH24" s="11" t="s">
        <v>127</v>
      </c>
      <c r="BI24" s="11" t="s">
        <v>128</v>
      </c>
      <c r="BJ24" s="11" t="s">
        <v>127</v>
      </c>
      <c r="BK24" s="11" t="s">
        <v>128</v>
      </c>
      <c r="BL24" s="11" t="s">
        <v>127</v>
      </c>
      <c r="BM24" s="11" t="s">
        <v>128</v>
      </c>
      <c r="BN24" s="11" t="s">
        <v>127</v>
      </c>
      <c r="BO24" s="11" t="s">
        <v>127</v>
      </c>
      <c r="BP24" s="11" t="s">
        <v>127</v>
      </c>
      <c r="BQ24" s="11" t="s">
        <v>127</v>
      </c>
      <c r="BR24" s="131" t="s">
        <v>236</v>
      </c>
      <c r="BS24" s="120" t="s">
        <v>129</v>
      </c>
    </row>
    <row r="25" spans="1:71" x14ac:dyDescent="0.35">
      <c r="A25" s="130"/>
      <c r="B25" s="10">
        <v>0.75</v>
      </c>
      <c r="C25" s="11" t="s">
        <v>127</v>
      </c>
      <c r="D25" s="11" t="s">
        <v>127</v>
      </c>
      <c r="E25" s="11" t="s">
        <v>127</v>
      </c>
      <c r="F25" s="11" t="s">
        <v>127</v>
      </c>
      <c r="G25" s="11" t="s">
        <v>127</v>
      </c>
      <c r="H25" s="11" t="s">
        <v>127</v>
      </c>
      <c r="I25" s="11" t="s">
        <v>127</v>
      </c>
      <c r="J25" s="11" t="s">
        <v>127</v>
      </c>
      <c r="K25" s="11" t="s">
        <v>127</v>
      </c>
      <c r="L25" s="11" t="s">
        <v>127</v>
      </c>
      <c r="M25" s="11" t="s">
        <v>127</v>
      </c>
      <c r="N25" s="11" t="s">
        <v>128</v>
      </c>
      <c r="O25" s="11" t="s">
        <v>128</v>
      </c>
      <c r="P25" s="11" t="s">
        <v>128</v>
      </c>
      <c r="Q25" s="11" t="s">
        <v>128</v>
      </c>
      <c r="R25" s="11" t="s">
        <v>128</v>
      </c>
      <c r="S25" s="11" t="s">
        <v>128</v>
      </c>
      <c r="T25" s="11" t="s">
        <v>128</v>
      </c>
      <c r="U25" s="11" t="s">
        <v>127</v>
      </c>
      <c r="V25" s="11" t="s">
        <v>127</v>
      </c>
      <c r="W25" s="11" t="s">
        <v>128</v>
      </c>
      <c r="X25" s="11" t="s">
        <v>127</v>
      </c>
      <c r="Y25" s="11" t="s">
        <v>128</v>
      </c>
      <c r="Z25" s="11" t="s">
        <v>128</v>
      </c>
      <c r="AA25" s="11" t="s">
        <v>127</v>
      </c>
      <c r="AB25" s="11" t="s">
        <v>128</v>
      </c>
      <c r="AC25" s="11" t="s">
        <v>127</v>
      </c>
      <c r="AD25" s="11" t="s">
        <v>127</v>
      </c>
      <c r="AE25" s="11" t="s">
        <v>128</v>
      </c>
      <c r="AF25" s="11" t="s">
        <v>127</v>
      </c>
      <c r="AG25" s="11" t="s">
        <v>128</v>
      </c>
      <c r="AH25" s="11" t="s">
        <v>128</v>
      </c>
      <c r="AI25" s="11" t="s">
        <v>127</v>
      </c>
      <c r="AJ25" s="11" t="s">
        <v>128</v>
      </c>
      <c r="AK25" s="11" t="s">
        <v>128</v>
      </c>
      <c r="AL25" s="11" t="s">
        <v>127</v>
      </c>
      <c r="AM25" s="11" t="s">
        <v>128</v>
      </c>
      <c r="AN25" s="11" t="s">
        <v>128</v>
      </c>
      <c r="AO25" s="11" t="s">
        <v>128</v>
      </c>
      <c r="AP25" s="11" t="s">
        <v>128</v>
      </c>
      <c r="AQ25" s="11" t="s">
        <v>128</v>
      </c>
      <c r="AR25" s="11" t="s">
        <v>128</v>
      </c>
      <c r="AS25" s="11" t="s">
        <v>128</v>
      </c>
      <c r="AT25" s="11" t="s">
        <v>128</v>
      </c>
      <c r="AU25" s="11" t="s">
        <v>128</v>
      </c>
      <c r="AV25" s="11" t="s">
        <v>127</v>
      </c>
      <c r="AW25" s="11" t="s">
        <v>128</v>
      </c>
      <c r="AX25" s="11" t="s">
        <v>127</v>
      </c>
      <c r="AY25" s="11" t="s">
        <v>127</v>
      </c>
      <c r="AZ25" s="11" t="s">
        <v>127</v>
      </c>
      <c r="BA25" s="11" t="s">
        <v>128</v>
      </c>
      <c r="BB25" s="11" t="s">
        <v>127</v>
      </c>
      <c r="BC25" s="11" t="s">
        <v>127</v>
      </c>
      <c r="BD25" s="11" t="s">
        <v>128</v>
      </c>
      <c r="BE25" s="11" t="s">
        <v>128</v>
      </c>
      <c r="BF25" s="11" t="s">
        <v>127</v>
      </c>
      <c r="BG25" s="11" t="s">
        <v>127</v>
      </c>
      <c r="BH25" s="11" t="s">
        <v>127</v>
      </c>
      <c r="BI25" s="11" t="s">
        <v>128</v>
      </c>
      <c r="BJ25" s="11" t="s">
        <v>127</v>
      </c>
      <c r="BK25" s="11" t="s">
        <v>128</v>
      </c>
      <c r="BL25" s="11" t="s">
        <v>127</v>
      </c>
      <c r="BM25" s="11" t="s">
        <v>128</v>
      </c>
      <c r="BN25" s="11" t="s">
        <v>127</v>
      </c>
      <c r="BO25" s="11" t="s">
        <v>127</v>
      </c>
      <c r="BP25" s="11" t="s">
        <v>127</v>
      </c>
      <c r="BQ25" s="11" t="s">
        <v>127</v>
      </c>
      <c r="BR25" s="131"/>
      <c r="BS25" s="120"/>
    </row>
    <row r="26" spans="1:71" x14ac:dyDescent="0.35">
      <c r="A26" s="130"/>
      <c r="B26" s="12"/>
      <c r="C26" s="126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8"/>
      <c r="BR26" s="131"/>
      <c r="BS26" s="120"/>
    </row>
    <row r="27" spans="1:71" x14ac:dyDescent="0.35">
      <c r="A27" s="129">
        <v>46182</v>
      </c>
      <c r="B27" s="10">
        <v>0.25</v>
      </c>
      <c r="C27" s="11" t="s">
        <v>127</v>
      </c>
      <c r="D27" s="11" t="s">
        <v>127</v>
      </c>
      <c r="E27" s="11" t="s">
        <v>127</v>
      </c>
      <c r="F27" s="11" t="s">
        <v>127</v>
      </c>
      <c r="G27" s="11" t="s">
        <v>127</v>
      </c>
      <c r="H27" s="11" t="s">
        <v>127</v>
      </c>
      <c r="I27" s="11" t="s">
        <v>127</v>
      </c>
      <c r="J27" s="11" t="s">
        <v>127</v>
      </c>
      <c r="K27" s="11" t="s">
        <v>127</v>
      </c>
      <c r="L27" s="11" t="s">
        <v>127</v>
      </c>
      <c r="M27" s="11" t="s">
        <v>127</v>
      </c>
      <c r="N27" s="11" t="s">
        <v>128</v>
      </c>
      <c r="O27" s="11" t="s">
        <v>128</v>
      </c>
      <c r="P27" s="11" t="s">
        <v>128</v>
      </c>
      <c r="Q27" s="11" t="s">
        <v>128</v>
      </c>
      <c r="R27" s="11" t="s">
        <v>128</v>
      </c>
      <c r="S27" s="11" t="s">
        <v>128</v>
      </c>
      <c r="T27" s="11" t="s">
        <v>128</v>
      </c>
      <c r="U27" s="11" t="s">
        <v>127</v>
      </c>
      <c r="V27" s="11" t="s">
        <v>127</v>
      </c>
      <c r="W27" s="11" t="s">
        <v>128</v>
      </c>
      <c r="X27" s="11" t="s">
        <v>127</v>
      </c>
      <c r="Y27" s="11" t="s">
        <v>128</v>
      </c>
      <c r="Z27" s="11" t="s">
        <v>128</v>
      </c>
      <c r="AA27" s="11" t="s">
        <v>127</v>
      </c>
      <c r="AB27" s="11" t="s">
        <v>128</v>
      </c>
      <c r="AC27" s="11" t="s">
        <v>127</v>
      </c>
      <c r="AD27" s="11" t="s">
        <v>127</v>
      </c>
      <c r="AE27" s="11" t="s">
        <v>128</v>
      </c>
      <c r="AF27" s="11" t="s">
        <v>127</v>
      </c>
      <c r="AG27" s="11" t="s">
        <v>128</v>
      </c>
      <c r="AH27" s="11" t="s">
        <v>128</v>
      </c>
      <c r="AI27" s="11" t="s">
        <v>127</v>
      </c>
      <c r="AJ27" s="11" t="s">
        <v>128</v>
      </c>
      <c r="AK27" s="11" t="s">
        <v>128</v>
      </c>
      <c r="AL27" s="11" t="s">
        <v>127</v>
      </c>
      <c r="AM27" s="11" t="s">
        <v>128</v>
      </c>
      <c r="AN27" s="11" t="s">
        <v>128</v>
      </c>
      <c r="AO27" s="11" t="s">
        <v>128</v>
      </c>
      <c r="AP27" s="11" t="s">
        <v>128</v>
      </c>
      <c r="AQ27" s="11" t="s">
        <v>128</v>
      </c>
      <c r="AR27" s="11" t="s">
        <v>128</v>
      </c>
      <c r="AS27" s="11" t="s">
        <v>128</v>
      </c>
      <c r="AT27" s="11" t="s">
        <v>128</v>
      </c>
      <c r="AU27" s="11" t="s">
        <v>128</v>
      </c>
      <c r="AV27" s="11" t="s">
        <v>127</v>
      </c>
      <c r="AW27" s="11" t="s">
        <v>128</v>
      </c>
      <c r="AX27" s="11" t="s">
        <v>127</v>
      </c>
      <c r="AY27" s="11" t="s">
        <v>127</v>
      </c>
      <c r="AZ27" s="11" t="s">
        <v>127</v>
      </c>
      <c r="BA27" s="11" t="s">
        <v>128</v>
      </c>
      <c r="BB27" s="11" t="s">
        <v>127</v>
      </c>
      <c r="BC27" s="11" t="s">
        <v>127</v>
      </c>
      <c r="BD27" s="11" t="s">
        <v>128</v>
      </c>
      <c r="BE27" s="11" t="s">
        <v>128</v>
      </c>
      <c r="BF27" s="11" t="s">
        <v>127</v>
      </c>
      <c r="BG27" s="11" t="s">
        <v>127</v>
      </c>
      <c r="BH27" s="11" t="s">
        <v>127</v>
      </c>
      <c r="BI27" s="11" t="s">
        <v>128</v>
      </c>
      <c r="BJ27" s="11" t="s">
        <v>127</v>
      </c>
      <c r="BK27" s="11" t="s">
        <v>128</v>
      </c>
      <c r="BL27" s="11" t="s">
        <v>127</v>
      </c>
      <c r="BM27" s="11" t="s">
        <v>128</v>
      </c>
      <c r="BN27" s="11" t="s">
        <v>127</v>
      </c>
      <c r="BO27" s="11" t="s">
        <v>127</v>
      </c>
      <c r="BP27" s="11" t="s">
        <v>127</v>
      </c>
      <c r="BQ27" s="11" t="s">
        <v>127</v>
      </c>
      <c r="BR27" s="131" t="s">
        <v>236</v>
      </c>
      <c r="BS27" s="120" t="s">
        <v>129</v>
      </c>
    </row>
    <row r="28" spans="1:71" x14ac:dyDescent="0.35">
      <c r="A28" s="130"/>
      <c r="B28" s="10">
        <v>0.75</v>
      </c>
      <c r="C28" s="11" t="s">
        <v>127</v>
      </c>
      <c r="D28" s="11" t="s">
        <v>127</v>
      </c>
      <c r="E28" s="11" t="s">
        <v>127</v>
      </c>
      <c r="F28" s="11" t="s">
        <v>127</v>
      </c>
      <c r="G28" s="11" t="s">
        <v>127</v>
      </c>
      <c r="H28" s="11" t="s">
        <v>127</v>
      </c>
      <c r="I28" s="11" t="s">
        <v>127</v>
      </c>
      <c r="J28" s="11" t="s">
        <v>127</v>
      </c>
      <c r="K28" s="11" t="s">
        <v>127</v>
      </c>
      <c r="L28" s="11" t="s">
        <v>127</v>
      </c>
      <c r="M28" s="11" t="s">
        <v>127</v>
      </c>
      <c r="N28" s="11" t="s">
        <v>128</v>
      </c>
      <c r="O28" s="11" t="s">
        <v>128</v>
      </c>
      <c r="P28" s="11" t="s">
        <v>128</v>
      </c>
      <c r="Q28" s="11" t="s">
        <v>128</v>
      </c>
      <c r="R28" s="11" t="s">
        <v>128</v>
      </c>
      <c r="S28" s="11" t="s">
        <v>128</v>
      </c>
      <c r="T28" s="11" t="s">
        <v>128</v>
      </c>
      <c r="U28" s="11" t="s">
        <v>127</v>
      </c>
      <c r="V28" s="11" t="s">
        <v>127</v>
      </c>
      <c r="W28" s="11" t="s">
        <v>128</v>
      </c>
      <c r="X28" s="11" t="s">
        <v>127</v>
      </c>
      <c r="Y28" s="11" t="s">
        <v>128</v>
      </c>
      <c r="Z28" s="11" t="s">
        <v>128</v>
      </c>
      <c r="AA28" s="11" t="s">
        <v>127</v>
      </c>
      <c r="AB28" s="11" t="s">
        <v>128</v>
      </c>
      <c r="AC28" s="11" t="s">
        <v>127</v>
      </c>
      <c r="AD28" s="11" t="s">
        <v>127</v>
      </c>
      <c r="AE28" s="11" t="s">
        <v>128</v>
      </c>
      <c r="AF28" s="11" t="s">
        <v>127</v>
      </c>
      <c r="AG28" s="11" t="s">
        <v>128</v>
      </c>
      <c r="AH28" s="11" t="s">
        <v>128</v>
      </c>
      <c r="AI28" s="11" t="s">
        <v>127</v>
      </c>
      <c r="AJ28" s="11" t="s">
        <v>128</v>
      </c>
      <c r="AK28" s="11" t="s">
        <v>128</v>
      </c>
      <c r="AL28" s="11" t="s">
        <v>127</v>
      </c>
      <c r="AM28" s="11" t="s">
        <v>128</v>
      </c>
      <c r="AN28" s="11" t="s">
        <v>128</v>
      </c>
      <c r="AO28" s="11" t="s">
        <v>128</v>
      </c>
      <c r="AP28" s="11" t="s">
        <v>128</v>
      </c>
      <c r="AQ28" s="11" t="s">
        <v>128</v>
      </c>
      <c r="AR28" s="11" t="s">
        <v>128</v>
      </c>
      <c r="AS28" s="11" t="s">
        <v>128</v>
      </c>
      <c r="AT28" s="11" t="s">
        <v>128</v>
      </c>
      <c r="AU28" s="11" t="s">
        <v>128</v>
      </c>
      <c r="AV28" s="11" t="s">
        <v>127</v>
      </c>
      <c r="AW28" s="11" t="s">
        <v>128</v>
      </c>
      <c r="AX28" s="11" t="s">
        <v>127</v>
      </c>
      <c r="AY28" s="11" t="s">
        <v>127</v>
      </c>
      <c r="AZ28" s="11" t="s">
        <v>127</v>
      </c>
      <c r="BA28" s="11" t="s">
        <v>128</v>
      </c>
      <c r="BB28" s="11" t="s">
        <v>127</v>
      </c>
      <c r="BC28" s="11" t="s">
        <v>127</v>
      </c>
      <c r="BD28" s="11" t="s">
        <v>128</v>
      </c>
      <c r="BE28" s="11" t="s">
        <v>128</v>
      </c>
      <c r="BF28" s="11" t="s">
        <v>127</v>
      </c>
      <c r="BG28" s="11" t="s">
        <v>127</v>
      </c>
      <c r="BH28" s="11" t="s">
        <v>127</v>
      </c>
      <c r="BI28" s="11" t="s">
        <v>128</v>
      </c>
      <c r="BJ28" s="11" t="s">
        <v>127</v>
      </c>
      <c r="BK28" s="11" t="s">
        <v>128</v>
      </c>
      <c r="BL28" s="11" t="s">
        <v>127</v>
      </c>
      <c r="BM28" s="11" t="s">
        <v>128</v>
      </c>
      <c r="BN28" s="11" t="s">
        <v>127</v>
      </c>
      <c r="BO28" s="11" t="s">
        <v>127</v>
      </c>
      <c r="BP28" s="11" t="s">
        <v>127</v>
      </c>
      <c r="BQ28" s="11" t="s">
        <v>127</v>
      </c>
      <c r="BR28" s="131"/>
      <c r="BS28" s="120"/>
    </row>
    <row r="29" spans="1:71" x14ac:dyDescent="0.35">
      <c r="A29" s="130"/>
      <c r="B29" s="12"/>
      <c r="C29" s="126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8"/>
      <c r="BR29" s="131"/>
      <c r="BS29" s="120"/>
    </row>
    <row r="30" spans="1:71" x14ac:dyDescent="0.35">
      <c r="A30" s="129">
        <v>46183</v>
      </c>
      <c r="B30" s="10">
        <v>0.25</v>
      </c>
      <c r="C30" s="11" t="s">
        <v>127</v>
      </c>
      <c r="D30" s="11" t="s">
        <v>127</v>
      </c>
      <c r="E30" s="11" t="s">
        <v>127</v>
      </c>
      <c r="F30" s="11" t="s">
        <v>127</v>
      </c>
      <c r="G30" s="11" t="s">
        <v>127</v>
      </c>
      <c r="H30" s="11" t="s">
        <v>127</v>
      </c>
      <c r="I30" s="11" t="s">
        <v>127</v>
      </c>
      <c r="J30" s="11" t="s">
        <v>127</v>
      </c>
      <c r="K30" s="11" t="s">
        <v>127</v>
      </c>
      <c r="L30" s="11" t="s">
        <v>127</v>
      </c>
      <c r="M30" s="11" t="s">
        <v>127</v>
      </c>
      <c r="N30" s="11" t="s">
        <v>128</v>
      </c>
      <c r="O30" s="11" t="s">
        <v>128</v>
      </c>
      <c r="P30" s="11" t="s">
        <v>128</v>
      </c>
      <c r="Q30" s="11" t="s">
        <v>128</v>
      </c>
      <c r="R30" s="11" t="s">
        <v>128</v>
      </c>
      <c r="S30" s="11" t="s">
        <v>128</v>
      </c>
      <c r="T30" s="11" t="s">
        <v>128</v>
      </c>
      <c r="U30" s="11" t="s">
        <v>127</v>
      </c>
      <c r="V30" s="11" t="s">
        <v>127</v>
      </c>
      <c r="W30" s="11" t="s">
        <v>128</v>
      </c>
      <c r="X30" s="11" t="s">
        <v>127</v>
      </c>
      <c r="Y30" s="11" t="s">
        <v>128</v>
      </c>
      <c r="Z30" s="11" t="s">
        <v>128</v>
      </c>
      <c r="AA30" s="11" t="s">
        <v>127</v>
      </c>
      <c r="AB30" s="11" t="s">
        <v>128</v>
      </c>
      <c r="AC30" s="11" t="s">
        <v>127</v>
      </c>
      <c r="AD30" s="11" t="s">
        <v>127</v>
      </c>
      <c r="AE30" s="11" t="s">
        <v>128</v>
      </c>
      <c r="AF30" s="11" t="s">
        <v>127</v>
      </c>
      <c r="AG30" s="11" t="s">
        <v>128</v>
      </c>
      <c r="AH30" s="11" t="s">
        <v>128</v>
      </c>
      <c r="AI30" s="11" t="s">
        <v>127</v>
      </c>
      <c r="AJ30" s="11" t="s">
        <v>128</v>
      </c>
      <c r="AK30" s="11" t="s">
        <v>128</v>
      </c>
      <c r="AL30" s="11" t="s">
        <v>127</v>
      </c>
      <c r="AM30" s="11" t="s">
        <v>128</v>
      </c>
      <c r="AN30" s="11" t="s">
        <v>128</v>
      </c>
      <c r="AO30" s="11" t="s">
        <v>128</v>
      </c>
      <c r="AP30" s="11" t="s">
        <v>128</v>
      </c>
      <c r="AQ30" s="11" t="s">
        <v>128</v>
      </c>
      <c r="AR30" s="11" t="s">
        <v>128</v>
      </c>
      <c r="AS30" s="11" t="s">
        <v>128</v>
      </c>
      <c r="AT30" s="11" t="s">
        <v>128</v>
      </c>
      <c r="AU30" s="11" t="s">
        <v>128</v>
      </c>
      <c r="AV30" s="11" t="s">
        <v>127</v>
      </c>
      <c r="AW30" s="11" t="s">
        <v>128</v>
      </c>
      <c r="AX30" s="11" t="s">
        <v>127</v>
      </c>
      <c r="AY30" s="11" t="s">
        <v>127</v>
      </c>
      <c r="AZ30" s="11" t="s">
        <v>127</v>
      </c>
      <c r="BA30" s="11" t="s">
        <v>128</v>
      </c>
      <c r="BB30" s="11" t="s">
        <v>127</v>
      </c>
      <c r="BC30" s="11" t="s">
        <v>127</v>
      </c>
      <c r="BD30" s="11" t="s">
        <v>128</v>
      </c>
      <c r="BE30" s="11" t="s">
        <v>128</v>
      </c>
      <c r="BF30" s="11" t="s">
        <v>127</v>
      </c>
      <c r="BG30" s="11" t="s">
        <v>127</v>
      </c>
      <c r="BH30" s="11" t="s">
        <v>127</v>
      </c>
      <c r="BI30" s="11" t="s">
        <v>128</v>
      </c>
      <c r="BJ30" s="11" t="s">
        <v>127</v>
      </c>
      <c r="BK30" s="11" t="s">
        <v>128</v>
      </c>
      <c r="BL30" s="11" t="s">
        <v>127</v>
      </c>
      <c r="BM30" s="11" t="s">
        <v>128</v>
      </c>
      <c r="BN30" s="11" t="s">
        <v>127</v>
      </c>
      <c r="BO30" s="11" t="s">
        <v>127</v>
      </c>
      <c r="BP30" s="11" t="s">
        <v>127</v>
      </c>
      <c r="BQ30" s="11" t="s">
        <v>127</v>
      </c>
      <c r="BR30" s="131" t="s">
        <v>236</v>
      </c>
      <c r="BS30" s="120" t="s">
        <v>129</v>
      </c>
    </row>
    <row r="31" spans="1:71" x14ac:dyDescent="0.35">
      <c r="A31" s="130"/>
      <c r="B31" s="10">
        <v>0.75</v>
      </c>
      <c r="C31" s="11" t="s">
        <v>127</v>
      </c>
      <c r="D31" s="11" t="s">
        <v>127</v>
      </c>
      <c r="E31" s="11" t="s">
        <v>127</v>
      </c>
      <c r="F31" s="11" t="s">
        <v>127</v>
      </c>
      <c r="G31" s="11" t="s">
        <v>127</v>
      </c>
      <c r="H31" s="11" t="s">
        <v>127</v>
      </c>
      <c r="I31" s="11" t="s">
        <v>127</v>
      </c>
      <c r="J31" s="11" t="s">
        <v>127</v>
      </c>
      <c r="K31" s="11" t="s">
        <v>127</v>
      </c>
      <c r="L31" s="11" t="s">
        <v>127</v>
      </c>
      <c r="M31" s="11" t="s">
        <v>127</v>
      </c>
      <c r="N31" s="11" t="s">
        <v>128</v>
      </c>
      <c r="O31" s="11" t="s">
        <v>128</v>
      </c>
      <c r="P31" s="11" t="s">
        <v>128</v>
      </c>
      <c r="Q31" s="11" t="s">
        <v>128</v>
      </c>
      <c r="R31" s="11" t="s">
        <v>128</v>
      </c>
      <c r="S31" s="11" t="s">
        <v>128</v>
      </c>
      <c r="T31" s="11" t="s">
        <v>128</v>
      </c>
      <c r="U31" s="11" t="s">
        <v>127</v>
      </c>
      <c r="V31" s="11" t="s">
        <v>127</v>
      </c>
      <c r="W31" s="11" t="s">
        <v>128</v>
      </c>
      <c r="X31" s="11" t="s">
        <v>127</v>
      </c>
      <c r="Y31" s="11" t="s">
        <v>128</v>
      </c>
      <c r="Z31" s="11" t="s">
        <v>128</v>
      </c>
      <c r="AA31" s="11" t="s">
        <v>127</v>
      </c>
      <c r="AB31" s="11" t="s">
        <v>128</v>
      </c>
      <c r="AC31" s="11" t="s">
        <v>127</v>
      </c>
      <c r="AD31" s="11" t="s">
        <v>127</v>
      </c>
      <c r="AE31" s="11" t="s">
        <v>128</v>
      </c>
      <c r="AF31" s="11" t="s">
        <v>127</v>
      </c>
      <c r="AG31" s="11" t="s">
        <v>128</v>
      </c>
      <c r="AH31" s="11" t="s">
        <v>128</v>
      </c>
      <c r="AI31" s="11" t="s">
        <v>127</v>
      </c>
      <c r="AJ31" s="11" t="s">
        <v>128</v>
      </c>
      <c r="AK31" s="11" t="s">
        <v>128</v>
      </c>
      <c r="AL31" s="11" t="s">
        <v>127</v>
      </c>
      <c r="AM31" s="11" t="s">
        <v>128</v>
      </c>
      <c r="AN31" s="11" t="s">
        <v>128</v>
      </c>
      <c r="AO31" s="11" t="s">
        <v>128</v>
      </c>
      <c r="AP31" s="11" t="s">
        <v>128</v>
      </c>
      <c r="AQ31" s="11" t="s">
        <v>128</v>
      </c>
      <c r="AR31" s="11" t="s">
        <v>128</v>
      </c>
      <c r="AS31" s="11" t="s">
        <v>128</v>
      </c>
      <c r="AT31" s="11" t="s">
        <v>128</v>
      </c>
      <c r="AU31" s="11" t="s">
        <v>128</v>
      </c>
      <c r="AV31" s="11" t="s">
        <v>127</v>
      </c>
      <c r="AW31" s="11" t="s">
        <v>128</v>
      </c>
      <c r="AX31" s="11" t="s">
        <v>127</v>
      </c>
      <c r="AY31" s="11" t="s">
        <v>127</v>
      </c>
      <c r="AZ31" s="11" t="s">
        <v>127</v>
      </c>
      <c r="BA31" s="11" t="s">
        <v>128</v>
      </c>
      <c r="BB31" s="11" t="s">
        <v>127</v>
      </c>
      <c r="BC31" s="11" t="s">
        <v>127</v>
      </c>
      <c r="BD31" s="11" t="s">
        <v>128</v>
      </c>
      <c r="BE31" s="11" t="s">
        <v>128</v>
      </c>
      <c r="BF31" s="11" t="s">
        <v>127</v>
      </c>
      <c r="BG31" s="11" t="s">
        <v>127</v>
      </c>
      <c r="BH31" s="11" t="s">
        <v>127</v>
      </c>
      <c r="BI31" s="11" t="s">
        <v>128</v>
      </c>
      <c r="BJ31" s="11" t="s">
        <v>127</v>
      </c>
      <c r="BK31" s="11" t="s">
        <v>128</v>
      </c>
      <c r="BL31" s="11" t="s">
        <v>127</v>
      </c>
      <c r="BM31" s="11" t="s">
        <v>128</v>
      </c>
      <c r="BN31" s="11" t="s">
        <v>127</v>
      </c>
      <c r="BO31" s="11" t="s">
        <v>127</v>
      </c>
      <c r="BP31" s="11" t="s">
        <v>127</v>
      </c>
      <c r="BQ31" s="11" t="s">
        <v>127</v>
      </c>
      <c r="BR31" s="131"/>
      <c r="BS31" s="120"/>
    </row>
    <row r="32" spans="1:71" x14ac:dyDescent="0.35">
      <c r="A32" s="130"/>
      <c r="B32" s="12"/>
      <c r="C32" s="126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8"/>
      <c r="BR32" s="131"/>
      <c r="BS32" s="120"/>
    </row>
    <row r="33" spans="1:71" x14ac:dyDescent="0.35">
      <c r="A33" s="129">
        <v>46184</v>
      </c>
      <c r="B33" s="10">
        <v>0.25</v>
      </c>
      <c r="C33" s="11" t="s">
        <v>127</v>
      </c>
      <c r="D33" s="11" t="s">
        <v>127</v>
      </c>
      <c r="E33" s="11" t="s">
        <v>127</v>
      </c>
      <c r="F33" s="11" t="s">
        <v>127</v>
      </c>
      <c r="G33" s="11" t="s">
        <v>127</v>
      </c>
      <c r="H33" s="11" t="s">
        <v>127</v>
      </c>
      <c r="I33" s="11" t="s">
        <v>127</v>
      </c>
      <c r="J33" s="11" t="s">
        <v>127</v>
      </c>
      <c r="K33" s="11" t="s">
        <v>127</v>
      </c>
      <c r="L33" s="11" t="s">
        <v>127</v>
      </c>
      <c r="M33" s="11" t="s">
        <v>127</v>
      </c>
      <c r="N33" s="11" t="s">
        <v>128</v>
      </c>
      <c r="O33" s="11" t="s">
        <v>128</v>
      </c>
      <c r="P33" s="11" t="s">
        <v>128</v>
      </c>
      <c r="Q33" s="11" t="s">
        <v>128</v>
      </c>
      <c r="R33" s="11" t="s">
        <v>128</v>
      </c>
      <c r="S33" s="11" t="s">
        <v>128</v>
      </c>
      <c r="T33" s="11" t="s">
        <v>128</v>
      </c>
      <c r="U33" s="11" t="s">
        <v>127</v>
      </c>
      <c r="V33" s="11" t="s">
        <v>127</v>
      </c>
      <c r="W33" s="11" t="s">
        <v>128</v>
      </c>
      <c r="X33" s="11" t="s">
        <v>127</v>
      </c>
      <c r="Y33" s="11" t="s">
        <v>128</v>
      </c>
      <c r="Z33" s="11" t="s">
        <v>128</v>
      </c>
      <c r="AA33" s="11" t="s">
        <v>127</v>
      </c>
      <c r="AB33" s="11" t="s">
        <v>128</v>
      </c>
      <c r="AC33" s="11" t="s">
        <v>127</v>
      </c>
      <c r="AD33" s="11" t="s">
        <v>127</v>
      </c>
      <c r="AE33" s="11" t="s">
        <v>128</v>
      </c>
      <c r="AF33" s="11" t="s">
        <v>127</v>
      </c>
      <c r="AG33" s="11" t="s">
        <v>128</v>
      </c>
      <c r="AH33" s="11" t="s">
        <v>128</v>
      </c>
      <c r="AI33" s="11" t="s">
        <v>127</v>
      </c>
      <c r="AJ33" s="11" t="s">
        <v>128</v>
      </c>
      <c r="AK33" s="11" t="s">
        <v>128</v>
      </c>
      <c r="AL33" s="11" t="s">
        <v>127</v>
      </c>
      <c r="AM33" s="11" t="s">
        <v>128</v>
      </c>
      <c r="AN33" s="11" t="s">
        <v>128</v>
      </c>
      <c r="AO33" s="11" t="s">
        <v>128</v>
      </c>
      <c r="AP33" s="11" t="s">
        <v>128</v>
      </c>
      <c r="AQ33" s="11" t="s">
        <v>128</v>
      </c>
      <c r="AR33" s="11" t="s">
        <v>128</v>
      </c>
      <c r="AS33" s="11" t="s">
        <v>128</v>
      </c>
      <c r="AT33" s="11" t="s">
        <v>128</v>
      </c>
      <c r="AU33" s="11" t="s">
        <v>128</v>
      </c>
      <c r="AV33" s="11" t="s">
        <v>127</v>
      </c>
      <c r="AW33" s="11" t="s">
        <v>128</v>
      </c>
      <c r="AX33" s="11" t="s">
        <v>127</v>
      </c>
      <c r="AY33" s="11" t="s">
        <v>127</v>
      </c>
      <c r="AZ33" s="11" t="s">
        <v>127</v>
      </c>
      <c r="BA33" s="11" t="s">
        <v>128</v>
      </c>
      <c r="BB33" s="11" t="s">
        <v>127</v>
      </c>
      <c r="BC33" s="11" t="s">
        <v>127</v>
      </c>
      <c r="BD33" s="11" t="s">
        <v>128</v>
      </c>
      <c r="BE33" s="11" t="s">
        <v>128</v>
      </c>
      <c r="BF33" s="11" t="s">
        <v>127</v>
      </c>
      <c r="BG33" s="11" t="s">
        <v>127</v>
      </c>
      <c r="BH33" s="11" t="s">
        <v>127</v>
      </c>
      <c r="BI33" s="11" t="s">
        <v>128</v>
      </c>
      <c r="BJ33" s="11" t="s">
        <v>127</v>
      </c>
      <c r="BK33" s="11" t="s">
        <v>128</v>
      </c>
      <c r="BL33" s="11" t="s">
        <v>127</v>
      </c>
      <c r="BM33" s="11" t="s">
        <v>128</v>
      </c>
      <c r="BN33" s="11" t="s">
        <v>127</v>
      </c>
      <c r="BO33" s="11" t="s">
        <v>127</v>
      </c>
      <c r="BP33" s="11" t="s">
        <v>127</v>
      </c>
      <c r="BQ33" s="11" t="s">
        <v>127</v>
      </c>
      <c r="BR33" s="131" t="s">
        <v>236</v>
      </c>
      <c r="BS33" s="120" t="s">
        <v>129</v>
      </c>
    </row>
    <row r="34" spans="1:71" x14ac:dyDescent="0.35">
      <c r="A34" s="130"/>
      <c r="B34" s="10">
        <v>0.75</v>
      </c>
      <c r="C34" s="11" t="s">
        <v>127</v>
      </c>
      <c r="D34" s="11" t="s">
        <v>127</v>
      </c>
      <c r="E34" s="11" t="s">
        <v>127</v>
      </c>
      <c r="F34" s="11" t="s">
        <v>127</v>
      </c>
      <c r="G34" s="11" t="s">
        <v>127</v>
      </c>
      <c r="H34" s="11" t="s">
        <v>127</v>
      </c>
      <c r="I34" s="11" t="s">
        <v>127</v>
      </c>
      <c r="J34" s="11" t="s">
        <v>127</v>
      </c>
      <c r="K34" s="11" t="s">
        <v>127</v>
      </c>
      <c r="L34" s="11" t="s">
        <v>127</v>
      </c>
      <c r="M34" s="11" t="s">
        <v>127</v>
      </c>
      <c r="N34" s="11" t="s">
        <v>128</v>
      </c>
      <c r="O34" s="11" t="s">
        <v>128</v>
      </c>
      <c r="P34" s="11" t="s">
        <v>128</v>
      </c>
      <c r="Q34" s="11" t="s">
        <v>128</v>
      </c>
      <c r="R34" s="11" t="s">
        <v>128</v>
      </c>
      <c r="S34" s="11" t="s">
        <v>128</v>
      </c>
      <c r="T34" s="11" t="s">
        <v>128</v>
      </c>
      <c r="U34" s="11" t="s">
        <v>127</v>
      </c>
      <c r="V34" s="11" t="s">
        <v>127</v>
      </c>
      <c r="W34" s="11" t="s">
        <v>128</v>
      </c>
      <c r="X34" s="11" t="s">
        <v>127</v>
      </c>
      <c r="Y34" s="11" t="s">
        <v>128</v>
      </c>
      <c r="Z34" s="11" t="s">
        <v>128</v>
      </c>
      <c r="AA34" s="11" t="s">
        <v>127</v>
      </c>
      <c r="AB34" s="11" t="s">
        <v>128</v>
      </c>
      <c r="AC34" s="11" t="s">
        <v>127</v>
      </c>
      <c r="AD34" s="11" t="s">
        <v>127</v>
      </c>
      <c r="AE34" s="11" t="s">
        <v>128</v>
      </c>
      <c r="AF34" s="11" t="s">
        <v>127</v>
      </c>
      <c r="AG34" s="11" t="s">
        <v>128</v>
      </c>
      <c r="AH34" s="11" t="s">
        <v>128</v>
      </c>
      <c r="AI34" s="11" t="s">
        <v>127</v>
      </c>
      <c r="AJ34" s="11" t="s">
        <v>128</v>
      </c>
      <c r="AK34" s="11" t="s">
        <v>128</v>
      </c>
      <c r="AL34" s="11" t="s">
        <v>127</v>
      </c>
      <c r="AM34" s="11" t="s">
        <v>128</v>
      </c>
      <c r="AN34" s="11" t="s">
        <v>128</v>
      </c>
      <c r="AO34" s="11" t="s">
        <v>128</v>
      </c>
      <c r="AP34" s="11" t="s">
        <v>128</v>
      </c>
      <c r="AQ34" s="11" t="s">
        <v>128</v>
      </c>
      <c r="AR34" s="11" t="s">
        <v>128</v>
      </c>
      <c r="AS34" s="11" t="s">
        <v>128</v>
      </c>
      <c r="AT34" s="11" t="s">
        <v>128</v>
      </c>
      <c r="AU34" s="11" t="s">
        <v>128</v>
      </c>
      <c r="AV34" s="11" t="s">
        <v>127</v>
      </c>
      <c r="AW34" s="11" t="s">
        <v>128</v>
      </c>
      <c r="AX34" s="11" t="s">
        <v>127</v>
      </c>
      <c r="AY34" s="11" t="s">
        <v>127</v>
      </c>
      <c r="AZ34" s="11" t="s">
        <v>127</v>
      </c>
      <c r="BA34" s="11" t="s">
        <v>128</v>
      </c>
      <c r="BB34" s="11" t="s">
        <v>127</v>
      </c>
      <c r="BC34" s="11" t="s">
        <v>127</v>
      </c>
      <c r="BD34" s="11" t="s">
        <v>128</v>
      </c>
      <c r="BE34" s="11" t="s">
        <v>128</v>
      </c>
      <c r="BF34" s="11" t="s">
        <v>127</v>
      </c>
      <c r="BG34" s="11" t="s">
        <v>127</v>
      </c>
      <c r="BH34" s="11" t="s">
        <v>127</v>
      </c>
      <c r="BI34" s="11" t="s">
        <v>128</v>
      </c>
      <c r="BJ34" s="11" t="s">
        <v>127</v>
      </c>
      <c r="BK34" s="11" t="s">
        <v>128</v>
      </c>
      <c r="BL34" s="11" t="s">
        <v>127</v>
      </c>
      <c r="BM34" s="11" t="s">
        <v>128</v>
      </c>
      <c r="BN34" s="11" t="s">
        <v>127</v>
      </c>
      <c r="BO34" s="11" t="s">
        <v>127</v>
      </c>
      <c r="BP34" s="11" t="s">
        <v>127</v>
      </c>
      <c r="BQ34" s="11" t="s">
        <v>127</v>
      </c>
      <c r="BR34" s="131"/>
      <c r="BS34" s="120"/>
    </row>
    <row r="35" spans="1:71" x14ac:dyDescent="0.35">
      <c r="A35" s="130"/>
      <c r="B35" s="12"/>
      <c r="C35" s="126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8"/>
      <c r="BR35" s="131"/>
      <c r="BS35" s="120"/>
    </row>
    <row r="36" spans="1:71" x14ac:dyDescent="0.35">
      <c r="A36" s="129">
        <v>46185</v>
      </c>
      <c r="B36" s="10">
        <v>0.25</v>
      </c>
      <c r="C36" s="11" t="s">
        <v>127</v>
      </c>
      <c r="D36" s="11" t="s">
        <v>127</v>
      </c>
      <c r="E36" s="11" t="s">
        <v>127</v>
      </c>
      <c r="F36" s="11" t="s">
        <v>127</v>
      </c>
      <c r="G36" s="11" t="s">
        <v>127</v>
      </c>
      <c r="H36" s="11" t="s">
        <v>127</v>
      </c>
      <c r="I36" s="11" t="s">
        <v>127</v>
      </c>
      <c r="J36" s="11" t="s">
        <v>127</v>
      </c>
      <c r="K36" s="11" t="s">
        <v>127</v>
      </c>
      <c r="L36" s="11" t="s">
        <v>127</v>
      </c>
      <c r="M36" s="11" t="s">
        <v>127</v>
      </c>
      <c r="N36" s="11" t="s">
        <v>128</v>
      </c>
      <c r="O36" s="11" t="s">
        <v>128</v>
      </c>
      <c r="P36" s="11" t="s">
        <v>128</v>
      </c>
      <c r="Q36" s="11" t="s">
        <v>128</v>
      </c>
      <c r="R36" s="11" t="s">
        <v>128</v>
      </c>
      <c r="S36" s="11" t="s">
        <v>128</v>
      </c>
      <c r="T36" s="11" t="s">
        <v>128</v>
      </c>
      <c r="U36" s="11" t="s">
        <v>127</v>
      </c>
      <c r="V36" s="11" t="s">
        <v>127</v>
      </c>
      <c r="W36" s="11" t="s">
        <v>128</v>
      </c>
      <c r="X36" s="11" t="s">
        <v>127</v>
      </c>
      <c r="Y36" s="11" t="s">
        <v>128</v>
      </c>
      <c r="Z36" s="11" t="s">
        <v>128</v>
      </c>
      <c r="AA36" s="11" t="s">
        <v>127</v>
      </c>
      <c r="AB36" s="11" t="s">
        <v>128</v>
      </c>
      <c r="AC36" s="11" t="s">
        <v>127</v>
      </c>
      <c r="AD36" s="11" t="s">
        <v>127</v>
      </c>
      <c r="AE36" s="11" t="s">
        <v>128</v>
      </c>
      <c r="AF36" s="11" t="s">
        <v>127</v>
      </c>
      <c r="AG36" s="11" t="s">
        <v>128</v>
      </c>
      <c r="AH36" s="11" t="s">
        <v>128</v>
      </c>
      <c r="AI36" s="11" t="s">
        <v>127</v>
      </c>
      <c r="AJ36" s="11" t="s">
        <v>128</v>
      </c>
      <c r="AK36" s="11" t="s">
        <v>128</v>
      </c>
      <c r="AL36" s="11" t="s">
        <v>127</v>
      </c>
      <c r="AM36" s="11" t="s">
        <v>128</v>
      </c>
      <c r="AN36" s="11" t="s">
        <v>128</v>
      </c>
      <c r="AO36" s="11" t="s">
        <v>128</v>
      </c>
      <c r="AP36" s="11" t="s">
        <v>128</v>
      </c>
      <c r="AQ36" s="11" t="s">
        <v>128</v>
      </c>
      <c r="AR36" s="11" t="s">
        <v>128</v>
      </c>
      <c r="AS36" s="11" t="s">
        <v>128</v>
      </c>
      <c r="AT36" s="11" t="s">
        <v>128</v>
      </c>
      <c r="AU36" s="11" t="s">
        <v>128</v>
      </c>
      <c r="AV36" s="11" t="s">
        <v>127</v>
      </c>
      <c r="AW36" s="11" t="s">
        <v>128</v>
      </c>
      <c r="AX36" s="11" t="s">
        <v>127</v>
      </c>
      <c r="AY36" s="11" t="s">
        <v>127</v>
      </c>
      <c r="AZ36" s="11" t="s">
        <v>127</v>
      </c>
      <c r="BA36" s="11" t="s">
        <v>128</v>
      </c>
      <c r="BB36" s="11" t="s">
        <v>127</v>
      </c>
      <c r="BC36" s="11" t="s">
        <v>127</v>
      </c>
      <c r="BD36" s="11" t="s">
        <v>128</v>
      </c>
      <c r="BE36" s="11" t="s">
        <v>128</v>
      </c>
      <c r="BF36" s="11" t="s">
        <v>127</v>
      </c>
      <c r="BG36" s="11" t="s">
        <v>127</v>
      </c>
      <c r="BH36" s="11" t="s">
        <v>127</v>
      </c>
      <c r="BI36" s="11" t="s">
        <v>128</v>
      </c>
      <c r="BJ36" s="11" t="s">
        <v>127</v>
      </c>
      <c r="BK36" s="11" t="s">
        <v>128</v>
      </c>
      <c r="BL36" s="11" t="s">
        <v>127</v>
      </c>
      <c r="BM36" s="11" t="s">
        <v>128</v>
      </c>
      <c r="BN36" s="11" t="s">
        <v>127</v>
      </c>
      <c r="BO36" s="11" t="s">
        <v>127</v>
      </c>
      <c r="BP36" s="11" t="s">
        <v>127</v>
      </c>
      <c r="BQ36" s="11" t="s">
        <v>127</v>
      </c>
      <c r="BR36" s="131" t="s">
        <v>236</v>
      </c>
      <c r="BS36" s="120" t="s">
        <v>129</v>
      </c>
    </row>
    <row r="37" spans="1:71" x14ac:dyDescent="0.35">
      <c r="A37" s="130"/>
      <c r="B37" s="10">
        <v>0.75</v>
      </c>
      <c r="C37" s="11" t="s">
        <v>127</v>
      </c>
      <c r="D37" s="11" t="s">
        <v>127</v>
      </c>
      <c r="E37" s="11" t="s">
        <v>127</v>
      </c>
      <c r="F37" s="11" t="s">
        <v>127</v>
      </c>
      <c r="G37" s="11" t="s">
        <v>127</v>
      </c>
      <c r="H37" s="11" t="s">
        <v>127</v>
      </c>
      <c r="I37" s="11" t="s">
        <v>127</v>
      </c>
      <c r="J37" s="11" t="s">
        <v>127</v>
      </c>
      <c r="K37" s="11" t="s">
        <v>127</v>
      </c>
      <c r="L37" s="11" t="s">
        <v>127</v>
      </c>
      <c r="M37" s="11" t="s">
        <v>127</v>
      </c>
      <c r="N37" s="11" t="s">
        <v>128</v>
      </c>
      <c r="O37" s="11" t="s">
        <v>128</v>
      </c>
      <c r="P37" s="11" t="s">
        <v>128</v>
      </c>
      <c r="Q37" s="11" t="s">
        <v>128</v>
      </c>
      <c r="R37" s="11" t="s">
        <v>128</v>
      </c>
      <c r="S37" s="11" t="s">
        <v>128</v>
      </c>
      <c r="T37" s="11" t="s">
        <v>128</v>
      </c>
      <c r="U37" s="11" t="s">
        <v>127</v>
      </c>
      <c r="V37" s="11" t="s">
        <v>127</v>
      </c>
      <c r="W37" s="11" t="s">
        <v>128</v>
      </c>
      <c r="X37" s="11" t="s">
        <v>127</v>
      </c>
      <c r="Y37" s="11" t="s">
        <v>128</v>
      </c>
      <c r="Z37" s="11" t="s">
        <v>128</v>
      </c>
      <c r="AA37" s="11" t="s">
        <v>127</v>
      </c>
      <c r="AB37" s="11" t="s">
        <v>128</v>
      </c>
      <c r="AC37" s="11" t="s">
        <v>127</v>
      </c>
      <c r="AD37" s="11" t="s">
        <v>127</v>
      </c>
      <c r="AE37" s="11" t="s">
        <v>128</v>
      </c>
      <c r="AF37" s="11" t="s">
        <v>127</v>
      </c>
      <c r="AG37" s="11" t="s">
        <v>128</v>
      </c>
      <c r="AH37" s="11" t="s">
        <v>128</v>
      </c>
      <c r="AI37" s="11" t="s">
        <v>127</v>
      </c>
      <c r="AJ37" s="11" t="s">
        <v>128</v>
      </c>
      <c r="AK37" s="11" t="s">
        <v>128</v>
      </c>
      <c r="AL37" s="11" t="s">
        <v>127</v>
      </c>
      <c r="AM37" s="11" t="s">
        <v>128</v>
      </c>
      <c r="AN37" s="11" t="s">
        <v>128</v>
      </c>
      <c r="AO37" s="11" t="s">
        <v>128</v>
      </c>
      <c r="AP37" s="11" t="s">
        <v>128</v>
      </c>
      <c r="AQ37" s="11" t="s">
        <v>128</v>
      </c>
      <c r="AR37" s="11" t="s">
        <v>128</v>
      </c>
      <c r="AS37" s="11" t="s">
        <v>128</v>
      </c>
      <c r="AT37" s="11" t="s">
        <v>128</v>
      </c>
      <c r="AU37" s="11" t="s">
        <v>128</v>
      </c>
      <c r="AV37" s="11" t="s">
        <v>127</v>
      </c>
      <c r="AW37" s="11" t="s">
        <v>128</v>
      </c>
      <c r="AX37" s="11" t="s">
        <v>127</v>
      </c>
      <c r="AY37" s="11" t="s">
        <v>127</v>
      </c>
      <c r="AZ37" s="11" t="s">
        <v>127</v>
      </c>
      <c r="BA37" s="11" t="s">
        <v>128</v>
      </c>
      <c r="BB37" s="11" t="s">
        <v>127</v>
      </c>
      <c r="BC37" s="11" t="s">
        <v>127</v>
      </c>
      <c r="BD37" s="11" t="s">
        <v>128</v>
      </c>
      <c r="BE37" s="11" t="s">
        <v>128</v>
      </c>
      <c r="BF37" s="11" t="s">
        <v>127</v>
      </c>
      <c r="BG37" s="11" t="s">
        <v>127</v>
      </c>
      <c r="BH37" s="11" t="s">
        <v>127</v>
      </c>
      <c r="BI37" s="11" t="s">
        <v>128</v>
      </c>
      <c r="BJ37" s="11" t="s">
        <v>127</v>
      </c>
      <c r="BK37" s="11" t="s">
        <v>128</v>
      </c>
      <c r="BL37" s="11" t="s">
        <v>127</v>
      </c>
      <c r="BM37" s="11" t="s">
        <v>128</v>
      </c>
      <c r="BN37" s="11" t="s">
        <v>127</v>
      </c>
      <c r="BO37" s="11" t="s">
        <v>127</v>
      </c>
      <c r="BP37" s="11" t="s">
        <v>127</v>
      </c>
      <c r="BQ37" s="11" t="s">
        <v>127</v>
      </c>
      <c r="BR37" s="131"/>
      <c r="BS37" s="120"/>
    </row>
    <row r="38" spans="1:71" x14ac:dyDescent="0.35">
      <c r="A38" s="130"/>
      <c r="B38" s="12"/>
      <c r="C38" s="126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8"/>
      <c r="BR38" s="131"/>
      <c r="BS38" s="120"/>
    </row>
    <row r="39" spans="1:71" x14ac:dyDescent="0.35">
      <c r="A39" s="129">
        <v>46186</v>
      </c>
      <c r="B39" s="10">
        <v>0.25</v>
      </c>
      <c r="C39" s="11" t="s">
        <v>127</v>
      </c>
      <c r="D39" s="11" t="s">
        <v>127</v>
      </c>
      <c r="E39" s="11" t="s">
        <v>127</v>
      </c>
      <c r="F39" s="11" t="s">
        <v>127</v>
      </c>
      <c r="G39" s="11" t="s">
        <v>127</v>
      </c>
      <c r="H39" s="11" t="s">
        <v>127</v>
      </c>
      <c r="I39" s="11" t="s">
        <v>127</v>
      </c>
      <c r="J39" s="11" t="s">
        <v>127</v>
      </c>
      <c r="K39" s="11" t="s">
        <v>127</v>
      </c>
      <c r="L39" s="11" t="s">
        <v>127</v>
      </c>
      <c r="M39" s="11" t="s">
        <v>127</v>
      </c>
      <c r="N39" s="11" t="s">
        <v>128</v>
      </c>
      <c r="O39" s="11" t="s">
        <v>128</v>
      </c>
      <c r="P39" s="11" t="s">
        <v>128</v>
      </c>
      <c r="Q39" s="11" t="s">
        <v>128</v>
      </c>
      <c r="R39" s="11" t="s">
        <v>128</v>
      </c>
      <c r="S39" s="11" t="s">
        <v>128</v>
      </c>
      <c r="T39" s="11" t="s">
        <v>128</v>
      </c>
      <c r="U39" s="11" t="s">
        <v>127</v>
      </c>
      <c r="V39" s="11" t="s">
        <v>127</v>
      </c>
      <c r="W39" s="11" t="s">
        <v>128</v>
      </c>
      <c r="X39" s="11" t="s">
        <v>127</v>
      </c>
      <c r="Y39" s="11" t="s">
        <v>128</v>
      </c>
      <c r="Z39" s="11" t="s">
        <v>128</v>
      </c>
      <c r="AA39" s="11" t="s">
        <v>127</v>
      </c>
      <c r="AB39" s="11" t="s">
        <v>128</v>
      </c>
      <c r="AC39" s="11" t="s">
        <v>127</v>
      </c>
      <c r="AD39" s="11" t="s">
        <v>127</v>
      </c>
      <c r="AE39" s="11" t="s">
        <v>128</v>
      </c>
      <c r="AF39" s="11" t="s">
        <v>127</v>
      </c>
      <c r="AG39" s="11" t="s">
        <v>128</v>
      </c>
      <c r="AH39" s="11" t="s">
        <v>128</v>
      </c>
      <c r="AI39" s="11" t="s">
        <v>127</v>
      </c>
      <c r="AJ39" s="11" t="s">
        <v>128</v>
      </c>
      <c r="AK39" s="11" t="s">
        <v>128</v>
      </c>
      <c r="AL39" s="11" t="s">
        <v>127</v>
      </c>
      <c r="AM39" s="11" t="s">
        <v>128</v>
      </c>
      <c r="AN39" s="11" t="s">
        <v>128</v>
      </c>
      <c r="AO39" s="11" t="s">
        <v>128</v>
      </c>
      <c r="AP39" s="11" t="s">
        <v>128</v>
      </c>
      <c r="AQ39" s="11" t="s">
        <v>128</v>
      </c>
      <c r="AR39" s="11" t="s">
        <v>128</v>
      </c>
      <c r="AS39" s="11" t="s">
        <v>128</v>
      </c>
      <c r="AT39" s="11" t="s">
        <v>128</v>
      </c>
      <c r="AU39" s="11" t="s">
        <v>128</v>
      </c>
      <c r="AV39" s="11" t="s">
        <v>127</v>
      </c>
      <c r="AW39" s="11" t="s">
        <v>128</v>
      </c>
      <c r="AX39" s="11" t="s">
        <v>127</v>
      </c>
      <c r="AY39" s="11" t="s">
        <v>127</v>
      </c>
      <c r="AZ39" s="11" t="s">
        <v>127</v>
      </c>
      <c r="BA39" s="11" t="s">
        <v>128</v>
      </c>
      <c r="BB39" s="11" t="s">
        <v>127</v>
      </c>
      <c r="BC39" s="11" t="s">
        <v>127</v>
      </c>
      <c r="BD39" s="11" t="s">
        <v>128</v>
      </c>
      <c r="BE39" s="11" t="s">
        <v>128</v>
      </c>
      <c r="BF39" s="11" t="s">
        <v>127</v>
      </c>
      <c r="BG39" s="11" t="s">
        <v>127</v>
      </c>
      <c r="BH39" s="11" t="s">
        <v>127</v>
      </c>
      <c r="BI39" s="11" t="s">
        <v>128</v>
      </c>
      <c r="BJ39" s="11" t="s">
        <v>127</v>
      </c>
      <c r="BK39" s="11" t="s">
        <v>128</v>
      </c>
      <c r="BL39" s="11" t="s">
        <v>127</v>
      </c>
      <c r="BM39" s="11" t="s">
        <v>128</v>
      </c>
      <c r="BN39" s="11" t="s">
        <v>127</v>
      </c>
      <c r="BO39" s="11" t="s">
        <v>127</v>
      </c>
      <c r="BP39" s="11" t="s">
        <v>127</v>
      </c>
      <c r="BQ39" s="11" t="s">
        <v>127</v>
      </c>
      <c r="BR39" s="131" t="s">
        <v>236</v>
      </c>
      <c r="BS39" s="120" t="s">
        <v>129</v>
      </c>
    </row>
    <row r="40" spans="1:71" x14ac:dyDescent="0.35">
      <c r="A40" s="130"/>
      <c r="B40" s="10">
        <v>0.75</v>
      </c>
      <c r="C40" s="11" t="s">
        <v>127</v>
      </c>
      <c r="D40" s="11" t="s">
        <v>127</v>
      </c>
      <c r="E40" s="11" t="s">
        <v>127</v>
      </c>
      <c r="F40" s="11" t="s">
        <v>127</v>
      </c>
      <c r="G40" s="11" t="s">
        <v>127</v>
      </c>
      <c r="H40" s="11" t="s">
        <v>127</v>
      </c>
      <c r="I40" s="11" t="s">
        <v>127</v>
      </c>
      <c r="J40" s="11" t="s">
        <v>127</v>
      </c>
      <c r="K40" s="11" t="s">
        <v>127</v>
      </c>
      <c r="L40" s="11" t="s">
        <v>127</v>
      </c>
      <c r="M40" s="11" t="s">
        <v>127</v>
      </c>
      <c r="N40" s="11" t="s">
        <v>128</v>
      </c>
      <c r="O40" s="11" t="s">
        <v>128</v>
      </c>
      <c r="P40" s="11" t="s">
        <v>128</v>
      </c>
      <c r="Q40" s="11" t="s">
        <v>128</v>
      </c>
      <c r="R40" s="11" t="s">
        <v>128</v>
      </c>
      <c r="S40" s="11" t="s">
        <v>128</v>
      </c>
      <c r="T40" s="11" t="s">
        <v>128</v>
      </c>
      <c r="U40" s="11" t="s">
        <v>127</v>
      </c>
      <c r="V40" s="11" t="s">
        <v>127</v>
      </c>
      <c r="W40" s="11" t="s">
        <v>128</v>
      </c>
      <c r="X40" s="11" t="s">
        <v>127</v>
      </c>
      <c r="Y40" s="11" t="s">
        <v>128</v>
      </c>
      <c r="Z40" s="11" t="s">
        <v>128</v>
      </c>
      <c r="AA40" s="11" t="s">
        <v>127</v>
      </c>
      <c r="AB40" s="11" t="s">
        <v>128</v>
      </c>
      <c r="AC40" s="11" t="s">
        <v>127</v>
      </c>
      <c r="AD40" s="11" t="s">
        <v>127</v>
      </c>
      <c r="AE40" s="11" t="s">
        <v>128</v>
      </c>
      <c r="AF40" s="11" t="s">
        <v>127</v>
      </c>
      <c r="AG40" s="11" t="s">
        <v>128</v>
      </c>
      <c r="AH40" s="11" t="s">
        <v>128</v>
      </c>
      <c r="AI40" s="11" t="s">
        <v>127</v>
      </c>
      <c r="AJ40" s="11" t="s">
        <v>128</v>
      </c>
      <c r="AK40" s="11" t="s">
        <v>128</v>
      </c>
      <c r="AL40" s="11" t="s">
        <v>127</v>
      </c>
      <c r="AM40" s="11" t="s">
        <v>128</v>
      </c>
      <c r="AN40" s="11" t="s">
        <v>128</v>
      </c>
      <c r="AO40" s="11" t="s">
        <v>128</v>
      </c>
      <c r="AP40" s="11" t="s">
        <v>128</v>
      </c>
      <c r="AQ40" s="11" t="s">
        <v>128</v>
      </c>
      <c r="AR40" s="11" t="s">
        <v>128</v>
      </c>
      <c r="AS40" s="11" t="s">
        <v>128</v>
      </c>
      <c r="AT40" s="11" t="s">
        <v>128</v>
      </c>
      <c r="AU40" s="11" t="s">
        <v>128</v>
      </c>
      <c r="AV40" s="11" t="s">
        <v>127</v>
      </c>
      <c r="AW40" s="11" t="s">
        <v>128</v>
      </c>
      <c r="AX40" s="11" t="s">
        <v>127</v>
      </c>
      <c r="AY40" s="11" t="s">
        <v>127</v>
      </c>
      <c r="AZ40" s="11" t="s">
        <v>127</v>
      </c>
      <c r="BA40" s="11" t="s">
        <v>128</v>
      </c>
      <c r="BB40" s="11" t="s">
        <v>127</v>
      </c>
      <c r="BC40" s="11" t="s">
        <v>127</v>
      </c>
      <c r="BD40" s="11" t="s">
        <v>128</v>
      </c>
      <c r="BE40" s="11" t="s">
        <v>128</v>
      </c>
      <c r="BF40" s="11" t="s">
        <v>127</v>
      </c>
      <c r="BG40" s="11" t="s">
        <v>127</v>
      </c>
      <c r="BH40" s="11" t="s">
        <v>127</v>
      </c>
      <c r="BI40" s="11" t="s">
        <v>128</v>
      </c>
      <c r="BJ40" s="11" t="s">
        <v>127</v>
      </c>
      <c r="BK40" s="11" t="s">
        <v>128</v>
      </c>
      <c r="BL40" s="11" t="s">
        <v>127</v>
      </c>
      <c r="BM40" s="11" t="s">
        <v>128</v>
      </c>
      <c r="BN40" s="11" t="s">
        <v>127</v>
      </c>
      <c r="BO40" s="11" t="s">
        <v>127</v>
      </c>
      <c r="BP40" s="11" t="s">
        <v>127</v>
      </c>
      <c r="BQ40" s="11" t="s">
        <v>127</v>
      </c>
      <c r="BR40" s="131"/>
      <c r="BS40" s="120"/>
    </row>
    <row r="41" spans="1:71" x14ac:dyDescent="0.35">
      <c r="A41" s="130"/>
      <c r="B41" s="12"/>
      <c r="C41" s="126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7"/>
      <c r="BJ41" s="127"/>
      <c r="BK41" s="127"/>
      <c r="BL41" s="127"/>
      <c r="BM41" s="127"/>
      <c r="BN41" s="127"/>
      <c r="BO41" s="127"/>
      <c r="BP41" s="127"/>
      <c r="BQ41" s="128"/>
      <c r="BR41" s="131"/>
      <c r="BS41" s="120"/>
    </row>
    <row r="42" spans="1:71" x14ac:dyDescent="0.35">
      <c r="A42" s="129">
        <v>46187</v>
      </c>
      <c r="B42" s="10">
        <v>0.25</v>
      </c>
      <c r="C42" s="11" t="s">
        <v>127</v>
      </c>
      <c r="D42" s="11" t="s">
        <v>127</v>
      </c>
      <c r="E42" s="11" t="s">
        <v>127</v>
      </c>
      <c r="F42" s="11" t="s">
        <v>127</v>
      </c>
      <c r="G42" s="11" t="s">
        <v>127</v>
      </c>
      <c r="H42" s="11" t="s">
        <v>127</v>
      </c>
      <c r="I42" s="11" t="s">
        <v>127</v>
      </c>
      <c r="J42" s="11" t="s">
        <v>127</v>
      </c>
      <c r="K42" s="11" t="s">
        <v>127</v>
      </c>
      <c r="L42" s="11" t="s">
        <v>127</v>
      </c>
      <c r="M42" s="11" t="s">
        <v>127</v>
      </c>
      <c r="N42" s="11" t="s">
        <v>128</v>
      </c>
      <c r="O42" s="11" t="s">
        <v>128</v>
      </c>
      <c r="P42" s="11" t="s">
        <v>128</v>
      </c>
      <c r="Q42" s="11" t="s">
        <v>128</v>
      </c>
      <c r="R42" s="11" t="s">
        <v>128</v>
      </c>
      <c r="S42" s="11" t="s">
        <v>128</v>
      </c>
      <c r="T42" s="11" t="s">
        <v>128</v>
      </c>
      <c r="U42" s="11" t="s">
        <v>127</v>
      </c>
      <c r="V42" s="11" t="s">
        <v>127</v>
      </c>
      <c r="W42" s="11" t="s">
        <v>128</v>
      </c>
      <c r="X42" s="11" t="s">
        <v>127</v>
      </c>
      <c r="Y42" s="11" t="s">
        <v>128</v>
      </c>
      <c r="Z42" s="11" t="s">
        <v>128</v>
      </c>
      <c r="AA42" s="11" t="s">
        <v>127</v>
      </c>
      <c r="AB42" s="11" t="s">
        <v>128</v>
      </c>
      <c r="AC42" s="11" t="s">
        <v>127</v>
      </c>
      <c r="AD42" s="11" t="s">
        <v>127</v>
      </c>
      <c r="AE42" s="11" t="s">
        <v>128</v>
      </c>
      <c r="AF42" s="11" t="s">
        <v>127</v>
      </c>
      <c r="AG42" s="11" t="s">
        <v>128</v>
      </c>
      <c r="AH42" s="11" t="s">
        <v>128</v>
      </c>
      <c r="AI42" s="11" t="s">
        <v>127</v>
      </c>
      <c r="AJ42" s="11" t="s">
        <v>128</v>
      </c>
      <c r="AK42" s="11" t="s">
        <v>128</v>
      </c>
      <c r="AL42" s="11" t="s">
        <v>127</v>
      </c>
      <c r="AM42" s="11" t="s">
        <v>128</v>
      </c>
      <c r="AN42" s="11" t="s">
        <v>128</v>
      </c>
      <c r="AO42" s="11" t="s">
        <v>128</v>
      </c>
      <c r="AP42" s="11" t="s">
        <v>128</v>
      </c>
      <c r="AQ42" s="11" t="s">
        <v>128</v>
      </c>
      <c r="AR42" s="11" t="s">
        <v>128</v>
      </c>
      <c r="AS42" s="11" t="s">
        <v>128</v>
      </c>
      <c r="AT42" s="11" t="s">
        <v>128</v>
      </c>
      <c r="AU42" s="11" t="s">
        <v>128</v>
      </c>
      <c r="AV42" s="11" t="s">
        <v>127</v>
      </c>
      <c r="AW42" s="11" t="s">
        <v>128</v>
      </c>
      <c r="AX42" s="11" t="s">
        <v>127</v>
      </c>
      <c r="AY42" s="11" t="s">
        <v>127</v>
      </c>
      <c r="AZ42" s="11" t="s">
        <v>127</v>
      </c>
      <c r="BA42" s="11" t="s">
        <v>128</v>
      </c>
      <c r="BB42" s="11" t="s">
        <v>127</v>
      </c>
      <c r="BC42" s="11" t="s">
        <v>127</v>
      </c>
      <c r="BD42" s="11" t="s">
        <v>128</v>
      </c>
      <c r="BE42" s="11" t="s">
        <v>128</v>
      </c>
      <c r="BF42" s="11" t="s">
        <v>127</v>
      </c>
      <c r="BG42" s="11" t="s">
        <v>127</v>
      </c>
      <c r="BH42" s="11" t="s">
        <v>127</v>
      </c>
      <c r="BI42" s="11" t="s">
        <v>128</v>
      </c>
      <c r="BJ42" s="11" t="s">
        <v>127</v>
      </c>
      <c r="BK42" s="11" t="s">
        <v>128</v>
      </c>
      <c r="BL42" s="11" t="s">
        <v>127</v>
      </c>
      <c r="BM42" s="11" t="s">
        <v>128</v>
      </c>
      <c r="BN42" s="11" t="s">
        <v>127</v>
      </c>
      <c r="BO42" s="11" t="s">
        <v>127</v>
      </c>
      <c r="BP42" s="11" t="s">
        <v>127</v>
      </c>
      <c r="BQ42" s="11" t="s">
        <v>127</v>
      </c>
      <c r="BR42" s="131" t="s">
        <v>236</v>
      </c>
      <c r="BS42" s="120" t="s">
        <v>129</v>
      </c>
    </row>
    <row r="43" spans="1:71" x14ac:dyDescent="0.35">
      <c r="A43" s="130"/>
      <c r="B43" s="10">
        <v>0.75</v>
      </c>
      <c r="C43" s="11" t="s">
        <v>127</v>
      </c>
      <c r="D43" s="11" t="s">
        <v>127</v>
      </c>
      <c r="E43" s="11" t="s">
        <v>127</v>
      </c>
      <c r="F43" s="11" t="s">
        <v>127</v>
      </c>
      <c r="G43" s="11" t="s">
        <v>127</v>
      </c>
      <c r="H43" s="11" t="s">
        <v>127</v>
      </c>
      <c r="I43" s="11" t="s">
        <v>127</v>
      </c>
      <c r="J43" s="11" t="s">
        <v>127</v>
      </c>
      <c r="K43" s="11" t="s">
        <v>127</v>
      </c>
      <c r="L43" s="11" t="s">
        <v>127</v>
      </c>
      <c r="M43" s="11" t="s">
        <v>127</v>
      </c>
      <c r="N43" s="11" t="s">
        <v>128</v>
      </c>
      <c r="O43" s="11" t="s">
        <v>128</v>
      </c>
      <c r="P43" s="11" t="s">
        <v>128</v>
      </c>
      <c r="Q43" s="11" t="s">
        <v>128</v>
      </c>
      <c r="R43" s="11" t="s">
        <v>128</v>
      </c>
      <c r="S43" s="11" t="s">
        <v>128</v>
      </c>
      <c r="T43" s="11" t="s">
        <v>128</v>
      </c>
      <c r="U43" s="11" t="s">
        <v>127</v>
      </c>
      <c r="V43" s="11" t="s">
        <v>127</v>
      </c>
      <c r="W43" s="11" t="s">
        <v>128</v>
      </c>
      <c r="X43" s="11" t="s">
        <v>127</v>
      </c>
      <c r="Y43" s="11" t="s">
        <v>128</v>
      </c>
      <c r="Z43" s="11" t="s">
        <v>128</v>
      </c>
      <c r="AA43" s="11" t="s">
        <v>127</v>
      </c>
      <c r="AB43" s="11" t="s">
        <v>128</v>
      </c>
      <c r="AC43" s="11" t="s">
        <v>127</v>
      </c>
      <c r="AD43" s="11" t="s">
        <v>127</v>
      </c>
      <c r="AE43" s="11" t="s">
        <v>128</v>
      </c>
      <c r="AF43" s="11" t="s">
        <v>127</v>
      </c>
      <c r="AG43" s="11" t="s">
        <v>128</v>
      </c>
      <c r="AH43" s="11" t="s">
        <v>128</v>
      </c>
      <c r="AI43" s="11" t="s">
        <v>127</v>
      </c>
      <c r="AJ43" s="11" t="s">
        <v>128</v>
      </c>
      <c r="AK43" s="11" t="s">
        <v>128</v>
      </c>
      <c r="AL43" s="11" t="s">
        <v>127</v>
      </c>
      <c r="AM43" s="11" t="s">
        <v>128</v>
      </c>
      <c r="AN43" s="11" t="s">
        <v>128</v>
      </c>
      <c r="AO43" s="11" t="s">
        <v>128</v>
      </c>
      <c r="AP43" s="11" t="s">
        <v>128</v>
      </c>
      <c r="AQ43" s="11" t="s">
        <v>128</v>
      </c>
      <c r="AR43" s="11" t="s">
        <v>128</v>
      </c>
      <c r="AS43" s="11" t="s">
        <v>128</v>
      </c>
      <c r="AT43" s="11" t="s">
        <v>128</v>
      </c>
      <c r="AU43" s="11" t="s">
        <v>128</v>
      </c>
      <c r="AV43" s="11" t="s">
        <v>127</v>
      </c>
      <c r="AW43" s="11" t="s">
        <v>128</v>
      </c>
      <c r="AX43" s="11" t="s">
        <v>127</v>
      </c>
      <c r="AY43" s="11" t="s">
        <v>127</v>
      </c>
      <c r="AZ43" s="11" t="s">
        <v>127</v>
      </c>
      <c r="BA43" s="11" t="s">
        <v>128</v>
      </c>
      <c r="BB43" s="11" t="s">
        <v>127</v>
      </c>
      <c r="BC43" s="11" t="s">
        <v>127</v>
      </c>
      <c r="BD43" s="11" t="s">
        <v>128</v>
      </c>
      <c r="BE43" s="11" t="s">
        <v>128</v>
      </c>
      <c r="BF43" s="11" t="s">
        <v>127</v>
      </c>
      <c r="BG43" s="11" t="s">
        <v>127</v>
      </c>
      <c r="BH43" s="11" t="s">
        <v>127</v>
      </c>
      <c r="BI43" s="11" t="s">
        <v>128</v>
      </c>
      <c r="BJ43" s="11" t="s">
        <v>127</v>
      </c>
      <c r="BK43" s="11" t="s">
        <v>128</v>
      </c>
      <c r="BL43" s="11" t="s">
        <v>127</v>
      </c>
      <c r="BM43" s="11" t="s">
        <v>128</v>
      </c>
      <c r="BN43" s="11" t="s">
        <v>127</v>
      </c>
      <c r="BO43" s="11" t="s">
        <v>127</v>
      </c>
      <c r="BP43" s="11" t="s">
        <v>127</v>
      </c>
      <c r="BQ43" s="11" t="s">
        <v>127</v>
      </c>
      <c r="BR43" s="131"/>
      <c r="BS43" s="120"/>
    </row>
    <row r="44" spans="1:71" x14ac:dyDescent="0.35">
      <c r="A44" s="130"/>
      <c r="B44" s="12"/>
      <c r="C44" s="126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7"/>
      <c r="BJ44" s="127"/>
      <c r="BK44" s="127"/>
      <c r="BL44" s="127"/>
      <c r="BM44" s="127"/>
      <c r="BN44" s="127"/>
      <c r="BO44" s="127"/>
      <c r="BP44" s="127"/>
      <c r="BQ44" s="128"/>
      <c r="BR44" s="131"/>
      <c r="BS44" s="120"/>
    </row>
    <row r="45" spans="1:71" x14ac:dyDescent="0.35">
      <c r="A45" s="129">
        <v>46188</v>
      </c>
      <c r="B45" s="10">
        <v>0.25</v>
      </c>
      <c r="C45" s="11" t="s">
        <v>127</v>
      </c>
      <c r="D45" s="11" t="s">
        <v>127</v>
      </c>
      <c r="E45" s="11" t="s">
        <v>127</v>
      </c>
      <c r="F45" s="11" t="s">
        <v>127</v>
      </c>
      <c r="G45" s="11" t="s">
        <v>127</v>
      </c>
      <c r="H45" s="11" t="s">
        <v>127</v>
      </c>
      <c r="I45" s="11" t="s">
        <v>127</v>
      </c>
      <c r="J45" s="11" t="s">
        <v>127</v>
      </c>
      <c r="K45" s="11" t="s">
        <v>127</v>
      </c>
      <c r="L45" s="11" t="s">
        <v>127</v>
      </c>
      <c r="M45" s="11" t="s">
        <v>127</v>
      </c>
      <c r="N45" s="11" t="s">
        <v>128</v>
      </c>
      <c r="O45" s="11" t="s">
        <v>128</v>
      </c>
      <c r="P45" s="11" t="s">
        <v>128</v>
      </c>
      <c r="Q45" s="11" t="s">
        <v>128</v>
      </c>
      <c r="R45" s="11" t="s">
        <v>128</v>
      </c>
      <c r="S45" s="11" t="s">
        <v>128</v>
      </c>
      <c r="T45" s="11" t="s">
        <v>128</v>
      </c>
      <c r="U45" s="11" t="s">
        <v>127</v>
      </c>
      <c r="V45" s="11" t="s">
        <v>127</v>
      </c>
      <c r="W45" s="11" t="s">
        <v>128</v>
      </c>
      <c r="X45" s="11" t="s">
        <v>127</v>
      </c>
      <c r="Y45" s="11" t="s">
        <v>128</v>
      </c>
      <c r="Z45" s="11" t="s">
        <v>128</v>
      </c>
      <c r="AA45" s="11" t="s">
        <v>127</v>
      </c>
      <c r="AB45" s="11" t="s">
        <v>128</v>
      </c>
      <c r="AC45" s="11" t="s">
        <v>127</v>
      </c>
      <c r="AD45" s="11" t="s">
        <v>127</v>
      </c>
      <c r="AE45" s="11" t="s">
        <v>128</v>
      </c>
      <c r="AF45" s="11" t="s">
        <v>127</v>
      </c>
      <c r="AG45" s="11" t="s">
        <v>128</v>
      </c>
      <c r="AH45" s="11" t="s">
        <v>128</v>
      </c>
      <c r="AI45" s="11" t="s">
        <v>127</v>
      </c>
      <c r="AJ45" s="11" t="s">
        <v>128</v>
      </c>
      <c r="AK45" s="11" t="s">
        <v>128</v>
      </c>
      <c r="AL45" s="11" t="s">
        <v>127</v>
      </c>
      <c r="AM45" s="11" t="s">
        <v>128</v>
      </c>
      <c r="AN45" s="11" t="s">
        <v>128</v>
      </c>
      <c r="AO45" s="11" t="s">
        <v>128</v>
      </c>
      <c r="AP45" s="11" t="s">
        <v>128</v>
      </c>
      <c r="AQ45" s="11" t="s">
        <v>128</v>
      </c>
      <c r="AR45" s="11" t="s">
        <v>128</v>
      </c>
      <c r="AS45" s="11" t="s">
        <v>128</v>
      </c>
      <c r="AT45" s="11" t="s">
        <v>128</v>
      </c>
      <c r="AU45" s="11" t="s">
        <v>128</v>
      </c>
      <c r="AV45" s="11" t="s">
        <v>127</v>
      </c>
      <c r="AW45" s="11" t="s">
        <v>128</v>
      </c>
      <c r="AX45" s="11" t="s">
        <v>127</v>
      </c>
      <c r="AY45" s="11" t="s">
        <v>127</v>
      </c>
      <c r="AZ45" s="11" t="s">
        <v>127</v>
      </c>
      <c r="BA45" s="11" t="s">
        <v>128</v>
      </c>
      <c r="BB45" s="11" t="s">
        <v>127</v>
      </c>
      <c r="BC45" s="11" t="s">
        <v>127</v>
      </c>
      <c r="BD45" s="11" t="s">
        <v>128</v>
      </c>
      <c r="BE45" s="11" t="s">
        <v>128</v>
      </c>
      <c r="BF45" s="11" t="s">
        <v>127</v>
      </c>
      <c r="BG45" s="11" t="s">
        <v>127</v>
      </c>
      <c r="BH45" s="11" t="s">
        <v>127</v>
      </c>
      <c r="BI45" s="11" t="s">
        <v>128</v>
      </c>
      <c r="BJ45" s="11" t="s">
        <v>127</v>
      </c>
      <c r="BK45" s="11" t="s">
        <v>128</v>
      </c>
      <c r="BL45" s="11" t="s">
        <v>127</v>
      </c>
      <c r="BM45" s="11" t="s">
        <v>128</v>
      </c>
      <c r="BN45" s="11" t="s">
        <v>127</v>
      </c>
      <c r="BO45" s="11" t="s">
        <v>127</v>
      </c>
      <c r="BP45" s="11" t="s">
        <v>127</v>
      </c>
      <c r="BQ45" s="11" t="s">
        <v>127</v>
      </c>
      <c r="BR45" s="131" t="s">
        <v>237</v>
      </c>
      <c r="BS45" s="120" t="s">
        <v>129</v>
      </c>
    </row>
    <row r="46" spans="1:71" x14ac:dyDescent="0.35">
      <c r="A46" s="130"/>
      <c r="B46" s="10">
        <v>0.75</v>
      </c>
      <c r="C46" s="11" t="s">
        <v>127</v>
      </c>
      <c r="D46" s="11" t="s">
        <v>127</v>
      </c>
      <c r="E46" s="11" t="s">
        <v>127</v>
      </c>
      <c r="F46" s="11" t="s">
        <v>127</v>
      </c>
      <c r="G46" s="11" t="s">
        <v>127</v>
      </c>
      <c r="H46" s="11" t="s">
        <v>127</v>
      </c>
      <c r="I46" s="11" t="s">
        <v>127</v>
      </c>
      <c r="J46" s="11" t="s">
        <v>127</v>
      </c>
      <c r="K46" s="11" t="s">
        <v>127</v>
      </c>
      <c r="L46" s="11" t="s">
        <v>127</v>
      </c>
      <c r="M46" s="11" t="s">
        <v>127</v>
      </c>
      <c r="N46" s="11" t="s">
        <v>128</v>
      </c>
      <c r="O46" s="11" t="s">
        <v>128</v>
      </c>
      <c r="P46" s="11" t="s">
        <v>128</v>
      </c>
      <c r="Q46" s="11" t="s">
        <v>128</v>
      </c>
      <c r="R46" s="11" t="s">
        <v>128</v>
      </c>
      <c r="S46" s="11" t="s">
        <v>128</v>
      </c>
      <c r="T46" s="11" t="s">
        <v>128</v>
      </c>
      <c r="U46" s="11" t="s">
        <v>127</v>
      </c>
      <c r="V46" s="11" t="s">
        <v>127</v>
      </c>
      <c r="W46" s="11" t="s">
        <v>128</v>
      </c>
      <c r="X46" s="11" t="s">
        <v>127</v>
      </c>
      <c r="Y46" s="11" t="s">
        <v>128</v>
      </c>
      <c r="Z46" s="11" t="s">
        <v>128</v>
      </c>
      <c r="AA46" s="11" t="s">
        <v>127</v>
      </c>
      <c r="AB46" s="11" t="s">
        <v>128</v>
      </c>
      <c r="AC46" s="11" t="s">
        <v>127</v>
      </c>
      <c r="AD46" s="11" t="s">
        <v>127</v>
      </c>
      <c r="AE46" s="11" t="s">
        <v>128</v>
      </c>
      <c r="AF46" s="11" t="s">
        <v>127</v>
      </c>
      <c r="AG46" s="11" t="s">
        <v>128</v>
      </c>
      <c r="AH46" s="11" t="s">
        <v>128</v>
      </c>
      <c r="AI46" s="11" t="s">
        <v>127</v>
      </c>
      <c r="AJ46" s="11" t="s">
        <v>128</v>
      </c>
      <c r="AK46" s="11" t="s">
        <v>128</v>
      </c>
      <c r="AL46" s="11" t="s">
        <v>127</v>
      </c>
      <c r="AM46" s="11" t="s">
        <v>128</v>
      </c>
      <c r="AN46" s="11" t="s">
        <v>128</v>
      </c>
      <c r="AO46" s="11" t="s">
        <v>128</v>
      </c>
      <c r="AP46" s="11" t="s">
        <v>128</v>
      </c>
      <c r="AQ46" s="11" t="s">
        <v>128</v>
      </c>
      <c r="AR46" s="11" t="s">
        <v>128</v>
      </c>
      <c r="AS46" s="11" t="s">
        <v>128</v>
      </c>
      <c r="AT46" s="11" t="s">
        <v>128</v>
      </c>
      <c r="AU46" s="11" t="s">
        <v>128</v>
      </c>
      <c r="AV46" s="11" t="s">
        <v>127</v>
      </c>
      <c r="AW46" s="11" t="s">
        <v>128</v>
      </c>
      <c r="AX46" s="11" t="s">
        <v>127</v>
      </c>
      <c r="AY46" s="11" t="s">
        <v>127</v>
      </c>
      <c r="AZ46" s="11" t="s">
        <v>127</v>
      </c>
      <c r="BA46" s="11" t="s">
        <v>128</v>
      </c>
      <c r="BB46" s="11" t="s">
        <v>127</v>
      </c>
      <c r="BC46" s="11" t="s">
        <v>127</v>
      </c>
      <c r="BD46" s="11" t="s">
        <v>128</v>
      </c>
      <c r="BE46" s="11" t="s">
        <v>128</v>
      </c>
      <c r="BF46" s="11" t="s">
        <v>127</v>
      </c>
      <c r="BG46" s="11" t="s">
        <v>127</v>
      </c>
      <c r="BH46" s="11" t="s">
        <v>127</v>
      </c>
      <c r="BI46" s="11" t="s">
        <v>128</v>
      </c>
      <c r="BJ46" s="11" t="s">
        <v>127</v>
      </c>
      <c r="BK46" s="11" t="s">
        <v>128</v>
      </c>
      <c r="BL46" s="11" t="s">
        <v>127</v>
      </c>
      <c r="BM46" s="11" t="s">
        <v>128</v>
      </c>
      <c r="BN46" s="11" t="s">
        <v>127</v>
      </c>
      <c r="BO46" s="11" t="s">
        <v>127</v>
      </c>
      <c r="BP46" s="11" t="s">
        <v>127</v>
      </c>
      <c r="BQ46" s="11" t="s">
        <v>127</v>
      </c>
      <c r="BR46" s="131"/>
      <c r="BS46" s="120"/>
    </row>
    <row r="47" spans="1:71" x14ac:dyDescent="0.35">
      <c r="A47" s="130"/>
      <c r="B47" s="12"/>
      <c r="C47" s="126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8"/>
      <c r="BR47" s="131"/>
      <c r="BS47" s="120"/>
    </row>
    <row r="48" spans="1:71" x14ac:dyDescent="0.35">
      <c r="A48" s="129">
        <v>46189</v>
      </c>
      <c r="B48" s="10">
        <v>0.25</v>
      </c>
      <c r="C48" s="11" t="s">
        <v>127</v>
      </c>
      <c r="D48" s="11" t="s">
        <v>127</v>
      </c>
      <c r="E48" s="11" t="s">
        <v>127</v>
      </c>
      <c r="F48" s="11" t="s">
        <v>127</v>
      </c>
      <c r="G48" s="11" t="s">
        <v>127</v>
      </c>
      <c r="H48" s="11" t="s">
        <v>127</v>
      </c>
      <c r="I48" s="11" t="s">
        <v>127</v>
      </c>
      <c r="J48" s="11" t="s">
        <v>127</v>
      </c>
      <c r="K48" s="11" t="s">
        <v>127</v>
      </c>
      <c r="L48" s="11" t="s">
        <v>127</v>
      </c>
      <c r="M48" s="11" t="s">
        <v>127</v>
      </c>
      <c r="N48" s="11" t="s">
        <v>128</v>
      </c>
      <c r="O48" s="11" t="s">
        <v>128</v>
      </c>
      <c r="P48" s="11" t="s">
        <v>128</v>
      </c>
      <c r="Q48" s="11" t="s">
        <v>128</v>
      </c>
      <c r="R48" s="11" t="s">
        <v>128</v>
      </c>
      <c r="S48" s="11" t="s">
        <v>128</v>
      </c>
      <c r="T48" s="11" t="s">
        <v>128</v>
      </c>
      <c r="U48" s="11" t="s">
        <v>127</v>
      </c>
      <c r="V48" s="11" t="s">
        <v>127</v>
      </c>
      <c r="W48" s="11" t="s">
        <v>128</v>
      </c>
      <c r="X48" s="11" t="s">
        <v>127</v>
      </c>
      <c r="Y48" s="11" t="s">
        <v>128</v>
      </c>
      <c r="Z48" s="11" t="s">
        <v>128</v>
      </c>
      <c r="AA48" s="11" t="s">
        <v>127</v>
      </c>
      <c r="AB48" s="11" t="s">
        <v>128</v>
      </c>
      <c r="AC48" s="11" t="s">
        <v>127</v>
      </c>
      <c r="AD48" s="11" t="s">
        <v>127</v>
      </c>
      <c r="AE48" s="11" t="s">
        <v>128</v>
      </c>
      <c r="AF48" s="11" t="s">
        <v>127</v>
      </c>
      <c r="AG48" s="11" t="s">
        <v>128</v>
      </c>
      <c r="AH48" s="11" t="s">
        <v>128</v>
      </c>
      <c r="AI48" s="11" t="s">
        <v>127</v>
      </c>
      <c r="AJ48" s="11" t="s">
        <v>128</v>
      </c>
      <c r="AK48" s="11" t="s">
        <v>128</v>
      </c>
      <c r="AL48" s="11" t="s">
        <v>127</v>
      </c>
      <c r="AM48" s="11" t="s">
        <v>128</v>
      </c>
      <c r="AN48" s="11" t="s">
        <v>128</v>
      </c>
      <c r="AO48" s="11" t="s">
        <v>128</v>
      </c>
      <c r="AP48" s="11" t="s">
        <v>128</v>
      </c>
      <c r="AQ48" s="11" t="s">
        <v>128</v>
      </c>
      <c r="AR48" s="11" t="s">
        <v>128</v>
      </c>
      <c r="AS48" s="11" t="s">
        <v>128</v>
      </c>
      <c r="AT48" s="11" t="s">
        <v>128</v>
      </c>
      <c r="AU48" s="11" t="s">
        <v>128</v>
      </c>
      <c r="AV48" s="11" t="s">
        <v>127</v>
      </c>
      <c r="AW48" s="11" t="s">
        <v>128</v>
      </c>
      <c r="AX48" s="11" t="s">
        <v>127</v>
      </c>
      <c r="AY48" s="11" t="s">
        <v>127</v>
      </c>
      <c r="AZ48" s="11" t="s">
        <v>127</v>
      </c>
      <c r="BA48" s="11" t="s">
        <v>128</v>
      </c>
      <c r="BB48" s="11" t="s">
        <v>127</v>
      </c>
      <c r="BC48" s="11" t="s">
        <v>127</v>
      </c>
      <c r="BD48" s="11" t="s">
        <v>128</v>
      </c>
      <c r="BE48" s="11" t="s">
        <v>128</v>
      </c>
      <c r="BF48" s="11" t="s">
        <v>127</v>
      </c>
      <c r="BG48" s="11" t="s">
        <v>127</v>
      </c>
      <c r="BH48" s="11" t="s">
        <v>127</v>
      </c>
      <c r="BI48" s="11" t="s">
        <v>128</v>
      </c>
      <c r="BJ48" s="11" t="s">
        <v>127</v>
      </c>
      <c r="BK48" s="11" t="s">
        <v>128</v>
      </c>
      <c r="BL48" s="11" t="s">
        <v>127</v>
      </c>
      <c r="BM48" s="11" t="s">
        <v>128</v>
      </c>
      <c r="BN48" s="11" t="s">
        <v>127</v>
      </c>
      <c r="BO48" s="11" t="s">
        <v>127</v>
      </c>
      <c r="BP48" s="11" t="s">
        <v>127</v>
      </c>
      <c r="BQ48" s="11" t="s">
        <v>127</v>
      </c>
      <c r="BR48" s="131" t="s">
        <v>237</v>
      </c>
      <c r="BS48" s="120" t="s">
        <v>129</v>
      </c>
    </row>
    <row r="49" spans="1:71" x14ac:dyDescent="0.35">
      <c r="A49" s="130"/>
      <c r="B49" s="10">
        <v>0.75</v>
      </c>
      <c r="C49" s="11" t="s">
        <v>127</v>
      </c>
      <c r="D49" s="11" t="s">
        <v>127</v>
      </c>
      <c r="E49" s="11" t="s">
        <v>127</v>
      </c>
      <c r="F49" s="11" t="s">
        <v>127</v>
      </c>
      <c r="G49" s="11" t="s">
        <v>127</v>
      </c>
      <c r="H49" s="11" t="s">
        <v>127</v>
      </c>
      <c r="I49" s="11" t="s">
        <v>127</v>
      </c>
      <c r="J49" s="11" t="s">
        <v>127</v>
      </c>
      <c r="K49" s="11" t="s">
        <v>127</v>
      </c>
      <c r="L49" s="11" t="s">
        <v>127</v>
      </c>
      <c r="M49" s="11" t="s">
        <v>127</v>
      </c>
      <c r="N49" s="11" t="s">
        <v>128</v>
      </c>
      <c r="O49" s="11" t="s">
        <v>128</v>
      </c>
      <c r="P49" s="11" t="s">
        <v>128</v>
      </c>
      <c r="Q49" s="11" t="s">
        <v>128</v>
      </c>
      <c r="R49" s="11" t="s">
        <v>128</v>
      </c>
      <c r="S49" s="11" t="s">
        <v>128</v>
      </c>
      <c r="T49" s="11" t="s">
        <v>128</v>
      </c>
      <c r="U49" s="11" t="s">
        <v>127</v>
      </c>
      <c r="V49" s="11" t="s">
        <v>127</v>
      </c>
      <c r="W49" s="11" t="s">
        <v>128</v>
      </c>
      <c r="X49" s="11" t="s">
        <v>127</v>
      </c>
      <c r="Y49" s="11" t="s">
        <v>128</v>
      </c>
      <c r="Z49" s="11" t="s">
        <v>128</v>
      </c>
      <c r="AA49" s="11" t="s">
        <v>127</v>
      </c>
      <c r="AB49" s="11" t="s">
        <v>128</v>
      </c>
      <c r="AC49" s="11" t="s">
        <v>127</v>
      </c>
      <c r="AD49" s="11" t="s">
        <v>127</v>
      </c>
      <c r="AE49" s="11" t="s">
        <v>128</v>
      </c>
      <c r="AF49" s="11" t="s">
        <v>127</v>
      </c>
      <c r="AG49" s="11" t="s">
        <v>128</v>
      </c>
      <c r="AH49" s="11" t="s">
        <v>128</v>
      </c>
      <c r="AI49" s="11" t="s">
        <v>127</v>
      </c>
      <c r="AJ49" s="11" t="s">
        <v>128</v>
      </c>
      <c r="AK49" s="11" t="s">
        <v>128</v>
      </c>
      <c r="AL49" s="11" t="s">
        <v>127</v>
      </c>
      <c r="AM49" s="11" t="s">
        <v>128</v>
      </c>
      <c r="AN49" s="11" t="s">
        <v>128</v>
      </c>
      <c r="AO49" s="11" t="s">
        <v>128</v>
      </c>
      <c r="AP49" s="11" t="s">
        <v>128</v>
      </c>
      <c r="AQ49" s="11" t="s">
        <v>128</v>
      </c>
      <c r="AR49" s="11" t="s">
        <v>128</v>
      </c>
      <c r="AS49" s="11" t="s">
        <v>128</v>
      </c>
      <c r="AT49" s="11" t="s">
        <v>128</v>
      </c>
      <c r="AU49" s="11" t="s">
        <v>128</v>
      </c>
      <c r="AV49" s="11" t="s">
        <v>127</v>
      </c>
      <c r="AW49" s="11" t="s">
        <v>128</v>
      </c>
      <c r="AX49" s="11" t="s">
        <v>127</v>
      </c>
      <c r="AY49" s="11" t="s">
        <v>127</v>
      </c>
      <c r="AZ49" s="11" t="s">
        <v>127</v>
      </c>
      <c r="BA49" s="11" t="s">
        <v>128</v>
      </c>
      <c r="BB49" s="11" t="s">
        <v>127</v>
      </c>
      <c r="BC49" s="11" t="s">
        <v>127</v>
      </c>
      <c r="BD49" s="11" t="s">
        <v>128</v>
      </c>
      <c r="BE49" s="11" t="s">
        <v>128</v>
      </c>
      <c r="BF49" s="11" t="s">
        <v>127</v>
      </c>
      <c r="BG49" s="11" t="s">
        <v>127</v>
      </c>
      <c r="BH49" s="11" t="s">
        <v>127</v>
      </c>
      <c r="BI49" s="11" t="s">
        <v>128</v>
      </c>
      <c r="BJ49" s="11" t="s">
        <v>127</v>
      </c>
      <c r="BK49" s="11" t="s">
        <v>128</v>
      </c>
      <c r="BL49" s="11" t="s">
        <v>127</v>
      </c>
      <c r="BM49" s="11" t="s">
        <v>128</v>
      </c>
      <c r="BN49" s="11" t="s">
        <v>127</v>
      </c>
      <c r="BO49" s="11" t="s">
        <v>127</v>
      </c>
      <c r="BP49" s="11" t="s">
        <v>127</v>
      </c>
      <c r="BQ49" s="11" t="s">
        <v>127</v>
      </c>
      <c r="BR49" s="131"/>
      <c r="BS49" s="120"/>
    </row>
    <row r="50" spans="1:71" x14ac:dyDescent="0.35">
      <c r="A50" s="130"/>
      <c r="B50" s="12"/>
      <c r="C50" s="126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27"/>
      <c r="BC50" s="127"/>
      <c r="BD50" s="127"/>
      <c r="BE50" s="127"/>
      <c r="BF50" s="127"/>
      <c r="BG50" s="127"/>
      <c r="BH50" s="127"/>
      <c r="BI50" s="127"/>
      <c r="BJ50" s="127"/>
      <c r="BK50" s="127"/>
      <c r="BL50" s="127"/>
      <c r="BM50" s="127"/>
      <c r="BN50" s="127"/>
      <c r="BO50" s="127"/>
      <c r="BP50" s="127"/>
      <c r="BQ50" s="128"/>
      <c r="BR50" s="131"/>
      <c r="BS50" s="120"/>
    </row>
    <row r="51" spans="1:71" x14ac:dyDescent="0.35">
      <c r="A51" s="129">
        <v>46190</v>
      </c>
      <c r="B51" s="10">
        <v>0.25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31"/>
      <c r="BS51" s="120"/>
    </row>
    <row r="52" spans="1:71" x14ac:dyDescent="0.35">
      <c r="A52" s="130"/>
      <c r="B52" s="10">
        <v>0.75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31"/>
      <c r="BS52" s="120"/>
    </row>
    <row r="53" spans="1:71" x14ac:dyDescent="0.35">
      <c r="A53" s="130"/>
      <c r="B53" s="12"/>
      <c r="C53" s="126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  <c r="BP53" s="127"/>
      <c r="BQ53" s="128"/>
      <c r="BR53" s="131"/>
      <c r="BS53" s="120"/>
    </row>
    <row r="54" spans="1:71" x14ac:dyDescent="0.35">
      <c r="A54" s="129">
        <v>46191</v>
      </c>
      <c r="B54" s="10">
        <v>0.25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31"/>
      <c r="BS54" s="120"/>
    </row>
    <row r="55" spans="1:71" x14ac:dyDescent="0.35">
      <c r="A55" s="130"/>
      <c r="B55" s="10">
        <v>0.75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31"/>
      <c r="BS55" s="120"/>
    </row>
    <row r="56" spans="1:71" x14ac:dyDescent="0.35">
      <c r="A56" s="130"/>
      <c r="B56" s="12"/>
      <c r="C56" s="126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8"/>
      <c r="BR56" s="131"/>
      <c r="BS56" s="120"/>
    </row>
    <row r="57" spans="1:71" x14ac:dyDescent="0.35">
      <c r="A57" s="129">
        <v>46192</v>
      </c>
      <c r="B57" s="10">
        <v>0.25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31"/>
      <c r="BS57" s="120"/>
    </row>
    <row r="58" spans="1:71" x14ac:dyDescent="0.35">
      <c r="A58" s="130"/>
      <c r="B58" s="10">
        <v>0.75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31"/>
      <c r="BS58" s="120"/>
    </row>
    <row r="59" spans="1:71" x14ac:dyDescent="0.35">
      <c r="A59" s="130"/>
      <c r="B59" s="12"/>
      <c r="C59" s="126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  <c r="BD59" s="127"/>
      <c r="BE59" s="127"/>
      <c r="BF59" s="127"/>
      <c r="BG59" s="127"/>
      <c r="BH59" s="127"/>
      <c r="BI59" s="127"/>
      <c r="BJ59" s="127"/>
      <c r="BK59" s="127"/>
      <c r="BL59" s="127"/>
      <c r="BM59" s="127"/>
      <c r="BN59" s="127"/>
      <c r="BO59" s="127"/>
      <c r="BP59" s="127"/>
      <c r="BQ59" s="128"/>
      <c r="BR59" s="131"/>
      <c r="BS59" s="120"/>
    </row>
    <row r="60" spans="1:71" x14ac:dyDescent="0.35">
      <c r="A60" s="129">
        <v>46193</v>
      </c>
      <c r="B60" s="10">
        <v>0.25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31"/>
      <c r="BS60" s="120"/>
    </row>
    <row r="61" spans="1:71" x14ac:dyDescent="0.35">
      <c r="A61" s="130"/>
      <c r="B61" s="10">
        <v>0.75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31"/>
      <c r="BS61" s="120"/>
    </row>
    <row r="62" spans="1:71" x14ac:dyDescent="0.35">
      <c r="A62" s="130"/>
      <c r="B62" s="12"/>
      <c r="C62" s="126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  <c r="AO62" s="127"/>
      <c r="AP62" s="127"/>
      <c r="AQ62" s="127"/>
      <c r="AR62" s="127"/>
      <c r="AS62" s="127"/>
      <c r="AT62" s="127"/>
      <c r="AU62" s="127"/>
      <c r="AV62" s="127"/>
      <c r="AW62" s="127"/>
      <c r="AX62" s="127"/>
      <c r="AY62" s="127"/>
      <c r="AZ62" s="127"/>
      <c r="BA62" s="127"/>
      <c r="BB62" s="127"/>
      <c r="BC62" s="127"/>
      <c r="BD62" s="127"/>
      <c r="BE62" s="127"/>
      <c r="BF62" s="127"/>
      <c r="BG62" s="127"/>
      <c r="BH62" s="127"/>
      <c r="BI62" s="127"/>
      <c r="BJ62" s="127"/>
      <c r="BK62" s="127"/>
      <c r="BL62" s="127"/>
      <c r="BM62" s="127"/>
      <c r="BN62" s="127"/>
      <c r="BO62" s="127"/>
      <c r="BP62" s="127"/>
      <c r="BQ62" s="128"/>
      <c r="BR62" s="131"/>
      <c r="BS62" s="120"/>
    </row>
    <row r="63" spans="1:71" x14ac:dyDescent="0.35">
      <c r="A63" s="129">
        <v>46194</v>
      </c>
      <c r="B63" s="10">
        <v>0.25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31"/>
      <c r="BS63" s="120"/>
    </row>
    <row r="64" spans="1:71" x14ac:dyDescent="0.35">
      <c r="A64" s="130"/>
      <c r="B64" s="10">
        <v>0.75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31"/>
      <c r="BS64" s="120"/>
    </row>
    <row r="65" spans="1:71" x14ac:dyDescent="0.35">
      <c r="A65" s="130"/>
      <c r="B65" s="12"/>
      <c r="C65" s="126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127"/>
      <c r="AT65" s="127"/>
      <c r="AU65" s="127"/>
      <c r="AV65" s="127"/>
      <c r="AW65" s="127"/>
      <c r="AX65" s="127"/>
      <c r="AY65" s="127"/>
      <c r="AZ65" s="127"/>
      <c r="BA65" s="127"/>
      <c r="BB65" s="127"/>
      <c r="BC65" s="127"/>
      <c r="BD65" s="127"/>
      <c r="BE65" s="127"/>
      <c r="BF65" s="127"/>
      <c r="BG65" s="127"/>
      <c r="BH65" s="127"/>
      <c r="BI65" s="127"/>
      <c r="BJ65" s="127"/>
      <c r="BK65" s="127"/>
      <c r="BL65" s="127"/>
      <c r="BM65" s="127"/>
      <c r="BN65" s="127"/>
      <c r="BO65" s="127"/>
      <c r="BP65" s="127"/>
      <c r="BQ65" s="128"/>
      <c r="BR65" s="131"/>
      <c r="BS65" s="120"/>
    </row>
    <row r="66" spans="1:71" x14ac:dyDescent="0.35">
      <c r="A66" s="129">
        <v>46195</v>
      </c>
      <c r="B66" s="10">
        <v>0.25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31"/>
      <c r="BS66" s="120"/>
    </row>
    <row r="67" spans="1:71" x14ac:dyDescent="0.35">
      <c r="A67" s="130"/>
      <c r="B67" s="10">
        <v>0.75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31"/>
      <c r="BS67" s="120"/>
    </row>
    <row r="68" spans="1:71" x14ac:dyDescent="0.35">
      <c r="A68" s="130"/>
      <c r="B68" s="12"/>
      <c r="C68" s="126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  <c r="BI68" s="127"/>
      <c r="BJ68" s="127"/>
      <c r="BK68" s="127"/>
      <c r="BL68" s="127"/>
      <c r="BM68" s="127"/>
      <c r="BN68" s="127"/>
      <c r="BO68" s="127"/>
      <c r="BP68" s="127"/>
      <c r="BQ68" s="128"/>
      <c r="BR68" s="131"/>
      <c r="BS68" s="120"/>
    </row>
    <row r="69" spans="1:71" x14ac:dyDescent="0.35">
      <c r="A69" s="129">
        <v>46196</v>
      </c>
      <c r="B69" s="10">
        <v>0.25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31"/>
      <c r="BS69" s="120"/>
    </row>
    <row r="70" spans="1:71" x14ac:dyDescent="0.35">
      <c r="A70" s="130"/>
      <c r="B70" s="10">
        <v>0.75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31"/>
      <c r="BS70" s="120"/>
    </row>
    <row r="71" spans="1:71" x14ac:dyDescent="0.35">
      <c r="A71" s="130"/>
      <c r="B71" s="12"/>
      <c r="C71" s="126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  <c r="BJ71" s="127"/>
      <c r="BK71" s="127"/>
      <c r="BL71" s="127"/>
      <c r="BM71" s="127"/>
      <c r="BN71" s="127"/>
      <c r="BO71" s="127"/>
      <c r="BP71" s="127"/>
      <c r="BQ71" s="128"/>
      <c r="BR71" s="131"/>
      <c r="BS71" s="120"/>
    </row>
    <row r="72" spans="1:71" x14ac:dyDescent="0.35">
      <c r="A72" s="129">
        <v>46197</v>
      </c>
      <c r="B72" s="10">
        <v>0.25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31"/>
      <c r="BS72" s="120"/>
    </row>
    <row r="73" spans="1:71" x14ac:dyDescent="0.35">
      <c r="A73" s="130"/>
      <c r="B73" s="10">
        <v>0.75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31"/>
      <c r="BS73" s="120"/>
    </row>
    <row r="74" spans="1:71" x14ac:dyDescent="0.35">
      <c r="A74" s="130"/>
      <c r="B74" s="12"/>
      <c r="C74" s="126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  <c r="BJ74" s="127"/>
      <c r="BK74" s="127"/>
      <c r="BL74" s="127"/>
      <c r="BM74" s="127"/>
      <c r="BN74" s="127"/>
      <c r="BO74" s="127"/>
      <c r="BP74" s="127"/>
      <c r="BQ74" s="128"/>
      <c r="BR74" s="131"/>
      <c r="BS74" s="120"/>
    </row>
    <row r="75" spans="1:71" x14ac:dyDescent="0.35">
      <c r="A75" s="129">
        <v>46198</v>
      </c>
      <c r="B75" s="10">
        <v>0.25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31"/>
      <c r="BS75" s="120"/>
    </row>
    <row r="76" spans="1:71" x14ac:dyDescent="0.35">
      <c r="A76" s="130"/>
      <c r="B76" s="10">
        <v>0.75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31"/>
      <c r="BS76" s="120"/>
    </row>
    <row r="77" spans="1:71" x14ac:dyDescent="0.35">
      <c r="A77" s="130"/>
      <c r="B77" s="12"/>
      <c r="C77" s="126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  <c r="BJ77" s="127"/>
      <c r="BK77" s="127"/>
      <c r="BL77" s="127"/>
      <c r="BM77" s="127"/>
      <c r="BN77" s="127"/>
      <c r="BO77" s="127"/>
      <c r="BP77" s="127"/>
      <c r="BQ77" s="128"/>
      <c r="BR77" s="131"/>
      <c r="BS77" s="120"/>
    </row>
    <row r="78" spans="1:71" x14ac:dyDescent="0.35">
      <c r="A78" s="129">
        <v>46199</v>
      </c>
      <c r="B78" s="10">
        <v>0.25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31"/>
      <c r="BS78" s="120"/>
    </row>
    <row r="79" spans="1:71" x14ac:dyDescent="0.35">
      <c r="A79" s="130"/>
      <c r="B79" s="10">
        <v>0.75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31"/>
      <c r="BS79" s="120"/>
    </row>
    <row r="80" spans="1:71" x14ac:dyDescent="0.35">
      <c r="A80" s="130"/>
      <c r="B80" s="12"/>
      <c r="C80" s="126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  <c r="BJ80" s="127"/>
      <c r="BK80" s="127"/>
      <c r="BL80" s="127"/>
      <c r="BM80" s="127"/>
      <c r="BN80" s="127"/>
      <c r="BO80" s="127"/>
      <c r="BP80" s="127"/>
      <c r="BQ80" s="128"/>
      <c r="BR80" s="131"/>
      <c r="BS80" s="120"/>
    </row>
    <row r="81" spans="1:71" x14ac:dyDescent="0.35">
      <c r="A81" s="129">
        <v>46200</v>
      </c>
      <c r="B81" s="10">
        <v>0.25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31"/>
      <c r="BS81" s="120"/>
    </row>
    <row r="82" spans="1:71" x14ac:dyDescent="0.35">
      <c r="A82" s="130"/>
      <c r="B82" s="10">
        <v>0.75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31"/>
      <c r="BS82" s="120"/>
    </row>
    <row r="83" spans="1:71" x14ac:dyDescent="0.35">
      <c r="A83" s="130"/>
      <c r="B83" s="12"/>
      <c r="C83" s="126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  <c r="BJ83" s="127"/>
      <c r="BK83" s="127"/>
      <c r="BL83" s="127"/>
      <c r="BM83" s="127"/>
      <c r="BN83" s="127"/>
      <c r="BO83" s="127"/>
      <c r="BP83" s="127"/>
      <c r="BQ83" s="128"/>
      <c r="BR83" s="131"/>
      <c r="BS83" s="120"/>
    </row>
    <row r="84" spans="1:71" x14ac:dyDescent="0.35">
      <c r="A84" s="129">
        <v>46201</v>
      </c>
      <c r="B84" s="10">
        <v>0.25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31"/>
      <c r="BS84" s="120"/>
    </row>
    <row r="85" spans="1:71" x14ac:dyDescent="0.35">
      <c r="A85" s="130"/>
      <c r="B85" s="10">
        <v>0.75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31"/>
      <c r="BS85" s="120"/>
    </row>
    <row r="86" spans="1:71" x14ac:dyDescent="0.35">
      <c r="A86" s="130"/>
      <c r="B86" s="12"/>
      <c r="C86" s="126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  <c r="BJ86" s="127"/>
      <c r="BK86" s="127"/>
      <c r="BL86" s="127"/>
      <c r="BM86" s="127"/>
      <c r="BN86" s="127"/>
      <c r="BO86" s="127"/>
      <c r="BP86" s="127"/>
      <c r="BQ86" s="128"/>
      <c r="BR86" s="131"/>
      <c r="BS86" s="120"/>
    </row>
    <row r="87" spans="1:71" x14ac:dyDescent="0.35">
      <c r="A87" s="129">
        <v>46202</v>
      </c>
      <c r="B87" s="10">
        <v>0.25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31"/>
      <c r="BS87" s="120"/>
    </row>
    <row r="88" spans="1:71" x14ac:dyDescent="0.35">
      <c r="A88" s="130"/>
      <c r="B88" s="10">
        <v>0.75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31"/>
      <c r="BS88" s="120"/>
    </row>
    <row r="89" spans="1:71" x14ac:dyDescent="0.35">
      <c r="A89" s="130"/>
      <c r="B89" s="12"/>
      <c r="C89" s="126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  <c r="BJ89" s="127"/>
      <c r="BK89" s="127"/>
      <c r="BL89" s="127"/>
      <c r="BM89" s="127"/>
      <c r="BN89" s="127"/>
      <c r="BO89" s="127"/>
      <c r="BP89" s="127"/>
      <c r="BQ89" s="128"/>
      <c r="BR89" s="131"/>
      <c r="BS89" s="120"/>
    </row>
    <row r="90" spans="1:71" x14ac:dyDescent="0.35">
      <c r="A90" s="129">
        <v>46203</v>
      </c>
      <c r="B90" s="10">
        <v>0.25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31"/>
      <c r="BS90" s="120"/>
    </row>
    <row r="91" spans="1:71" x14ac:dyDescent="0.35">
      <c r="A91" s="130"/>
      <c r="B91" s="10">
        <v>0.75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31"/>
      <c r="BS91" s="120"/>
    </row>
    <row r="92" spans="1:71" x14ac:dyDescent="0.35">
      <c r="A92" s="130"/>
      <c r="B92" s="12"/>
      <c r="C92" s="126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  <c r="BJ92" s="127"/>
      <c r="BK92" s="127"/>
      <c r="BL92" s="127"/>
      <c r="BM92" s="127"/>
      <c r="BN92" s="127"/>
      <c r="BO92" s="127"/>
      <c r="BP92" s="127"/>
      <c r="BQ92" s="128"/>
      <c r="BR92" s="131"/>
      <c r="BS92" s="120"/>
    </row>
    <row r="93" spans="1:71" x14ac:dyDescent="0.35">
      <c r="A93" s="129">
        <v>46204</v>
      </c>
      <c r="B93" s="10">
        <v>0.25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31"/>
      <c r="BS93" s="120"/>
    </row>
    <row r="94" spans="1:71" x14ac:dyDescent="0.35">
      <c r="A94" s="130"/>
      <c r="B94" s="10">
        <v>0.75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31"/>
      <c r="BS94" s="120"/>
    </row>
    <row r="95" spans="1:71" x14ac:dyDescent="0.35">
      <c r="A95" s="130"/>
      <c r="B95" s="12"/>
      <c r="C95" s="126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  <c r="BJ95" s="127"/>
      <c r="BK95" s="127"/>
      <c r="BL95" s="127"/>
      <c r="BM95" s="127"/>
      <c r="BN95" s="127"/>
      <c r="BO95" s="127"/>
      <c r="BP95" s="127"/>
      <c r="BQ95" s="128"/>
      <c r="BR95" s="131"/>
      <c r="BS95" s="120"/>
    </row>
  </sheetData>
  <mergeCells count="125">
    <mergeCell ref="A87:A89"/>
    <mergeCell ref="BR87:BR89"/>
    <mergeCell ref="BS87:BS89"/>
    <mergeCell ref="C89:BQ89"/>
    <mergeCell ref="A90:A92"/>
    <mergeCell ref="BR90:BR92"/>
    <mergeCell ref="BS90:BS92"/>
    <mergeCell ref="C92:BQ92"/>
    <mergeCell ref="A93:A95"/>
    <mergeCell ref="BR93:BR95"/>
    <mergeCell ref="BS93:BS95"/>
    <mergeCell ref="C95:BQ95"/>
    <mergeCell ref="BS75:BS77"/>
    <mergeCell ref="C77:BQ77"/>
    <mergeCell ref="A78:A80"/>
    <mergeCell ref="A81:A83"/>
    <mergeCell ref="BR81:BR83"/>
    <mergeCell ref="BS81:BS83"/>
    <mergeCell ref="C83:BQ83"/>
    <mergeCell ref="A84:A86"/>
    <mergeCell ref="BR84:BR86"/>
    <mergeCell ref="BS84:BS86"/>
    <mergeCell ref="C86:BQ86"/>
    <mergeCell ref="BR78:BR80"/>
    <mergeCell ref="BS78:BS80"/>
    <mergeCell ref="C80:BQ80"/>
    <mergeCell ref="BR60:BR62"/>
    <mergeCell ref="BS60:BS62"/>
    <mergeCell ref="C62:BQ62"/>
    <mergeCell ref="BR63:BR65"/>
    <mergeCell ref="BS63:BS65"/>
    <mergeCell ref="C65:BQ65"/>
    <mergeCell ref="A75:A77"/>
    <mergeCell ref="BR66:BR68"/>
    <mergeCell ref="C56:BQ56"/>
    <mergeCell ref="C59:BQ59"/>
    <mergeCell ref="A72:A74"/>
    <mergeCell ref="BR75:BR77"/>
    <mergeCell ref="BR57:BR59"/>
    <mergeCell ref="BS57:BS59"/>
    <mergeCell ref="BR54:BR56"/>
    <mergeCell ref="BS54:BS56"/>
    <mergeCell ref="BS66:BS68"/>
    <mergeCell ref="C68:BQ68"/>
    <mergeCell ref="BR69:BR71"/>
    <mergeCell ref="BS69:BS71"/>
    <mergeCell ref="C71:BQ71"/>
    <mergeCell ref="BR72:BR74"/>
    <mergeCell ref="BS72:BS74"/>
    <mergeCell ref="C74:BQ74"/>
    <mergeCell ref="A39:A41"/>
    <mergeCell ref="A42:A44"/>
    <mergeCell ref="A45:A47"/>
    <mergeCell ref="A48:A50"/>
    <mergeCell ref="A51:A53"/>
    <mergeCell ref="A60:A62"/>
    <mergeCell ref="A63:A65"/>
    <mergeCell ref="A66:A68"/>
    <mergeCell ref="A69:A71"/>
    <mergeCell ref="A54:A56"/>
    <mergeCell ref="A57:A59"/>
    <mergeCell ref="C38:BQ38"/>
    <mergeCell ref="A27:A29"/>
    <mergeCell ref="BR27:BR29"/>
    <mergeCell ref="BS27:BS29"/>
    <mergeCell ref="C29:BQ29"/>
    <mergeCell ref="A30:A32"/>
    <mergeCell ref="BR30:BR32"/>
    <mergeCell ref="BS30:BS32"/>
    <mergeCell ref="C32:BQ32"/>
    <mergeCell ref="A33:A35"/>
    <mergeCell ref="BR33:BR35"/>
    <mergeCell ref="A1:I1"/>
    <mergeCell ref="A3:A5"/>
    <mergeCell ref="BR3:BR5"/>
    <mergeCell ref="BS3:BS5"/>
    <mergeCell ref="C5:BQ5"/>
    <mergeCell ref="BR6:BR8"/>
    <mergeCell ref="BS6:BS8"/>
    <mergeCell ref="C8:BQ8"/>
    <mergeCell ref="A9:A11"/>
    <mergeCell ref="BR9:BR11"/>
    <mergeCell ref="BS9:BS11"/>
    <mergeCell ref="C11:BQ11"/>
    <mergeCell ref="A6:A8"/>
    <mergeCell ref="A18:A20"/>
    <mergeCell ref="BR21:BR23"/>
    <mergeCell ref="C23:BQ23"/>
    <mergeCell ref="BR24:BR26"/>
    <mergeCell ref="C26:BQ26"/>
    <mergeCell ref="BR18:BR20"/>
    <mergeCell ref="BR12:BR14"/>
    <mergeCell ref="BS12:BS14"/>
    <mergeCell ref="C14:BQ14"/>
    <mergeCell ref="A15:A17"/>
    <mergeCell ref="BR15:BR17"/>
    <mergeCell ref="BS15:BS17"/>
    <mergeCell ref="C17:BQ17"/>
    <mergeCell ref="A12:A14"/>
    <mergeCell ref="BS18:BS20"/>
    <mergeCell ref="C20:BQ20"/>
    <mergeCell ref="C41:BQ41"/>
    <mergeCell ref="C44:BQ44"/>
    <mergeCell ref="C47:BQ47"/>
    <mergeCell ref="C50:BQ50"/>
    <mergeCell ref="C53:BQ53"/>
    <mergeCell ref="A21:A23"/>
    <mergeCell ref="A24:A26"/>
    <mergeCell ref="BS39:BS41"/>
    <mergeCell ref="BR42:BR44"/>
    <mergeCell ref="BS42:BS44"/>
    <mergeCell ref="BR45:BR47"/>
    <mergeCell ref="BS45:BS47"/>
    <mergeCell ref="BR48:BR50"/>
    <mergeCell ref="BS48:BS50"/>
    <mergeCell ref="BR51:BR53"/>
    <mergeCell ref="BS51:BS53"/>
    <mergeCell ref="BR39:BR41"/>
    <mergeCell ref="BS21:BS23"/>
    <mergeCell ref="BS24:BS26"/>
    <mergeCell ref="BS33:BS35"/>
    <mergeCell ref="C35:BQ35"/>
    <mergeCell ref="A36:A38"/>
    <mergeCell ref="BR36:BR38"/>
    <mergeCell ref="BS36:BS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54"/>
  <sheetViews>
    <sheetView topLeftCell="A7" zoomScale="95" zoomScaleNormal="95" workbookViewId="0">
      <pane xSplit="1" topLeftCell="B1" activePane="topRight" state="frozen"/>
      <selection pane="topRight" activeCell="A6" sqref="A6:A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3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v>46174</v>
      </c>
      <c r="BW1" s="173"/>
      <c r="BX1" s="173"/>
      <c r="BY1" s="173"/>
      <c r="BZ1" s="173"/>
      <c r="CA1" s="173"/>
      <c r="CB1" s="173"/>
      <c r="CC1" s="174"/>
    </row>
    <row r="2" spans="1:83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3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3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3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3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  <c r="CE6" s="22">
        <v>100</v>
      </c>
    </row>
    <row r="7" spans="1:83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  <c r="CE7" s="22">
        <v>40</v>
      </c>
    </row>
    <row r="8" spans="1:83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  <c r="CE8" s="22">
        <v>200</v>
      </c>
    </row>
    <row r="9" spans="1:83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  <c r="CE9" s="22">
        <v>210</v>
      </c>
    </row>
    <row r="10" spans="1:83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  <c r="CE10" s="22">
        <v>210</v>
      </c>
    </row>
    <row r="11" spans="1:83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3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3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3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3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3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Z4:BZ5"/>
    <mergeCell ref="CA4:CA5"/>
    <mergeCell ref="A35:AA35"/>
    <mergeCell ref="A36:AA36"/>
    <mergeCell ref="A37:AA37"/>
    <mergeCell ref="BJ4:BL4"/>
    <mergeCell ref="BM4:BM5"/>
    <mergeCell ref="BT4:BU4"/>
    <mergeCell ref="BV4:BW4"/>
    <mergeCell ref="BX4:BY4"/>
    <mergeCell ref="AE4:AE5"/>
    <mergeCell ref="AF4:AR4"/>
    <mergeCell ref="AS4:BE4"/>
    <mergeCell ref="BF4:BH4"/>
    <mergeCell ref="BI4:BI5"/>
    <mergeCell ref="Y4:Y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46:M46"/>
    <mergeCell ref="C47:M47"/>
    <mergeCell ref="C48:M48"/>
    <mergeCell ref="C54:M54"/>
    <mergeCell ref="C49:M49"/>
    <mergeCell ref="C50:M50"/>
    <mergeCell ref="C51:M51"/>
    <mergeCell ref="C52:M52"/>
    <mergeCell ref="C53:M53"/>
    <mergeCell ref="A44:M44"/>
    <mergeCell ref="C45:M45"/>
    <mergeCell ref="A40:H40"/>
    <mergeCell ref="R38:AA38"/>
    <mergeCell ref="R39:AA39"/>
    <mergeCell ref="R40:AA40"/>
    <mergeCell ref="BN4:BO4"/>
    <mergeCell ref="BP4:BQ4"/>
    <mergeCell ref="BR4:BS4"/>
    <mergeCell ref="A39:H39"/>
    <mergeCell ref="V4:V5"/>
    <mergeCell ref="W4:W5"/>
    <mergeCell ref="X4:X5"/>
    <mergeCell ref="A38:H38"/>
    <mergeCell ref="A2:L3"/>
    <mergeCell ref="T4:T5"/>
    <mergeCell ref="U4:U5"/>
    <mergeCell ref="E4:G4"/>
    <mergeCell ref="M4:M5"/>
    <mergeCell ref="B4:D4"/>
    <mergeCell ref="N4:P4"/>
    <mergeCell ref="Q4:S4"/>
    <mergeCell ref="A4:A5"/>
    <mergeCell ref="I4:I5"/>
    <mergeCell ref="J4:J5"/>
    <mergeCell ref="K4:K5"/>
    <mergeCell ref="L4:L5"/>
  </mergeCells>
  <conditionalFormatting sqref="I6:I8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11:I22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3:I2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25:I29">
    <cfRule type="iconSet" priority="5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6" zoomScaleNormal="96" workbookViewId="0">
      <pane xSplit="1" topLeftCell="B1" activePane="topRight" state="frozen"/>
      <selection activeCell="A7" sqref="A7"/>
      <selection pane="topRight" activeCell="B6" sqref="B6:CC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'1'!BV1:CC1+1</f>
        <v>46175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4.5" customHeight="1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4.5" customHeight="1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4.5" customHeight="1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ht="15" x14ac:dyDescent="0.2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ht="15" x14ac:dyDescent="0.2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ht="15" x14ac:dyDescent="0.2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ht="15" x14ac:dyDescent="0.2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ht="15" x14ac:dyDescent="0.2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ht="15" x14ac:dyDescent="0.2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ht="15" x14ac:dyDescent="0.2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Z4:BZ5"/>
    <mergeCell ref="CA4:CA5"/>
    <mergeCell ref="A35:AA35"/>
    <mergeCell ref="A36:AA36"/>
    <mergeCell ref="A37:AA37"/>
    <mergeCell ref="BJ4:BL4"/>
    <mergeCell ref="BM4:BM5"/>
    <mergeCell ref="BT4:BU4"/>
    <mergeCell ref="BV4:BW4"/>
    <mergeCell ref="BX4:BY4"/>
    <mergeCell ref="AE4:AE5"/>
    <mergeCell ref="AF4:AR4"/>
    <mergeCell ref="AS4:BE4"/>
    <mergeCell ref="BF4:BH4"/>
    <mergeCell ref="BI4:BI5"/>
    <mergeCell ref="BR4:BS4"/>
    <mergeCell ref="R40:AA40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38:H38"/>
    <mergeCell ref="R38:AA38"/>
    <mergeCell ref="C54:M54"/>
    <mergeCell ref="C45:M45"/>
    <mergeCell ref="C46:M46"/>
    <mergeCell ref="C47:M47"/>
    <mergeCell ref="C48:M48"/>
    <mergeCell ref="C49:M49"/>
    <mergeCell ref="C52:M52"/>
    <mergeCell ref="C53:M53"/>
    <mergeCell ref="C50:M50"/>
    <mergeCell ref="C51:M51"/>
    <mergeCell ref="A39:H39"/>
    <mergeCell ref="A40:H40"/>
    <mergeCell ref="A44:M44"/>
    <mergeCell ref="R39:AA39"/>
    <mergeCell ref="BP4:BQ4"/>
    <mergeCell ref="N4:P4"/>
    <mergeCell ref="Q4:S4"/>
    <mergeCell ref="Y4:Y5"/>
    <mergeCell ref="V4:V5"/>
    <mergeCell ref="W4:W5"/>
    <mergeCell ref="X4:X5"/>
    <mergeCell ref="BN4:BO4"/>
    <mergeCell ref="U4:U5"/>
    <mergeCell ref="AD4:AD5"/>
    <mergeCell ref="A2:L3"/>
    <mergeCell ref="B4:D4"/>
    <mergeCell ref="E4:G4"/>
    <mergeCell ref="I4:I5"/>
    <mergeCell ref="T4:T5"/>
    <mergeCell ref="M4:M5"/>
    <mergeCell ref="A4:A5"/>
    <mergeCell ref="J4:J5"/>
    <mergeCell ref="K4:K5"/>
    <mergeCell ref="L4:L5"/>
  </mergeCells>
  <phoneticPr fontId="5" type="noConversion"/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0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21">
    <cfRule type="iconSet" priority="10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abSelected="1" topLeftCell="A9" zoomScale="85" zoomScaleNormal="85" workbookViewId="0">
      <pane xSplit="1" topLeftCell="BK1" activePane="topRight" state="frozen"/>
      <selection pane="topRight" activeCell="BT23" sqref="BT23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'2'!BV1:CC1+1</f>
        <v>46176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7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6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7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0" spans="1:81" ht="15" x14ac:dyDescent="0.25">
      <c r="Y30" s="22" t="s">
        <v>228</v>
      </c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x14ac:dyDescent="0.3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x14ac:dyDescent="0.3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x14ac:dyDescent="0.3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3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x14ac:dyDescent="0.3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  <c r="Q44" s="22">
        <v>405</v>
      </c>
      <c r="R44" s="22">
        <v>405</v>
      </c>
      <c r="S44" s="22">
        <v>405</v>
      </c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  <c r="Q45" s="22">
        <v>410</v>
      </c>
      <c r="R45" s="22">
        <v>410</v>
      </c>
      <c r="S45" s="22">
        <v>410</v>
      </c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  <c r="Q46" s="22">
        <v>407</v>
      </c>
      <c r="R46" s="22">
        <v>407</v>
      </c>
      <c r="S46" s="22">
        <v>407</v>
      </c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  <c r="Q47" s="22">
        <v>407</v>
      </c>
      <c r="R47" s="22">
        <v>407</v>
      </c>
      <c r="S47" s="22">
        <v>407</v>
      </c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  <c r="Q48" s="22">
        <v>409</v>
      </c>
      <c r="R48" s="22">
        <v>409</v>
      </c>
      <c r="S48" s="22">
        <v>410</v>
      </c>
    </row>
    <row r="49" spans="1:19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  <c r="Q49" s="22">
        <v>403</v>
      </c>
      <c r="R49" s="22">
        <v>403</v>
      </c>
      <c r="S49" s="22">
        <v>403</v>
      </c>
    </row>
    <row r="50" spans="1:19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  <c r="Q50" s="22">
        <v>405</v>
      </c>
      <c r="R50" s="22">
        <v>405</v>
      </c>
      <c r="S50" s="22">
        <v>405</v>
      </c>
    </row>
    <row r="51" spans="1:19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  <c r="Q51" s="22">
        <v>413</v>
      </c>
      <c r="R51" s="22">
        <v>413</v>
      </c>
      <c r="S51" s="22">
        <v>413</v>
      </c>
    </row>
    <row r="52" spans="1:19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  <c r="Q52" s="22">
        <v>407</v>
      </c>
      <c r="R52" s="22">
        <v>407</v>
      </c>
      <c r="S52" s="22">
        <v>407</v>
      </c>
    </row>
    <row r="53" spans="1:19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9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Z4:BZ5"/>
    <mergeCell ref="CA4:CA5"/>
    <mergeCell ref="A35:AA35"/>
    <mergeCell ref="A36:AA36"/>
    <mergeCell ref="A37:AA37"/>
    <mergeCell ref="BJ4:BL4"/>
    <mergeCell ref="BM4:BM5"/>
    <mergeCell ref="BT4:BU4"/>
    <mergeCell ref="BV4:BW4"/>
    <mergeCell ref="BX4:BY4"/>
    <mergeCell ref="BN4:BO4"/>
    <mergeCell ref="BP4:BQ4"/>
    <mergeCell ref="BR4:BS4"/>
    <mergeCell ref="AC4:AC5"/>
    <mergeCell ref="AD4:AD5"/>
    <mergeCell ref="R40:AA40"/>
    <mergeCell ref="AF4:AR4"/>
    <mergeCell ref="AS4:BE4"/>
    <mergeCell ref="X4:X5"/>
    <mergeCell ref="Y4:Y5"/>
    <mergeCell ref="AE4:AE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BF4:BH4"/>
    <mergeCell ref="BI4:BI5"/>
    <mergeCell ref="A39:H39"/>
    <mergeCell ref="T4:T5"/>
    <mergeCell ref="V4:V5"/>
    <mergeCell ref="W4:W5"/>
    <mergeCell ref="K4:K5"/>
    <mergeCell ref="L4:L5"/>
    <mergeCell ref="U4:U5"/>
    <mergeCell ref="A38:H38"/>
    <mergeCell ref="M4:M5"/>
    <mergeCell ref="N4:P4"/>
    <mergeCell ref="Q4:S4"/>
    <mergeCell ref="R38:AA38"/>
    <mergeCell ref="R39:AA39"/>
    <mergeCell ref="A2:L3"/>
    <mergeCell ref="A4:A5"/>
    <mergeCell ref="J4:J5"/>
    <mergeCell ref="B4:D4"/>
    <mergeCell ref="E4:G4"/>
    <mergeCell ref="I4:I5"/>
    <mergeCell ref="A40:H40"/>
    <mergeCell ref="A44:M44"/>
    <mergeCell ref="C45:M45"/>
    <mergeCell ref="C46:M46"/>
    <mergeCell ref="C52:M52"/>
    <mergeCell ref="C53:M53"/>
    <mergeCell ref="C54:M54"/>
    <mergeCell ref="C47:M47"/>
    <mergeCell ref="C48:M48"/>
    <mergeCell ref="C49:M49"/>
    <mergeCell ref="C50:M50"/>
    <mergeCell ref="C51:M51"/>
  </mergeCells>
  <phoneticPr fontId="5" type="noConversion"/>
  <conditionalFormatting sqref="I6:I7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8:I14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15:I22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I23:I24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5:I26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7" zoomScale="85" zoomScaleNormal="85" workbookViewId="0">
      <pane xSplit="1" topLeftCell="BK1" activePane="topRight" state="frozen"/>
      <selection pane="topRight" activeCell="BM29" sqref="BM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'3'!BV1:CC1+1</f>
        <v>46177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7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6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7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6"/>
      <c r="I23" s="77"/>
      <c r="J23" s="78"/>
      <c r="K23" s="78"/>
      <c r="L23" s="78"/>
      <c r="M23" s="79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6"/>
      <c r="I24" s="77"/>
      <c r="J24" s="78"/>
      <c r="K24" s="78"/>
      <c r="L24" s="78"/>
      <c r="M24" s="79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0" spans="1:81" ht="15" x14ac:dyDescent="0.25">
      <c r="Y30" s="22" t="s">
        <v>228</v>
      </c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ht="15" x14ac:dyDescent="0.2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ht="15" x14ac:dyDescent="0.2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V4:BW4"/>
    <mergeCell ref="BX4:BY4"/>
    <mergeCell ref="BZ4:BZ5"/>
    <mergeCell ref="CA4:CA5"/>
    <mergeCell ref="A35:AA35"/>
    <mergeCell ref="AE4:AE5"/>
    <mergeCell ref="AF4:AR4"/>
    <mergeCell ref="AS4:BE4"/>
    <mergeCell ref="BF4:BH4"/>
    <mergeCell ref="BI4:BI5"/>
    <mergeCell ref="V4:V5"/>
    <mergeCell ref="BN4:BO4"/>
    <mergeCell ref="BP4:BQ4"/>
    <mergeCell ref="BR4:BS4"/>
    <mergeCell ref="BJ4:BL4"/>
    <mergeCell ref="BM4:BM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BT4:BU4"/>
    <mergeCell ref="A2:L3"/>
    <mergeCell ref="B4:D4"/>
    <mergeCell ref="E4:G4"/>
    <mergeCell ref="A4:A5"/>
    <mergeCell ref="T4:T5"/>
    <mergeCell ref="J4:J5"/>
    <mergeCell ref="K4:K5"/>
    <mergeCell ref="L4:L5"/>
    <mergeCell ref="I4:I5"/>
    <mergeCell ref="N4:P4"/>
    <mergeCell ref="Q4:S4"/>
    <mergeCell ref="Y4:Y5"/>
    <mergeCell ref="W4:W5"/>
    <mergeCell ref="X4:X5"/>
    <mergeCell ref="U4:U5"/>
    <mergeCell ref="A44:M44"/>
    <mergeCell ref="C45:M45"/>
    <mergeCell ref="C46:M46"/>
    <mergeCell ref="M4:M5"/>
    <mergeCell ref="A39:H39"/>
    <mergeCell ref="A36:AA36"/>
    <mergeCell ref="A37:AA37"/>
    <mergeCell ref="R38:AA38"/>
    <mergeCell ref="R39:AA39"/>
    <mergeCell ref="R40:AA40"/>
    <mergeCell ref="A40:H40"/>
    <mergeCell ref="A38:H38"/>
    <mergeCell ref="C47:M47"/>
    <mergeCell ref="C48:M48"/>
    <mergeCell ref="C54:M54"/>
    <mergeCell ref="C49:M49"/>
    <mergeCell ref="C50:M50"/>
    <mergeCell ref="C51:M51"/>
    <mergeCell ref="C52:M52"/>
    <mergeCell ref="C53:M53"/>
  </mergeCells>
  <phoneticPr fontId="5" type="noConversion"/>
  <conditionalFormatting sqref="I6:I7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8:I14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15:I19">
    <cfRule type="iconSet" priority="10">
      <iconSet iconSet="3Symbols">
        <cfvo type="percent" val="0"/>
        <cfvo type="percent" val="33"/>
        <cfvo type="percent" val="67"/>
      </iconSet>
    </cfRule>
  </conditionalFormatting>
  <conditionalFormatting sqref="I20:I22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23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2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25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6" zoomScale="80" zoomScaleNormal="80" workbookViewId="0">
      <pane xSplit="1" topLeftCell="BJ1" activePane="topRight" state="frozen"/>
      <selection pane="topRight" activeCell="BO27" sqref="BO27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'4'!BV1:CC1+1</f>
        <v>46178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7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7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6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6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6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ht="15" x14ac:dyDescent="0.2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ht="15" x14ac:dyDescent="0.2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ht="15" x14ac:dyDescent="0.2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ht="15" x14ac:dyDescent="0.2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ht="15" x14ac:dyDescent="0.2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ht="15" x14ac:dyDescent="0.2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Z4:BZ5"/>
    <mergeCell ref="CA4:CA5"/>
    <mergeCell ref="A35:AA35"/>
    <mergeCell ref="A36:AA36"/>
    <mergeCell ref="A37:AA37"/>
    <mergeCell ref="BJ4:BL4"/>
    <mergeCell ref="BM4:BM5"/>
    <mergeCell ref="BT4:BU4"/>
    <mergeCell ref="BV4:BW4"/>
    <mergeCell ref="BX4:BY4"/>
    <mergeCell ref="BP4:BQ4"/>
    <mergeCell ref="BR4:BS4"/>
    <mergeCell ref="N4:P4"/>
    <mergeCell ref="Q4:S4"/>
    <mergeCell ref="Y4:Y5"/>
    <mergeCell ref="BN4:BO4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E4:AE5"/>
    <mergeCell ref="AF4:AR4"/>
    <mergeCell ref="AS4:BE4"/>
    <mergeCell ref="BF4:BH4"/>
    <mergeCell ref="BI4:BI5"/>
    <mergeCell ref="A2:L3"/>
    <mergeCell ref="B4:D4"/>
    <mergeCell ref="E4:G4"/>
    <mergeCell ref="I4:I5"/>
    <mergeCell ref="T4:T5"/>
    <mergeCell ref="V4:V5"/>
    <mergeCell ref="W4:W5"/>
    <mergeCell ref="X4:X5"/>
    <mergeCell ref="M4:M5"/>
    <mergeCell ref="A4:A5"/>
    <mergeCell ref="J4:J5"/>
    <mergeCell ref="K4:K5"/>
    <mergeCell ref="L4:L5"/>
    <mergeCell ref="U4:U5"/>
    <mergeCell ref="A38:H38"/>
    <mergeCell ref="R38:AA38"/>
    <mergeCell ref="A39:H39"/>
    <mergeCell ref="A40:H40"/>
    <mergeCell ref="A44:M44"/>
    <mergeCell ref="R39:AA39"/>
    <mergeCell ref="R40:AA40"/>
    <mergeCell ref="C45:M45"/>
    <mergeCell ref="C46:M46"/>
    <mergeCell ref="C47:M47"/>
    <mergeCell ref="C48:M48"/>
    <mergeCell ref="C49:M49"/>
    <mergeCell ref="C50:M50"/>
    <mergeCell ref="C51:M51"/>
    <mergeCell ref="C52:M52"/>
    <mergeCell ref="C53:M53"/>
    <mergeCell ref="C54:M54"/>
  </mergeCells>
  <phoneticPr fontId="5" type="noConversion"/>
  <conditionalFormatting sqref="I6:I11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2:I14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15:I22">
    <cfRule type="iconSet" priority="11">
      <iconSet iconSet="3Symbols">
        <cfvo type="percent" val="0"/>
        <cfvo type="percent" val="33"/>
        <cfvo type="percent" val="67"/>
      </iconSet>
    </cfRule>
  </conditionalFormatting>
  <conditionalFormatting sqref="I23:I24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25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6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6" zoomScale="90" zoomScaleNormal="90" workbookViewId="0">
      <pane xSplit="1" topLeftCell="BL1" activePane="topRight" state="frozen"/>
      <selection pane="topRight" activeCell="BR24" sqref="BR24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'5'!BV1:CC1+1</f>
        <v>46179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7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6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7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7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6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6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ht="15" x14ac:dyDescent="0.2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ht="15" x14ac:dyDescent="0.2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ht="15" x14ac:dyDescent="0.2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ht="15" x14ac:dyDescent="0.2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ht="15" x14ac:dyDescent="0.2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ht="15" x14ac:dyDescent="0.2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ht="15" x14ac:dyDescent="0.2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ht="15" x14ac:dyDescent="0.2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AE4:AE5"/>
    <mergeCell ref="AF4:AR4"/>
    <mergeCell ref="AS4:BE4"/>
    <mergeCell ref="BJ4:BL4"/>
    <mergeCell ref="BM4:BM5"/>
    <mergeCell ref="BF4:BH4"/>
    <mergeCell ref="BI4:BI5"/>
    <mergeCell ref="BT4:BU4"/>
    <mergeCell ref="BV4:BW4"/>
    <mergeCell ref="BX4:BY4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BZ4:BZ5"/>
    <mergeCell ref="CA4:CA5"/>
    <mergeCell ref="A2:L3"/>
    <mergeCell ref="B4:D4"/>
    <mergeCell ref="N4:P4"/>
    <mergeCell ref="Q4:S4"/>
    <mergeCell ref="Y4:Y5"/>
    <mergeCell ref="V4:V5"/>
    <mergeCell ref="BP4:BQ4"/>
    <mergeCell ref="BR4:BS4"/>
    <mergeCell ref="BN4:BO4"/>
    <mergeCell ref="U4:U5"/>
    <mergeCell ref="T4:T5"/>
    <mergeCell ref="AC4:AC5"/>
    <mergeCell ref="AD4:AD5"/>
    <mergeCell ref="C45:M45"/>
    <mergeCell ref="M4:M5"/>
    <mergeCell ref="K4:K5"/>
    <mergeCell ref="L4:L5"/>
    <mergeCell ref="E4:G4"/>
    <mergeCell ref="I4:I5"/>
    <mergeCell ref="R38:AA38"/>
    <mergeCell ref="C46:M46"/>
    <mergeCell ref="C47:M47"/>
    <mergeCell ref="W4:W5"/>
    <mergeCell ref="X4:X5"/>
    <mergeCell ref="A39:H39"/>
    <mergeCell ref="A40:H40"/>
    <mergeCell ref="A44:M44"/>
    <mergeCell ref="A38:H38"/>
    <mergeCell ref="A4:A5"/>
    <mergeCell ref="J4:J5"/>
    <mergeCell ref="R39:AA39"/>
    <mergeCell ref="R40:AA40"/>
    <mergeCell ref="A35:AA35"/>
    <mergeCell ref="A36:AA36"/>
    <mergeCell ref="A37:AA37"/>
    <mergeCell ref="C53:M53"/>
    <mergeCell ref="C54:M54"/>
    <mergeCell ref="C48:M48"/>
    <mergeCell ref="C49:M49"/>
    <mergeCell ref="C50:M50"/>
    <mergeCell ref="C51:M51"/>
    <mergeCell ref="C52:M52"/>
  </mergeCells>
  <phoneticPr fontId="5" type="noConversion"/>
  <conditionalFormatting sqref="I6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7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16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17:I23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4:I25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6:I29">
    <cfRule type="iconSet" priority="1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6" zoomScale="90" zoomScaleNormal="90" workbookViewId="0">
      <pane xSplit="1" topLeftCell="B1" activePane="topRight" state="frozen"/>
      <selection activeCell="A5" sqref="A5"/>
      <selection pane="topRight" activeCell="F24" sqref="F24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'6'!BV1:CC1+1</f>
        <v>46180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7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7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6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6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A35:AA35"/>
    <mergeCell ref="A36:AA36"/>
    <mergeCell ref="A37:AA37"/>
    <mergeCell ref="R38:AA38"/>
    <mergeCell ref="R39:AA39"/>
    <mergeCell ref="A38:H38"/>
    <mergeCell ref="A39:H39"/>
    <mergeCell ref="BT4:BU4"/>
    <mergeCell ref="BV4:BW4"/>
    <mergeCell ref="BX4:BY4"/>
    <mergeCell ref="BZ4:BZ5"/>
    <mergeCell ref="CA4:CA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40:H40"/>
    <mergeCell ref="A44:M44"/>
    <mergeCell ref="C45:M45"/>
    <mergeCell ref="R40:AA40"/>
    <mergeCell ref="C54:M54"/>
    <mergeCell ref="C48:M48"/>
    <mergeCell ref="C49:M49"/>
    <mergeCell ref="C50:M50"/>
    <mergeCell ref="C51:M51"/>
    <mergeCell ref="C52:M52"/>
    <mergeCell ref="C53:M53"/>
    <mergeCell ref="C47:M47"/>
    <mergeCell ref="C46:M46"/>
    <mergeCell ref="X4:X5"/>
    <mergeCell ref="Y4:Y5"/>
    <mergeCell ref="J4:J5"/>
    <mergeCell ref="K4:K5"/>
    <mergeCell ref="L4:L5"/>
    <mergeCell ref="M4:M5"/>
    <mergeCell ref="N4:P4"/>
    <mergeCell ref="Q4:S4"/>
    <mergeCell ref="T4:T5"/>
    <mergeCell ref="U4:U5"/>
    <mergeCell ref="V4:V5"/>
    <mergeCell ref="W4:W5"/>
    <mergeCell ref="BN4:BO4"/>
    <mergeCell ref="BP4:BQ4"/>
    <mergeCell ref="BR4:BS4"/>
    <mergeCell ref="BJ4:BL4"/>
    <mergeCell ref="BM4:BM5"/>
    <mergeCell ref="A2:L3"/>
    <mergeCell ref="A4:A5"/>
    <mergeCell ref="B4:D4"/>
    <mergeCell ref="E4:G4"/>
    <mergeCell ref="I4:I5"/>
  </mergeCells>
  <conditionalFormatting sqref="I7:I10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I15:I22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23:I24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25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26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7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90" zoomScaleNormal="90" workbookViewId="0">
      <pane xSplit="1" topLeftCell="BE1" activePane="topRight" state="frozen"/>
      <selection activeCell="A12" sqref="A12"/>
      <selection pane="topRight" activeCell="BF18" sqref="BF18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'7'!BV1:CC1+1</f>
        <v>46181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7"/>
      <c r="I6" s="77"/>
      <c r="J6" s="78"/>
      <c r="K6" s="78"/>
      <c r="L6" s="78"/>
      <c r="M6" s="77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7"/>
      <c r="I7" s="77"/>
      <c r="J7" s="78"/>
      <c r="K7" s="78"/>
      <c r="L7" s="78"/>
      <c r="M7" s="77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7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7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7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6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6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6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s="86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 s="86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T4:BU4"/>
    <mergeCell ref="BV4:BW4"/>
    <mergeCell ref="BX4:BY4"/>
    <mergeCell ref="BZ4:BZ5"/>
    <mergeCell ref="CA4:CA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BP4:BQ4"/>
    <mergeCell ref="BR4:BS4"/>
    <mergeCell ref="C45:M45"/>
    <mergeCell ref="J4:J5"/>
    <mergeCell ref="K4:K5"/>
    <mergeCell ref="L4:L5"/>
    <mergeCell ref="A40:H40"/>
    <mergeCell ref="A39:H39"/>
    <mergeCell ref="A38:H38"/>
    <mergeCell ref="A4:A5"/>
    <mergeCell ref="B4:D4"/>
    <mergeCell ref="A44:M44"/>
    <mergeCell ref="BN4:BO4"/>
    <mergeCell ref="BJ4:BL4"/>
    <mergeCell ref="BM4:BM5"/>
    <mergeCell ref="Y4:Y5"/>
    <mergeCell ref="A2:L3"/>
    <mergeCell ref="W4:W5"/>
    <mergeCell ref="E4:G4"/>
    <mergeCell ref="I4:I5"/>
    <mergeCell ref="M4:M5"/>
    <mergeCell ref="V4:V5"/>
    <mergeCell ref="N4:P4"/>
    <mergeCell ref="Q4:S4"/>
    <mergeCell ref="T4:T5"/>
    <mergeCell ref="U4:U5"/>
    <mergeCell ref="X4:X5"/>
    <mergeCell ref="C51:M51"/>
    <mergeCell ref="C52:M52"/>
    <mergeCell ref="C53:M53"/>
    <mergeCell ref="C54:M54"/>
    <mergeCell ref="C46:M46"/>
    <mergeCell ref="C47:M47"/>
    <mergeCell ref="C48:M48"/>
    <mergeCell ref="C49:M49"/>
    <mergeCell ref="C50:M50"/>
    <mergeCell ref="R40:AA40"/>
    <mergeCell ref="A35:AA35"/>
    <mergeCell ref="A36:AA36"/>
    <mergeCell ref="A37:AA37"/>
    <mergeCell ref="R38:AA38"/>
    <mergeCell ref="R39:AA39"/>
  </mergeCells>
  <phoneticPr fontId="5" type="noConversion"/>
  <conditionalFormatting sqref="I6:I11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12:I13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14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5:I2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25:I29">
    <cfRule type="iconSet" priority="7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5" zoomScaleNormal="85" workbookViewId="0">
      <pane xSplit="1" topLeftCell="AK1" activePane="topRight" state="frozen"/>
      <selection pane="topRight" activeCell="AP12" sqref="AP12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19" width="8.7265625" style="22"/>
    <col min="20" max="20" width="9.26953125" style="22" bestFit="1" customWidth="1"/>
    <col min="21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'8'!BV1:CC1+1</f>
        <v>46182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112" t="s">
        <v>43</v>
      </c>
      <c r="R5" s="112" t="s">
        <v>42</v>
      </c>
      <c r="S5" s="112" t="s">
        <v>41</v>
      </c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118" t="s">
        <v>177</v>
      </c>
      <c r="AG5" s="118" t="s">
        <v>178</v>
      </c>
      <c r="AH5" s="118" t="s">
        <v>179</v>
      </c>
      <c r="AI5" s="118" t="s">
        <v>213</v>
      </c>
      <c r="AJ5" s="118" t="s">
        <v>187</v>
      </c>
      <c r="AK5" s="118" t="s">
        <v>189</v>
      </c>
      <c r="AL5" s="118" t="s">
        <v>190</v>
      </c>
      <c r="AM5" s="118" t="s">
        <v>214</v>
      </c>
      <c r="AN5" s="118" t="s">
        <v>215</v>
      </c>
      <c r="AO5" s="118" t="s">
        <v>216</v>
      </c>
      <c r="AP5" s="118" t="s">
        <v>180</v>
      </c>
      <c r="AQ5" s="118" t="s">
        <v>181</v>
      </c>
      <c r="AR5" s="118" t="s">
        <v>182</v>
      </c>
      <c r="AS5" s="118" t="s">
        <v>177</v>
      </c>
      <c r="AT5" s="118" t="s">
        <v>178</v>
      </c>
      <c r="AU5" s="118" t="s">
        <v>179</v>
      </c>
      <c r="AV5" s="118" t="s">
        <v>213</v>
      </c>
      <c r="AW5" s="118" t="s">
        <v>187</v>
      </c>
      <c r="AX5" s="118" t="s">
        <v>189</v>
      </c>
      <c r="AY5" s="118" t="s">
        <v>190</v>
      </c>
      <c r="AZ5" s="118" t="s">
        <v>214</v>
      </c>
      <c r="BA5" s="118" t="s">
        <v>215</v>
      </c>
      <c r="BB5" s="118" t="s">
        <v>216</v>
      </c>
      <c r="BC5" s="118" t="s">
        <v>180</v>
      </c>
      <c r="BD5" s="118" t="s">
        <v>181</v>
      </c>
      <c r="BE5" s="118" t="s">
        <v>182</v>
      </c>
      <c r="BF5" s="112" t="s">
        <v>66</v>
      </c>
      <c r="BG5" s="112" t="s">
        <v>67</v>
      </c>
      <c r="BH5" s="112" t="s">
        <v>157</v>
      </c>
      <c r="BI5" s="206"/>
      <c r="BJ5" s="112" t="s">
        <v>66</v>
      </c>
      <c r="BK5" s="112" t="s">
        <v>67</v>
      </c>
      <c r="BL5" s="112" t="s">
        <v>139</v>
      </c>
      <c r="BM5" s="207"/>
      <c r="BN5" s="113" t="s">
        <v>64</v>
      </c>
      <c r="BO5" s="112" t="s">
        <v>65</v>
      </c>
      <c r="BP5" s="112" t="s">
        <v>64</v>
      </c>
      <c r="BQ5" s="112" t="s">
        <v>65</v>
      </c>
      <c r="BR5" s="112" t="s">
        <v>64</v>
      </c>
      <c r="BS5" s="112" t="s">
        <v>65</v>
      </c>
      <c r="BT5" s="112" t="s">
        <v>64</v>
      </c>
      <c r="BU5" s="112" t="s">
        <v>65</v>
      </c>
      <c r="BV5" s="112" t="s">
        <v>64</v>
      </c>
      <c r="BW5" s="112" t="s">
        <v>65</v>
      </c>
      <c r="BX5" s="114" t="s">
        <v>64</v>
      </c>
      <c r="BY5" s="114" t="s">
        <v>65</v>
      </c>
      <c r="BZ5" s="207"/>
      <c r="CA5" s="207"/>
      <c r="CB5" s="182"/>
      <c r="CC5" s="185"/>
    </row>
    <row r="6" spans="1:81" x14ac:dyDescent="0.35">
      <c r="A6" s="32">
        <v>0</v>
      </c>
      <c r="B6" s="76">
        <v>700</v>
      </c>
      <c r="C6" s="76">
        <v>660</v>
      </c>
      <c r="D6" s="76">
        <v>660</v>
      </c>
      <c r="E6" s="76">
        <v>404</v>
      </c>
      <c r="F6" s="76">
        <v>404</v>
      </c>
      <c r="G6" s="76">
        <v>405</v>
      </c>
      <c r="H6" s="76">
        <v>50.1</v>
      </c>
      <c r="I6" s="77" t="s">
        <v>234</v>
      </c>
      <c r="J6" s="78">
        <v>0</v>
      </c>
      <c r="K6" s="78">
        <v>0</v>
      </c>
      <c r="L6" s="78">
        <v>0</v>
      </c>
      <c r="M6" s="79">
        <v>479</v>
      </c>
      <c r="N6" s="76">
        <v>0</v>
      </c>
      <c r="O6" s="76">
        <v>0</v>
      </c>
      <c r="P6" s="76">
        <v>0</v>
      </c>
      <c r="Q6" s="76"/>
      <c r="R6" s="76"/>
      <c r="S6" s="76"/>
      <c r="T6" s="80"/>
      <c r="U6" s="76"/>
      <c r="V6" s="76"/>
      <c r="W6" s="82"/>
      <c r="X6" s="76"/>
      <c r="Y6" s="76"/>
      <c r="Z6" s="80"/>
      <c r="AA6" s="76"/>
      <c r="AB6" s="76"/>
      <c r="AC6" s="85"/>
      <c r="AD6" s="76"/>
      <c r="AE6" s="76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3"/>
      <c r="BG6" s="33"/>
      <c r="BH6" s="33"/>
      <c r="BI6" s="33"/>
      <c r="BJ6" s="33"/>
      <c r="BK6" s="33"/>
      <c r="BL6" s="33"/>
      <c r="BM6" s="33"/>
      <c r="BN6" s="84"/>
      <c r="BO6" s="84"/>
      <c r="BP6" s="84"/>
      <c r="BQ6" s="84"/>
      <c r="BR6" s="33"/>
      <c r="BS6" s="33"/>
      <c r="BT6" s="84"/>
      <c r="BU6" s="33"/>
      <c r="BV6" s="84"/>
      <c r="BW6" s="33"/>
      <c r="BX6" s="84"/>
      <c r="BY6" s="33"/>
      <c r="BZ6" s="33"/>
      <c r="CA6" s="33"/>
      <c r="CB6" s="33"/>
      <c r="CC6" s="33"/>
    </row>
    <row r="7" spans="1:81" x14ac:dyDescent="0.35">
      <c r="A7" s="32">
        <v>4.1666666666666664E-2</v>
      </c>
      <c r="B7" s="76">
        <v>740</v>
      </c>
      <c r="C7" s="76">
        <v>710</v>
      </c>
      <c r="D7" s="76">
        <v>710</v>
      </c>
      <c r="E7" s="76">
        <v>405</v>
      </c>
      <c r="F7" s="76">
        <v>405</v>
      </c>
      <c r="G7" s="76">
        <v>406</v>
      </c>
      <c r="H7" s="76">
        <v>49.9</v>
      </c>
      <c r="I7" s="77" t="s">
        <v>234</v>
      </c>
      <c r="J7" s="78">
        <v>0</v>
      </c>
      <c r="K7" s="78">
        <v>0</v>
      </c>
      <c r="L7" s="78">
        <v>0</v>
      </c>
      <c r="M7" s="79">
        <v>476</v>
      </c>
      <c r="N7" s="76">
        <v>0</v>
      </c>
      <c r="O7" s="76">
        <v>0</v>
      </c>
      <c r="P7" s="76">
        <v>0</v>
      </c>
      <c r="Q7" s="76"/>
      <c r="R7" s="76"/>
      <c r="S7" s="76"/>
      <c r="T7" s="80"/>
      <c r="U7" s="76"/>
      <c r="V7" s="76"/>
      <c r="W7" s="82"/>
      <c r="X7" s="76"/>
      <c r="Y7" s="76"/>
      <c r="Z7" s="80"/>
      <c r="AA7" s="76"/>
      <c r="AB7" s="76"/>
      <c r="AC7" s="85"/>
      <c r="AD7" s="76"/>
      <c r="AE7" s="76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3"/>
      <c r="BG7" s="33"/>
      <c r="BH7" s="33"/>
      <c r="BI7" s="33"/>
      <c r="BJ7" s="33"/>
      <c r="BK7" s="33"/>
      <c r="BL7" s="33"/>
      <c r="BM7" s="33"/>
      <c r="BN7" s="84"/>
      <c r="BO7" s="84"/>
      <c r="BP7" s="84"/>
      <c r="BQ7" s="84"/>
      <c r="BR7" s="33"/>
      <c r="BS7" s="33"/>
      <c r="BT7" s="84"/>
      <c r="BU7" s="33"/>
      <c r="BV7" s="84"/>
      <c r="BW7" s="33"/>
      <c r="BX7" s="84"/>
      <c r="BY7" s="33"/>
      <c r="BZ7" s="33"/>
      <c r="CA7" s="33"/>
      <c r="CB7" s="33"/>
      <c r="CC7" s="33"/>
    </row>
    <row r="8" spans="1:81" x14ac:dyDescent="0.35">
      <c r="A8" s="32">
        <v>8.3333333333333329E-2</v>
      </c>
      <c r="B8" s="76">
        <v>700</v>
      </c>
      <c r="C8" s="76">
        <v>670</v>
      </c>
      <c r="D8" s="76">
        <v>660</v>
      </c>
      <c r="E8" s="76">
        <v>413</v>
      </c>
      <c r="F8" s="76">
        <v>413</v>
      </c>
      <c r="G8" s="76">
        <v>414</v>
      </c>
      <c r="H8" s="77">
        <v>50</v>
      </c>
      <c r="I8" s="77" t="s">
        <v>234</v>
      </c>
      <c r="J8" s="78">
        <v>0</v>
      </c>
      <c r="K8" s="78">
        <v>0</v>
      </c>
      <c r="L8" s="78">
        <v>0</v>
      </c>
      <c r="M8" s="79">
        <v>470</v>
      </c>
      <c r="N8" s="76">
        <v>0</v>
      </c>
      <c r="O8" s="76">
        <v>0</v>
      </c>
      <c r="P8" s="76">
        <v>0</v>
      </c>
      <c r="Q8" s="76"/>
      <c r="R8" s="76"/>
      <c r="S8" s="76"/>
      <c r="T8" s="80"/>
      <c r="U8" s="76"/>
      <c r="V8" s="76"/>
      <c r="W8" s="82"/>
      <c r="X8" s="76"/>
      <c r="Y8" s="76"/>
      <c r="Z8" s="80"/>
      <c r="AA8" s="76"/>
      <c r="AB8" s="76"/>
      <c r="AC8" s="85"/>
      <c r="AD8" s="76"/>
      <c r="AE8" s="76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3"/>
      <c r="BG8" s="33"/>
      <c r="BH8" s="33"/>
      <c r="BI8" s="33"/>
      <c r="BJ8" s="33"/>
      <c r="BK8" s="33"/>
      <c r="BL8" s="33"/>
      <c r="BM8" s="33"/>
      <c r="BN8" s="84"/>
      <c r="BO8" s="84"/>
      <c r="BP8" s="84"/>
      <c r="BQ8" s="84"/>
      <c r="BR8" s="33"/>
      <c r="BS8" s="33"/>
      <c r="BT8" s="84"/>
      <c r="BU8" s="33"/>
      <c r="BV8" s="84"/>
      <c r="BW8" s="33"/>
      <c r="BX8" s="84"/>
      <c r="BY8" s="33"/>
      <c r="BZ8" s="33"/>
      <c r="CA8" s="33"/>
      <c r="CB8" s="33"/>
      <c r="CC8" s="33"/>
    </row>
    <row r="9" spans="1:81" x14ac:dyDescent="0.35">
      <c r="A9" s="32">
        <v>0.125</v>
      </c>
      <c r="B9" s="76">
        <v>730</v>
      </c>
      <c r="C9" s="76">
        <v>710</v>
      </c>
      <c r="D9" s="76">
        <v>710</v>
      </c>
      <c r="E9" s="76">
        <v>409</v>
      </c>
      <c r="F9" s="76">
        <v>410</v>
      </c>
      <c r="G9" s="76">
        <v>411</v>
      </c>
      <c r="H9" s="76">
        <v>49.8</v>
      </c>
      <c r="I9" s="77" t="s">
        <v>234</v>
      </c>
      <c r="J9" s="78">
        <v>0</v>
      </c>
      <c r="K9" s="78">
        <v>0</v>
      </c>
      <c r="L9" s="78">
        <v>0</v>
      </c>
      <c r="M9" s="79">
        <v>469</v>
      </c>
      <c r="N9" s="76">
        <v>0</v>
      </c>
      <c r="O9" s="76">
        <v>0</v>
      </c>
      <c r="P9" s="76">
        <v>0</v>
      </c>
      <c r="Q9" s="76"/>
      <c r="R9" s="76"/>
      <c r="S9" s="76"/>
      <c r="T9" s="80"/>
      <c r="U9" s="76"/>
      <c r="V9" s="76"/>
      <c r="W9" s="82"/>
      <c r="X9" s="76"/>
      <c r="Y9" s="76"/>
      <c r="Z9" s="80"/>
      <c r="AA9" s="76"/>
      <c r="AB9" s="76"/>
      <c r="AC9" s="85"/>
      <c r="AD9" s="76"/>
      <c r="AE9" s="76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33"/>
      <c r="BG9" s="33"/>
      <c r="BH9" s="33"/>
      <c r="BI9" s="33"/>
      <c r="BJ9" s="33"/>
      <c r="BK9" s="33"/>
      <c r="BL9" s="33"/>
      <c r="BM9" s="33"/>
      <c r="BN9" s="84"/>
      <c r="BO9" s="84"/>
      <c r="BP9" s="84"/>
      <c r="BQ9" s="84"/>
      <c r="BR9" s="33"/>
      <c r="BS9" s="33"/>
      <c r="BT9" s="84"/>
      <c r="BU9" s="33"/>
      <c r="BV9" s="84"/>
      <c r="BW9" s="33"/>
      <c r="BX9" s="84"/>
      <c r="BY9" s="33"/>
      <c r="BZ9" s="33"/>
      <c r="CA9" s="33"/>
      <c r="CB9" s="33"/>
      <c r="CC9" s="33"/>
    </row>
    <row r="10" spans="1:81" x14ac:dyDescent="0.35">
      <c r="A10" s="32">
        <v>0.16666666666666699</v>
      </c>
      <c r="B10" s="76">
        <v>740</v>
      </c>
      <c r="C10" s="76">
        <v>660</v>
      </c>
      <c r="D10" s="76">
        <v>670</v>
      </c>
      <c r="E10" s="76">
        <v>407</v>
      </c>
      <c r="F10" s="76">
        <v>407</v>
      </c>
      <c r="G10" s="76">
        <v>408</v>
      </c>
      <c r="H10" s="76">
        <v>49.9</v>
      </c>
      <c r="I10" s="77" t="s">
        <v>234</v>
      </c>
      <c r="J10" s="78">
        <v>0</v>
      </c>
      <c r="K10" s="78">
        <v>0</v>
      </c>
      <c r="L10" s="78">
        <v>0</v>
      </c>
      <c r="M10" s="79">
        <v>478</v>
      </c>
      <c r="N10" s="76">
        <v>0</v>
      </c>
      <c r="O10" s="76">
        <v>0</v>
      </c>
      <c r="P10" s="76">
        <v>0</v>
      </c>
      <c r="Q10" s="76"/>
      <c r="R10" s="76"/>
      <c r="S10" s="76"/>
      <c r="T10" s="80"/>
      <c r="U10" s="76"/>
      <c r="V10" s="76"/>
      <c r="W10" s="82"/>
      <c r="X10" s="76"/>
      <c r="Y10" s="76"/>
      <c r="Z10" s="80"/>
      <c r="AA10" s="76"/>
      <c r="AB10" s="76"/>
      <c r="AC10" s="85"/>
      <c r="AD10" s="76"/>
      <c r="AE10" s="76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3"/>
      <c r="BG10" s="33"/>
      <c r="BH10" s="33"/>
      <c r="BI10" s="33"/>
      <c r="BJ10" s="33"/>
      <c r="BK10" s="33"/>
      <c r="BL10" s="33"/>
      <c r="BM10" s="33"/>
      <c r="BN10" s="84"/>
      <c r="BO10" s="84"/>
      <c r="BP10" s="84"/>
      <c r="BQ10" s="84"/>
      <c r="BR10" s="33"/>
      <c r="BS10" s="33"/>
      <c r="BT10" s="84"/>
      <c r="BU10" s="33"/>
      <c r="BV10" s="84"/>
      <c r="BW10" s="33"/>
      <c r="BX10" s="84"/>
      <c r="BY10" s="33"/>
      <c r="BZ10" s="33"/>
      <c r="CA10" s="33"/>
      <c r="CB10" s="33"/>
      <c r="CC10" s="33"/>
    </row>
    <row r="11" spans="1:81" x14ac:dyDescent="0.35">
      <c r="A11" s="32">
        <v>0.20833333333333301</v>
      </c>
      <c r="B11" s="76">
        <v>720</v>
      </c>
      <c r="C11" s="76">
        <v>650</v>
      </c>
      <c r="D11" s="76">
        <v>650</v>
      </c>
      <c r="E11" s="76">
        <v>407</v>
      </c>
      <c r="F11" s="76">
        <v>407</v>
      </c>
      <c r="G11" s="76">
        <v>407</v>
      </c>
      <c r="H11" s="76">
        <v>49.9</v>
      </c>
      <c r="I11" s="77" t="s">
        <v>234</v>
      </c>
      <c r="J11" s="78">
        <v>0</v>
      </c>
      <c r="K11" s="78">
        <v>0</v>
      </c>
      <c r="L11" s="78">
        <v>0</v>
      </c>
      <c r="M11" s="79">
        <v>483</v>
      </c>
      <c r="N11" s="76">
        <v>0</v>
      </c>
      <c r="O11" s="76">
        <v>0</v>
      </c>
      <c r="P11" s="76">
        <v>0</v>
      </c>
      <c r="Q11" s="76"/>
      <c r="R11" s="76"/>
      <c r="S11" s="76"/>
      <c r="T11" s="80"/>
      <c r="U11" s="76"/>
      <c r="V11" s="76"/>
      <c r="W11" s="82"/>
      <c r="X11" s="76"/>
      <c r="Y11" s="76"/>
      <c r="Z11" s="80"/>
      <c r="AA11" s="76"/>
      <c r="AB11" s="76"/>
      <c r="AC11" s="85"/>
      <c r="AD11" s="76"/>
      <c r="AE11" s="76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33"/>
      <c r="BG11" s="33"/>
      <c r="BH11" s="33"/>
      <c r="BI11" s="33"/>
      <c r="BJ11" s="33"/>
      <c r="BK11" s="33"/>
      <c r="BL11" s="33"/>
      <c r="BM11" s="33"/>
      <c r="BN11" s="84"/>
      <c r="BO11" s="84"/>
      <c r="BP11" s="84"/>
      <c r="BQ11" s="84"/>
      <c r="BR11" s="33"/>
      <c r="BS11" s="33"/>
      <c r="BT11" s="84"/>
      <c r="BU11" s="33"/>
      <c r="BV11" s="84"/>
      <c r="BW11" s="33"/>
      <c r="BX11" s="84"/>
      <c r="BY11" s="33"/>
      <c r="BZ11" s="33"/>
      <c r="CA11" s="33"/>
      <c r="CB11" s="33"/>
      <c r="CC11" s="33"/>
    </row>
    <row r="12" spans="1:81" x14ac:dyDescent="0.35">
      <c r="A12" s="32">
        <v>0.25</v>
      </c>
      <c r="B12" s="76">
        <v>740</v>
      </c>
      <c r="C12" s="76">
        <v>690</v>
      </c>
      <c r="D12" s="76">
        <v>690</v>
      </c>
      <c r="E12" s="76">
        <v>408</v>
      </c>
      <c r="F12" s="76">
        <v>408</v>
      </c>
      <c r="G12" s="76">
        <v>408</v>
      </c>
      <c r="H12" s="77">
        <v>50.1</v>
      </c>
      <c r="I12" s="77" t="s">
        <v>234</v>
      </c>
      <c r="J12" s="78">
        <v>0</v>
      </c>
      <c r="K12" s="78">
        <v>0</v>
      </c>
      <c r="L12" s="78">
        <v>0</v>
      </c>
      <c r="M12" s="79">
        <v>490</v>
      </c>
      <c r="N12" s="76">
        <v>0</v>
      </c>
      <c r="O12" s="76">
        <v>0</v>
      </c>
      <c r="P12" s="76">
        <v>0</v>
      </c>
      <c r="Q12" s="76"/>
      <c r="R12" s="76"/>
      <c r="S12" s="76"/>
      <c r="T12" s="80"/>
      <c r="U12" s="76"/>
      <c r="V12" s="76"/>
      <c r="W12" s="82"/>
      <c r="X12" s="76"/>
      <c r="Y12" s="76"/>
      <c r="Z12" s="80"/>
      <c r="AA12" s="76"/>
      <c r="AB12" s="76"/>
      <c r="AC12" s="85"/>
      <c r="AD12" s="76"/>
      <c r="AE12" s="76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33"/>
      <c r="BG12" s="33"/>
      <c r="BH12" s="33"/>
      <c r="BI12" s="33"/>
      <c r="BJ12" s="33"/>
      <c r="BK12" s="33"/>
      <c r="BL12" s="33"/>
      <c r="BM12" s="33"/>
      <c r="BN12" s="84"/>
      <c r="BO12" s="84"/>
      <c r="BP12" s="84"/>
      <c r="BQ12" s="84"/>
      <c r="BR12" s="33"/>
      <c r="BS12" s="33"/>
      <c r="BT12" s="84"/>
      <c r="BU12" s="33"/>
      <c r="BV12" s="84"/>
      <c r="BW12" s="33"/>
      <c r="BX12" s="84"/>
      <c r="BY12" s="33"/>
      <c r="BZ12" s="33"/>
      <c r="CA12" s="33"/>
      <c r="CB12" s="33"/>
      <c r="CC12" s="33"/>
    </row>
    <row r="13" spans="1:81" x14ac:dyDescent="0.35">
      <c r="A13" s="32">
        <v>0.29166666666666702</v>
      </c>
      <c r="B13" s="76">
        <v>730</v>
      </c>
      <c r="C13" s="76">
        <v>690</v>
      </c>
      <c r="D13" s="76">
        <v>680</v>
      </c>
      <c r="E13" s="76">
        <v>408</v>
      </c>
      <c r="F13" s="76">
        <v>408</v>
      </c>
      <c r="G13" s="76">
        <v>408</v>
      </c>
      <c r="H13" s="77">
        <v>50.2</v>
      </c>
      <c r="I13" s="77" t="s">
        <v>234</v>
      </c>
      <c r="J13" s="78">
        <v>0</v>
      </c>
      <c r="K13" s="78">
        <v>0</v>
      </c>
      <c r="L13" s="78">
        <v>0</v>
      </c>
      <c r="M13" s="79">
        <v>495</v>
      </c>
      <c r="N13" s="76">
        <v>0</v>
      </c>
      <c r="O13" s="76">
        <v>0</v>
      </c>
      <c r="P13" s="76">
        <v>0</v>
      </c>
      <c r="Q13" s="76"/>
      <c r="R13" s="76"/>
      <c r="S13" s="76"/>
      <c r="T13" s="80"/>
      <c r="U13" s="76"/>
      <c r="V13" s="76"/>
      <c r="W13" s="82"/>
      <c r="X13" s="76"/>
      <c r="Y13" s="76"/>
      <c r="Z13" s="80"/>
      <c r="AA13" s="76"/>
      <c r="AB13" s="76"/>
      <c r="AC13" s="85"/>
      <c r="AD13" s="76"/>
      <c r="AE13" s="76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33"/>
      <c r="BG13" s="33"/>
      <c r="BH13" s="33"/>
      <c r="BI13" s="33"/>
      <c r="BJ13" s="33"/>
      <c r="BK13" s="33"/>
      <c r="BL13" s="33"/>
      <c r="BM13" s="33"/>
      <c r="BN13" s="84"/>
      <c r="BO13" s="84"/>
      <c r="BP13" s="84"/>
      <c r="BQ13" s="84"/>
      <c r="BR13" s="33"/>
      <c r="BS13" s="33"/>
      <c r="BT13" s="84"/>
      <c r="BU13" s="33"/>
      <c r="BV13" s="84"/>
      <c r="BW13" s="33"/>
      <c r="BX13" s="84"/>
      <c r="BY13" s="33"/>
      <c r="BZ13" s="33"/>
      <c r="CA13" s="33"/>
      <c r="CB13" s="33"/>
      <c r="CC13" s="33"/>
    </row>
    <row r="14" spans="1:81" ht="15" thickBot="1" x14ac:dyDescent="0.4">
      <c r="A14" s="32">
        <v>0.33333333333333331</v>
      </c>
      <c r="B14" s="76">
        <v>710</v>
      </c>
      <c r="C14" s="76">
        <v>650</v>
      </c>
      <c r="D14" s="76">
        <v>650</v>
      </c>
      <c r="E14" s="76">
        <v>408</v>
      </c>
      <c r="F14" s="76">
        <v>409</v>
      </c>
      <c r="G14" s="76">
        <v>410</v>
      </c>
      <c r="H14" s="77">
        <v>49.9</v>
      </c>
      <c r="I14" s="77" t="s">
        <v>234</v>
      </c>
      <c r="J14" s="78">
        <v>0</v>
      </c>
      <c r="K14" s="78">
        <v>0</v>
      </c>
      <c r="L14" s="78">
        <v>0</v>
      </c>
      <c r="M14" s="79">
        <v>473</v>
      </c>
      <c r="N14" s="76">
        <v>0</v>
      </c>
      <c r="O14" s="76">
        <v>0</v>
      </c>
      <c r="P14" s="76">
        <v>0</v>
      </c>
      <c r="Q14" s="76"/>
      <c r="R14" s="76"/>
      <c r="S14" s="76"/>
      <c r="T14" s="80"/>
      <c r="U14" s="76"/>
      <c r="V14" s="76"/>
      <c r="W14" s="82"/>
      <c r="X14" s="76"/>
      <c r="Y14" s="76"/>
      <c r="Z14" s="80"/>
      <c r="AA14" s="76"/>
      <c r="AB14" s="76"/>
      <c r="AC14" s="85"/>
      <c r="AD14" s="76"/>
      <c r="AE14" s="76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3"/>
      <c r="BG14" s="33"/>
      <c r="BH14" s="33"/>
      <c r="BI14" s="33"/>
      <c r="BJ14" s="33"/>
      <c r="BK14" s="33"/>
      <c r="BL14" s="33"/>
      <c r="BM14" s="33"/>
      <c r="BN14" s="84"/>
      <c r="BO14" s="84"/>
      <c r="BP14" s="84"/>
      <c r="BQ14" s="84"/>
      <c r="BR14" s="33"/>
      <c r="BS14" s="33"/>
      <c r="BT14" s="84"/>
      <c r="BU14" s="33"/>
      <c r="BV14" s="84"/>
      <c r="BW14" s="33"/>
      <c r="BX14" s="84"/>
      <c r="BY14" s="33"/>
      <c r="BZ14" s="33"/>
      <c r="CA14" s="33"/>
      <c r="CB14" s="33"/>
      <c r="CC14" s="33"/>
    </row>
    <row r="15" spans="1:81" ht="15" thickBot="1" x14ac:dyDescent="0.4">
      <c r="A15" s="32">
        <v>0.375</v>
      </c>
      <c r="B15" s="88">
        <v>770</v>
      </c>
      <c r="C15" s="89">
        <v>710</v>
      </c>
      <c r="D15" s="89">
        <v>710</v>
      </c>
      <c r="E15" s="89">
        <v>409</v>
      </c>
      <c r="F15" s="89">
        <v>410</v>
      </c>
      <c r="G15" s="89">
        <v>411</v>
      </c>
      <c r="H15" s="89">
        <v>49.8</v>
      </c>
      <c r="I15" s="89" t="s">
        <v>234</v>
      </c>
      <c r="J15" s="92">
        <v>0</v>
      </c>
      <c r="K15" s="92">
        <v>0</v>
      </c>
      <c r="L15" s="92">
        <v>0</v>
      </c>
      <c r="M15" s="89">
        <v>510</v>
      </c>
      <c r="N15" s="76">
        <v>0</v>
      </c>
      <c r="O15" s="76">
        <v>0</v>
      </c>
      <c r="P15" s="76">
        <v>0</v>
      </c>
      <c r="Q15" s="76"/>
      <c r="R15" s="76"/>
      <c r="S15" s="76"/>
      <c r="T15" s="80"/>
      <c r="U15" s="76"/>
      <c r="V15" s="76"/>
      <c r="W15" s="82"/>
      <c r="X15" s="76"/>
      <c r="Y15" s="76"/>
      <c r="Z15" s="80"/>
      <c r="AA15" s="76"/>
      <c r="AB15" s="76"/>
      <c r="AC15" s="85"/>
      <c r="AD15" s="76"/>
      <c r="AE15" s="76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</row>
    <row r="16" spans="1:81" ht="15" thickBot="1" x14ac:dyDescent="0.4">
      <c r="A16" s="34">
        <v>0.41666666666666669</v>
      </c>
      <c r="B16" s="90">
        <v>760</v>
      </c>
      <c r="C16" s="91">
        <v>700</v>
      </c>
      <c r="D16" s="91">
        <v>700</v>
      </c>
      <c r="E16" s="91">
        <v>407</v>
      </c>
      <c r="F16" s="91">
        <v>408</v>
      </c>
      <c r="G16" s="91">
        <v>409</v>
      </c>
      <c r="H16" s="91">
        <v>50.2</v>
      </c>
      <c r="I16" s="91" t="s">
        <v>234</v>
      </c>
      <c r="J16" s="93">
        <v>0</v>
      </c>
      <c r="K16" s="93">
        <v>0</v>
      </c>
      <c r="L16" s="93">
        <v>0</v>
      </c>
      <c r="M16" s="91">
        <v>512</v>
      </c>
      <c r="N16" s="76">
        <v>0</v>
      </c>
      <c r="O16" s="76">
        <v>0</v>
      </c>
      <c r="P16" s="76">
        <v>0</v>
      </c>
      <c r="Q16" s="76"/>
      <c r="R16" s="76"/>
      <c r="S16" s="76"/>
      <c r="T16" s="80"/>
      <c r="U16" s="76"/>
      <c r="V16" s="76"/>
      <c r="W16" s="82"/>
      <c r="X16" s="76"/>
      <c r="Y16" s="76"/>
      <c r="Z16" s="80"/>
      <c r="AA16" s="76"/>
      <c r="AB16" s="76"/>
      <c r="AC16" s="85"/>
      <c r="AD16" s="76"/>
      <c r="AE16" s="76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</row>
    <row r="17" spans="1:81" ht="15" thickBot="1" x14ac:dyDescent="0.4">
      <c r="A17" s="34">
        <v>0.45833333333333331</v>
      </c>
      <c r="B17" s="90">
        <v>760</v>
      </c>
      <c r="C17" s="91">
        <v>700</v>
      </c>
      <c r="D17" s="91">
        <v>690</v>
      </c>
      <c r="E17" s="91">
        <v>408</v>
      </c>
      <c r="F17" s="91">
        <v>408</v>
      </c>
      <c r="G17" s="91">
        <v>409</v>
      </c>
      <c r="H17" s="91">
        <v>50.1</v>
      </c>
      <c r="I17" s="91" t="s">
        <v>234</v>
      </c>
      <c r="J17" s="93">
        <v>0</v>
      </c>
      <c r="K17" s="93">
        <v>0</v>
      </c>
      <c r="L17" s="93">
        <v>0</v>
      </c>
      <c r="M17" s="91">
        <v>508</v>
      </c>
      <c r="N17" s="76">
        <v>0</v>
      </c>
      <c r="O17" s="76">
        <v>0</v>
      </c>
      <c r="P17" s="76">
        <v>0</v>
      </c>
      <c r="Q17" s="76"/>
      <c r="R17" s="76"/>
      <c r="S17" s="76"/>
      <c r="T17" s="80"/>
      <c r="U17" s="76"/>
      <c r="V17" s="76"/>
      <c r="W17" s="82"/>
      <c r="X17" s="76"/>
      <c r="Y17" s="76"/>
      <c r="Z17" s="80"/>
      <c r="AA17" s="76"/>
      <c r="AB17" s="76"/>
      <c r="AC17" s="85"/>
      <c r="AD17" s="76"/>
      <c r="AE17" s="76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</row>
    <row r="18" spans="1:81" ht="15" thickBot="1" x14ac:dyDescent="0.4">
      <c r="A18" s="34">
        <v>0.5</v>
      </c>
      <c r="B18" s="90">
        <v>770</v>
      </c>
      <c r="C18" s="91">
        <v>720</v>
      </c>
      <c r="D18" s="91">
        <v>720</v>
      </c>
      <c r="E18" s="91">
        <v>410</v>
      </c>
      <c r="F18" s="91">
        <v>411</v>
      </c>
      <c r="G18" s="91">
        <v>412</v>
      </c>
      <c r="H18" s="91">
        <v>50.1</v>
      </c>
      <c r="I18" s="91" t="s">
        <v>234</v>
      </c>
      <c r="J18" s="93">
        <v>0</v>
      </c>
      <c r="K18" s="93">
        <v>0</v>
      </c>
      <c r="L18" s="93">
        <v>0</v>
      </c>
      <c r="M18" s="91">
        <v>504</v>
      </c>
      <c r="N18" s="76">
        <v>0</v>
      </c>
      <c r="O18" s="76">
        <v>0</v>
      </c>
      <c r="P18" s="76">
        <v>0</v>
      </c>
      <c r="Q18" s="76"/>
      <c r="R18" s="76"/>
      <c r="S18" s="76"/>
      <c r="T18" s="80"/>
      <c r="U18" s="76"/>
      <c r="V18" s="76"/>
      <c r="W18" s="82"/>
      <c r="X18" s="76"/>
      <c r="Y18" s="76"/>
      <c r="Z18" s="80"/>
      <c r="AA18" s="76"/>
      <c r="AB18" s="76"/>
      <c r="AC18" s="85"/>
      <c r="AD18" s="76"/>
      <c r="AE18" s="76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</row>
    <row r="19" spans="1:81" ht="15" thickBot="1" x14ac:dyDescent="0.4">
      <c r="A19" s="34">
        <v>0.54166666666666663</v>
      </c>
      <c r="B19" s="90">
        <v>790</v>
      </c>
      <c r="C19" s="91">
        <v>730</v>
      </c>
      <c r="D19" s="91">
        <v>730</v>
      </c>
      <c r="E19" s="91">
        <v>409</v>
      </c>
      <c r="F19" s="91">
        <v>410</v>
      </c>
      <c r="G19" s="91">
        <v>411</v>
      </c>
      <c r="H19" s="91">
        <v>50.1</v>
      </c>
      <c r="I19" s="91" t="s">
        <v>234</v>
      </c>
      <c r="J19" s="93">
        <v>0</v>
      </c>
      <c r="K19" s="93">
        <v>0</v>
      </c>
      <c r="L19" s="93">
        <v>0</v>
      </c>
      <c r="M19" s="91">
        <v>508</v>
      </c>
      <c r="N19" s="76">
        <v>0</v>
      </c>
      <c r="O19" s="76">
        <v>0</v>
      </c>
      <c r="P19" s="76">
        <v>0</v>
      </c>
      <c r="Q19" s="76"/>
      <c r="R19" s="76"/>
      <c r="S19" s="76"/>
      <c r="T19" s="80"/>
      <c r="U19" s="76"/>
      <c r="V19" s="76"/>
      <c r="W19" s="82"/>
      <c r="X19" s="76"/>
      <c r="Y19" s="76"/>
      <c r="Z19" s="80"/>
      <c r="AA19" s="76"/>
      <c r="AB19" s="76"/>
      <c r="AC19" s="85"/>
      <c r="AD19" s="76"/>
      <c r="AE19" s="76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</row>
    <row r="20" spans="1:81" ht="15" thickBot="1" x14ac:dyDescent="0.4">
      <c r="A20" s="34">
        <v>0.58333333333333337</v>
      </c>
      <c r="B20" s="90">
        <v>770</v>
      </c>
      <c r="C20" s="91">
        <v>710</v>
      </c>
      <c r="D20" s="91">
        <v>710</v>
      </c>
      <c r="E20" s="91">
        <v>409</v>
      </c>
      <c r="F20" s="91">
        <v>409</v>
      </c>
      <c r="G20" s="91">
        <v>410</v>
      </c>
      <c r="H20" s="91">
        <v>50.1</v>
      </c>
      <c r="I20" s="91" t="s">
        <v>234</v>
      </c>
      <c r="J20" s="93">
        <v>0</v>
      </c>
      <c r="K20" s="93">
        <v>0</v>
      </c>
      <c r="L20" s="93">
        <v>0</v>
      </c>
      <c r="M20" s="91">
        <v>510</v>
      </c>
      <c r="N20" s="76">
        <v>0</v>
      </c>
      <c r="O20" s="76">
        <v>0</v>
      </c>
      <c r="P20" s="76">
        <v>0</v>
      </c>
      <c r="Q20" s="76"/>
      <c r="R20" s="76"/>
      <c r="S20" s="76"/>
      <c r="T20" s="80"/>
      <c r="U20" s="76"/>
      <c r="V20" s="76"/>
      <c r="W20" s="82"/>
      <c r="X20" s="76"/>
      <c r="Y20" s="76"/>
      <c r="Z20" s="80"/>
      <c r="AA20" s="76"/>
      <c r="AB20" s="76"/>
      <c r="AC20" s="85"/>
      <c r="AD20" s="76"/>
      <c r="AE20" s="76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</row>
    <row r="21" spans="1:81" ht="15" thickBot="1" x14ac:dyDescent="0.4">
      <c r="A21" s="34">
        <v>0.625</v>
      </c>
      <c r="B21" s="90">
        <v>780</v>
      </c>
      <c r="C21" s="91">
        <v>710</v>
      </c>
      <c r="D21" s="91">
        <v>710</v>
      </c>
      <c r="E21" s="91">
        <v>407</v>
      </c>
      <c r="F21" s="91">
        <v>408</v>
      </c>
      <c r="G21" s="91">
        <v>409</v>
      </c>
      <c r="H21" s="91">
        <v>50.1</v>
      </c>
      <c r="I21" s="91" t="s">
        <v>234</v>
      </c>
      <c r="J21" s="93">
        <v>0</v>
      </c>
      <c r="K21" s="93">
        <v>0</v>
      </c>
      <c r="L21" s="93">
        <v>0</v>
      </c>
      <c r="M21" s="91">
        <v>509</v>
      </c>
      <c r="N21" s="76">
        <v>0</v>
      </c>
      <c r="O21" s="76">
        <v>0</v>
      </c>
      <c r="P21" s="76">
        <v>0</v>
      </c>
      <c r="Q21" s="76"/>
      <c r="R21" s="76"/>
      <c r="S21" s="76"/>
      <c r="T21" s="80"/>
      <c r="U21" s="76"/>
      <c r="V21" s="76"/>
      <c r="W21" s="82"/>
      <c r="X21" s="76"/>
      <c r="Y21" s="76"/>
      <c r="Z21" s="80"/>
      <c r="AA21" s="76"/>
      <c r="AB21" s="76"/>
      <c r="AC21" s="85"/>
      <c r="AD21" s="76"/>
      <c r="AE21" s="76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</row>
    <row r="22" spans="1:81" ht="15" thickBot="1" x14ac:dyDescent="0.4">
      <c r="A22" s="34">
        <v>0.66666666666666663</v>
      </c>
      <c r="B22" s="90">
        <v>760</v>
      </c>
      <c r="C22" s="91">
        <v>700</v>
      </c>
      <c r="D22" s="91">
        <v>700</v>
      </c>
      <c r="E22" s="91">
        <v>407</v>
      </c>
      <c r="F22" s="91">
        <v>407</v>
      </c>
      <c r="G22" s="91">
        <v>409</v>
      </c>
      <c r="H22" s="91">
        <v>50.1</v>
      </c>
      <c r="I22" s="91" t="s">
        <v>234</v>
      </c>
      <c r="J22" s="93">
        <v>0</v>
      </c>
      <c r="K22" s="93">
        <v>0</v>
      </c>
      <c r="L22" s="93">
        <v>0</v>
      </c>
      <c r="M22" s="91">
        <v>505</v>
      </c>
      <c r="N22" s="76">
        <v>0</v>
      </c>
      <c r="O22" s="76">
        <v>0</v>
      </c>
      <c r="P22" s="76">
        <v>0</v>
      </c>
      <c r="Q22" s="76"/>
      <c r="R22" s="76"/>
      <c r="S22" s="76"/>
      <c r="T22" s="80"/>
      <c r="U22" s="76"/>
      <c r="V22" s="76"/>
      <c r="W22" s="82"/>
      <c r="X22" s="76"/>
      <c r="Y22" s="76"/>
      <c r="Z22" s="80"/>
      <c r="AA22" s="76"/>
      <c r="AB22" s="76"/>
      <c r="AC22" s="85"/>
      <c r="AD22" s="76"/>
      <c r="AE22" s="76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</row>
    <row r="23" spans="1:81" ht="15" thickBot="1" x14ac:dyDescent="0.4">
      <c r="A23" s="34">
        <v>0.70833333333333337</v>
      </c>
      <c r="B23" s="90">
        <v>760</v>
      </c>
      <c r="C23" s="91">
        <v>700</v>
      </c>
      <c r="D23" s="91">
        <v>700</v>
      </c>
      <c r="E23" s="91">
        <v>408</v>
      </c>
      <c r="F23" s="91">
        <v>409</v>
      </c>
      <c r="G23" s="91">
        <v>410</v>
      </c>
      <c r="H23" s="91">
        <v>50.1</v>
      </c>
      <c r="I23" s="91" t="s">
        <v>234</v>
      </c>
      <c r="J23" s="93">
        <v>0</v>
      </c>
      <c r="K23" s="93">
        <v>0</v>
      </c>
      <c r="L23" s="93">
        <v>0</v>
      </c>
      <c r="M23" s="91">
        <v>503</v>
      </c>
      <c r="N23" s="76">
        <v>0</v>
      </c>
      <c r="O23" s="76">
        <v>0</v>
      </c>
      <c r="P23" s="76">
        <v>0</v>
      </c>
      <c r="Q23" s="76"/>
      <c r="R23" s="76"/>
      <c r="S23" s="76"/>
      <c r="T23" s="80"/>
      <c r="U23" s="76"/>
      <c r="V23" s="76"/>
      <c r="W23" s="82"/>
      <c r="X23" s="76"/>
      <c r="Y23" s="76"/>
      <c r="Z23" s="80"/>
      <c r="AA23" s="76"/>
      <c r="AB23" s="76"/>
      <c r="AC23" s="85"/>
      <c r="AD23" s="76"/>
      <c r="AE23" s="76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</row>
    <row r="24" spans="1:81" ht="15" thickBot="1" x14ac:dyDescent="0.4">
      <c r="A24" s="34">
        <v>0.75</v>
      </c>
      <c r="B24" s="90">
        <v>750</v>
      </c>
      <c r="C24" s="91">
        <v>690</v>
      </c>
      <c r="D24" s="91">
        <v>690</v>
      </c>
      <c r="E24" s="91">
        <v>408</v>
      </c>
      <c r="F24" s="91">
        <v>409</v>
      </c>
      <c r="G24" s="91">
        <v>409</v>
      </c>
      <c r="H24" s="91">
        <v>50.1</v>
      </c>
      <c r="I24" s="91" t="s">
        <v>234</v>
      </c>
      <c r="J24" s="93">
        <v>0</v>
      </c>
      <c r="K24" s="93">
        <v>0</v>
      </c>
      <c r="L24" s="93">
        <v>0</v>
      </c>
      <c r="M24" s="91">
        <v>500</v>
      </c>
      <c r="N24" s="76">
        <v>0</v>
      </c>
      <c r="O24" s="76">
        <v>0</v>
      </c>
      <c r="P24" s="76">
        <v>0</v>
      </c>
      <c r="Q24" s="76"/>
      <c r="R24" s="76"/>
      <c r="S24" s="76"/>
      <c r="T24" s="80"/>
      <c r="U24" s="76"/>
      <c r="V24" s="76"/>
      <c r="W24" s="82"/>
      <c r="X24" s="76"/>
      <c r="Y24" s="76"/>
      <c r="Z24" s="80"/>
      <c r="AA24" s="76"/>
      <c r="AB24" s="76"/>
      <c r="AC24" s="85"/>
      <c r="AD24" s="76"/>
      <c r="AE24" s="76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</row>
    <row r="25" spans="1:81" x14ac:dyDescent="0.35">
      <c r="A25" s="34">
        <v>0.79166666666666663</v>
      </c>
      <c r="B25" s="76">
        <v>740</v>
      </c>
      <c r="C25" s="76">
        <v>690</v>
      </c>
      <c r="D25" s="76">
        <v>700</v>
      </c>
      <c r="E25" s="76">
        <v>411</v>
      </c>
      <c r="F25" s="76">
        <v>411</v>
      </c>
      <c r="G25" s="76">
        <v>412</v>
      </c>
      <c r="H25" s="76">
        <v>49.9</v>
      </c>
      <c r="I25" s="77" t="s">
        <v>234</v>
      </c>
      <c r="J25" s="78">
        <v>0</v>
      </c>
      <c r="K25" s="78">
        <v>0</v>
      </c>
      <c r="L25" s="78">
        <v>0</v>
      </c>
      <c r="M25" s="79">
        <v>496</v>
      </c>
      <c r="N25" s="76">
        <v>0</v>
      </c>
      <c r="O25" s="76">
        <v>0</v>
      </c>
      <c r="P25" s="76">
        <v>0</v>
      </c>
      <c r="Q25" s="76"/>
      <c r="R25" s="76"/>
      <c r="S25" s="76"/>
      <c r="T25" s="80"/>
      <c r="U25" s="76"/>
      <c r="V25" s="76"/>
      <c r="W25" s="82"/>
      <c r="X25" s="76"/>
      <c r="Y25" s="76"/>
      <c r="Z25" s="80"/>
      <c r="AA25" s="76"/>
      <c r="AB25" s="76"/>
      <c r="AC25" s="85"/>
      <c r="AD25" s="76"/>
      <c r="AE25" s="76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33"/>
      <c r="BG25" s="33"/>
      <c r="BH25" s="33"/>
      <c r="BI25" s="33"/>
      <c r="BJ25" s="33"/>
      <c r="BK25" s="33"/>
      <c r="BL25" s="33"/>
      <c r="BM25" s="33"/>
      <c r="BN25" s="84"/>
      <c r="BO25" s="84"/>
      <c r="BP25" s="84"/>
      <c r="BQ25" s="84"/>
      <c r="BR25" s="33"/>
      <c r="BS25" s="33"/>
      <c r="BT25" s="84"/>
      <c r="BU25" s="33"/>
      <c r="BV25" s="84"/>
      <c r="BW25" s="33"/>
      <c r="BX25" s="84"/>
      <c r="BY25" s="33"/>
      <c r="BZ25" s="33"/>
      <c r="CA25" s="33"/>
      <c r="CB25" s="33"/>
      <c r="CC25" s="33"/>
    </row>
    <row r="26" spans="1:81" x14ac:dyDescent="0.35">
      <c r="A26" s="34">
        <v>0.83333333333333337</v>
      </c>
      <c r="B26" s="76">
        <v>770</v>
      </c>
      <c r="C26" s="76">
        <v>700</v>
      </c>
      <c r="D26" s="76">
        <v>680</v>
      </c>
      <c r="E26" s="76">
        <v>413</v>
      </c>
      <c r="F26" s="76">
        <v>414</v>
      </c>
      <c r="G26" s="76">
        <v>414</v>
      </c>
      <c r="H26" s="76">
        <v>50</v>
      </c>
      <c r="I26" s="77" t="s">
        <v>234</v>
      </c>
      <c r="J26" s="78">
        <v>0</v>
      </c>
      <c r="K26" s="78">
        <v>0</v>
      </c>
      <c r="L26" s="78">
        <v>0</v>
      </c>
      <c r="M26" s="79">
        <v>503</v>
      </c>
      <c r="N26" s="76">
        <v>0</v>
      </c>
      <c r="O26" s="76">
        <v>0</v>
      </c>
      <c r="P26" s="76">
        <v>0</v>
      </c>
      <c r="Q26" s="76"/>
      <c r="R26" s="76"/>
      <c r="S26" s="76"/>
      <c r="T26" s="80"/>
      <c r="U26" s="76"/>
      <c r="V26" s="76"/>
      <c r="W26" s="82"/>
      <c r="X26" s="76"/>
      <c r="Y26" s="76"/>
      <c r="Z26" s="80"/>
      <c r="AA26" s="76"/>
      <c r="AB26" s="76"/>
      <c r="AC26" s="85"/>
      <c r="AD26" s="76"/>
      <c r="AE26" s="76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33"/>
      <c r="BG26" s="33"/>
      <c r="BH26" s="33"/>
      <c r="BI26" s="33"/>
      <c r="BJ26" s="33"/>
      <c r="BK26" s="33"/>
      <c r="BL26" s="33"/>
      <c r="BM26" s="33"/>
      <c r="BN26" s="84"/>
      <c r="BO26" s="84"/>
      <c r="BP26" s="84"/>
      <c r="BQ26" s="84"/>
      <c r="BR26" s="33"/>
      <c r="BS26" s="33"/>
      <c r="BT26" s="84"/>
      <c r="BU26" s="33"/>
      <c r="BV26" s="84"/>
      <c r="BW26" s="33"/>
      <c r="BX26" s="84"/>
      <c r="BY26" s="33"/>
      <c r="BZ26" s="33"/>
      <c r="CA26" s="33"/>
      <c r="CB26" s="33"/>
      <c r="CC26" s="33"/>
    </row>
    <row r="27" spans="1:81" x14ac:dyDescent="0.35">
      <c r="A27" s="34">
        <v>0.875</v>
      </c>
      <c r="B27" s="76">
        <v>740</v>
      </c>
      <c r="C27" s="76">
        <v>680</v>
      </c>
      <c r="D27" s="76">
        <v>670</v>
      </c>
      <c r="E27" s="76">
        <v>405</v>
      </c>
      <c r="F27" s="76">
        <v>405</v>
      </c>
      <c r="G27" s="76">
        <v>405</v>
      </c>
      <c r="H27" s="77">
        <v>50</v>
      </c>
      <c r="I27" s="77" t="s">
        <v>234</v>
      </c>
      <c r="J27" s="78">
        <v>0</v>
      </c>
      <c r="K27" s="78">
        <v>0</v>
      </c>
      <c r="L27" s="78">
        <v>0</v>
      </c>
      <c r="M27" s="79">
        <v>483</v>
      </c>
      <c r="N27" s="76">
        <v>0</v>
      </c>
      <c r="O27" s="76">
        <v>0</v>
      </c>
      <c r="P27" s="76">
        <v>0</v>
      </c>
      <c r="Q27" s="76"/>
      <c r="R27" s="76"/>
      <c r="S27" s="76"/>
      <c r="T27" s="80"/>
      <c r="U27" s="76"/>
      <c r="V27" s="76"/>
      <c r="W27" s="82"/>
      <c r="X27" s="76"/>
      <c r="Y27" s="76"/>
      <c r="Z27" s="80"/>
      <c r="AA27" s="76"/>
      <c r="AB27" s="76"/>
      <c r="AC27" s="85"/>
      <c r="AD27" s="76"/>
      <c r="AE27" s="76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33"/>
      <c r="BG27" s="33"/>
      <c r="BH27" s="33"/>
      <c r="BI27" s="33"/>
      <c r="BJ27" s="33"/>
      <c r="BK27" s="33"/>
      <c r="BL27" s="33"/>
      <c r="BM27" s="33"/>
      <c r="BN27" s="84"/>
      <c r="BO27" s="84"/>
      <c r="BP27" s="84"/>
      <c r="BQ27" s="84"/>
      <c r="BR27" s="33"/>
      <c r="BS27" s="33"/>
      <c r="BT27" s="84"/>
      <c r="BU27" s="33"/>
      <c r="BV27" s="84"/>
      <c r="BW27" s="33"/>
      <c r="BX27" s="84"/>
      <c r="BY27" s="33"/>
      <c r="BZ27" s="33"/>
      <c r="CA27" s="33"/>
      <c r="CB27" s="33"/>
      <c r="CC27" s="33"/>
    </row>
    <row r="28" spans="1:81" x14ac:dyDescent="0.35">
      <c r="A28" s="34">
        <v>0.91666666666666663</v>
      </c>
      <c r="B28" s="76">
        <v>710</v>
      </c>
      <c r="C28" s="76">
        <v>690</v>
      </c>
      <c r="D28" s="76">
        <v>690</v>
      </c>
      <c r="E28" s="76">
        <v>408</v>
      </c>
      <c r="F28" s="76">
        <v>408</v>
      </c>
      <c r="G28" s="76">
        <v>408</v>
      </c>
      <c r="H28" s="77">
        <v>50.1</v>
      </c>
      <c r="I28" s="77" t="s">
        <v>234</v>
      </c>
      <c r="J28" s="78">
        <v>0</v>
      </c>
      <c r="K28" s="78">
        <v>0</v>
      </c>
      <c r="L28" s="78">
        <v>0</v>
      </c>
      <c r="M28" s="79">
        <v>489</v>
      </c>
      <c r="N28" s="76">
        <v>0</v>
      </c>
      <c r="O28" s="76">
        <v>0</v>
      </c>
      <c r="P28" s="76">
        <v>0</v>
      </c>
      <c r="Q28" s="76"/>
      <c r="R28" s="76"/>
      <c r="S28" s="76"/>
      <c r="T28" s="80"/>
      <c r="U28" s="76"/>
      <c r="V28" s="76"/>
      <c r="W28" s="82"/>
      <c r="X28" s="76"/>
      <c r="Y28" s="76"/>
      <c r="Z28" s="80"/>
      <c r="AA28" s="76"/>
      <c r="AB28" s="76"/>
      <c r="AC28" s="85"/>
      <c r="AD28" s="76"/>
      <c r="AE28" s="76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33"/>
      <c r="BG28" s="33"/>
      <c r="BH28" s="33"/>
      <c r="BI28" s="33"/>
      <c r="BJ28" s="33"/>
      <c r="BK28" s="33"/>
      <c r="BL28" s="33"/>
      <c r="BM28" s="33"/>
      <c r="BN28" s="84"/>
      <c r="BO28" s="84"/>
      <c r="BP28" s="84"/>
      <c r="BQ28" s="84"/>
      <c r="BR28" s="33"/>
      <c r="BS28" s="33"/>
      <c r="BT28" s="84"/>
      <c r="BU28" s="33"/>
      <c r="BV28" s="84"/>
      <c r="BW28" s="33"/>
      <c r="BX28" s="84"/>
      <c r="BY28" s="33"/>
      <c r="BZ28" s="33"/>
      <c r="CA28" s="33"/>
      <c r="CB28" s="33"/>
      <c r="CC28" s="33"/>
    </row>
    <row r="29" spans="1:81" x14ac:dyDescent="0.35">
      <c r="A29" s="34">
        <v>0.95833333333333337</v>
      </c>
      <c r="B29" s="76">
        <v>710</v>
      </c>
      <c r="C29" s="76">
        <v>680</v>
      </c>
      <c r="D29" s="76">
        <v>680</v>
      </c>
      <c r="E29" s="76">
        <v>408</v>
      </c>
      <c r="F29" s="76">
        <v>408</v>
      </c>
      <c r="G29" s="76">
        <v>408</v>
      </c>
      <c r="H29" s="77">
        <v>49.9</v>
      </c>
      <c r="I29" s="77" t="s">
        <v>234</v>
      </c>
      <c r="J29" s="78">
        <v>0</v>
      </c>
      <c r="K29" s="78">
        <v>0</v>
      </c>
      <c r="L29" s="78">
        <v>0</v>
      </c>
      <c r="M29" s="79">
        <v>487</v>
      </c>
      <c r="N29" s="76">
        <v>0</v>
      </c>
      <c r="O29" s="76">
        <v>0</v>
      </c>
      <c r="P29" s="76">
        <v>0</v>
      </c>
      <c r="Q29" s="76"/>
      <c r="R29" s="76"/>
      <c r="S29" s="76"/>
      <c r="T29" s="80"/>
      <c r="U29" s="76"/>
      <c r="V29" s="76"/>
      <c r="W29" s="82"/>
      <c r="X29" s="76"/>
      <c r="Y29" s="76"/>
      <c r="Z29" s="80"/>
      <c r="AA29" s="76"/>
      <c r="AB29" s="76"/>
      <c r="AC29" s="85"/>
      <c r="AD29" s="76"/>
      <c r="AE29" s="76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33"/>
      <c r="BG29" s="33"/>
      <c r="BH29" s="33"/>
      <c r="BI29" s="33"/>
      <c r="BJ29" s="33"/>
      <c r="BK29" s="33"/>
      <c r="BL29" s="33"/>
      <c r="BM29" s="33"/>
      <c r="BN29" s="84"/>
      <c r="BO29" s="84"/>
      <c r="BP29" s="84"/>
      <c r="BQ29" s="84"/>
      <c r="BR29" s="33"/>
      <c r="BS29" s="33"/>
      <c r="BT29" s="84"/>
      <c r="BU29" s="33"/>
      <c r="BV29" s="84"/>
      <c r="BW29" s="33"/>
      <c r="BX29" s="84"/>
      <c r="BY29" s="33"/>
      <c r="BZ29" s="33"/>
      <c r="CA29" s="33"/>
      <c r="CB29" s="33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>
        <f>AVERAGE(M6:M29)</f>
        <v>493.33333333333331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512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ht="15" x14ac:dyDescent="0.2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ht="15" x14ac:dyDescent="0.2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V4:BW4"/>
    <mergeCell ref="BX4:BY4"/>
    <mergeCell ref="BZ4:BZ5"/>
    <mergeCell ref="CA4:CA5"/>
    <mergeCell ref="R40:AA40"/>
    <mergeCell ref="A35:AA35"/>
    <mergeCell ref="A36:AA36"/>
    <mergeCell ref="A37:AA37"/>
    <mergeCell ref="R38:AA38"/>
    <mergeCell ref="R39:AA39"/>
    <mergeCell ref="U4:U5"/>
    <mergeCell ref="M4:M5"/>
    <mergeCell ref="N4:P4"/>
    <mergeCell ref="Q4:S4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S4:BE4"/>
    <mergeCell ref="A1:BT1"/>
    <mergeCell ref="BF4:BH4"/>
    <mergeCell ref="BI4:BI5"/>
    <mergeCell ref="BJ4:BL4"/>
    <mergeCell ref="BM4:BM5"/>
    <mergeCell ref="BT4:BU4"/>
    <mergeCell ref="BP4:BQ4"/>
    <mergeCell ref="BR4:BS4"/>
    <mergeCell ref="W4:W5"/>
    <mergeCell ref="AE4:AE5"/>
    <mergeCell ref="AF4:AR4"/>
    <mergeCell ref="X4:X5"/>
    <mergeCell ref="Y4:Y5"/>
    <mergeCell ref="BN4:BO4"/>
    <mergeCell ref="C54:M54"/>
    <mergeCell ref="C47:M47"/>
    <mergeCell ref="C48:M48"/>
    <mergeCell ref="C49:M49"/>
    <mergeCell ref="C50:M50"/>
    <mergeCell ref="C51:M51"/>
    <mergeCell ref="C52:M52"/>
    <mergeCell ref="C53:M53"/>
    <mergeCell ref="A44:M44"/>
    <mergeCell ref="C45:M45"/>
    <mergeCell ref="C46:M46"/>
    <mergeCell ref="A2:L3"/>
    <mergeCell ref="V4:V5"/>
    <mergeCell ref="A39:H39"/>
    <mergeCell ref="A38:H38"/>
    <mergeCell ref="A40:H40"/>
    <mergeCell ref="A4:A5"/>
    <mergeCell ref="J4:J5"/>
    <mergeCell ref="K4:K5"/>
    <mergeCell ref="L4:L5"/>
    <mergeCell ref="B4:D4"/>
    <mergeCell ref="E4:G4"/>
    <mergeCell ref="I4:I5"/>
    <mergeCell ref="T4:T5"/>
  </mergeCells>
  <phoneticPr fontId="5" type="noConversion"/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6" zoomScale="80" zoomScaleNormal="80" workbookViewId="0">
      <pane xSplit="1" topLeftCell="BJ1" activePane="topRight" state="frozen"/>
      <selection activeCell="A6" sqref="A6"/>
      <selection pane="topRight" activeCell="BO25" sqref="BO25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'9'!BV1:CC1+1</f>
        <v>46183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ht="15" x14ac:dyDescent="0.2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ht="15" x14ac:dyDescent="0.2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ht="15" x14ac:dyDescent="0.2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ht="15" x14ac:dyDescent="0.2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ht="15" x14ac:dyDescent="0.2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CA4:CA5"/>
    <mergeCell ref="A35:AA35"/>
    <mergeCell ref="A36:AA36"/>
    <mergeCell ref="A37:AA37"/>
    <mergeCell ref="R38:AA38"/>
    <mergeCell ref="BM4:BM5"/>
    <mergeCell ref="BT4:BU4"/>
    <mergeCell ref="BV4:BW4"/>
    <mergeCell ref="BX4:BY4"/>
    <mergeCell ref="BZ4:BZ5"/>
    <mergeCell ref="AF4:AR4"/>
    <mergeCell ref="AS4:BE4"/>
    <mergeCell ref="BF4:BH4"/>
    <mergeCell ref="BI4:BI5"/>
    <mergeCell ref="BJ4:BL4"/>
    <mergeCell ref="Y4:Y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45:M45"/>
    <mergeCell ref="C46:M46"/>
    <mergeCell ref="C47:M47"/>
    <mergeCell ref="C48:M48"/>
    <mergeCell ref="C54:M54"/>
    <mergeCell ref="C49:M49"/>
    <mergeCell ref="C50:M50"/>
    <mergeCell ref="C51:M51"/>
    <mergeCell ref="C52:M52"/>
    <mergeCell ref="C53:M53"/>
    <mergeCell ref="A39:H39"/>
    <mergeCell ref="A44:M44"/>
    <mergeCell ref="A40:H40"/>
    <mergeCell ref="R39:AA39"/>
    <mergeCell ref="R40:AA40"/>
    <mergeCell ref="A38:H38"/>
    <mergeCell ref="T4:T5"/>
    <mergeCell ref="X4:X5"/>
    <mergeCell ref="U4:U5"/>
    <mergeCell ref="A4:A5"/>
    <mergeCell ref="J4:J5"/>
    <mergeCell ref="E4:G4"/>
    <mergeCell ref="I4:I5"/>
    <mergeCell ref="AE4:AE5"/>
    <mergeCell ref="A2:L3"/>
    <mergeCell ref="M4:M5"/>
    <mergeCell ref="BP4:BQ4"/>
    <mergeCell ref="BR4:BS4"/>
    <mergeCell ref="V4:V5"/>
    <mergeCell ref="W4:W5"/>
    <mergeCell ref="K4:K5"/>
    <mergeCell ref="L4:L5"/>
    <mergeCell ref="BN4:BO4"/>
    <mergeCell ref="N4:P4"/>
    <mergeCell ref="Q4:S4"/>
    <mergeCell ref="B4:D4"/>
  </mergeCells>
  <phoneticPr fontId="5" type="noConversion"/>
  <conditionalFormatting sqref="I6:I8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5:I2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25:I29">
    <cfRule type="iconSet" priority="4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6" zoomScale="80" zoomScaleNormal="80" workbookViewId="0">
      <pane xSplit="1" topLeftCell="BJ1" activePane="topRight" state="frozen"/>
      <selection pane="topRight" activeCell="BO24" sqref="BO24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'10'!BV1:CC1+1</f>
        <v>46184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100.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58" customHeight="1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ht="17.2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6.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7.2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.7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7.2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8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7.2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ht="15.7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ht="15.75" customHeight="1" x14ac:dyDescent="0.35">
      <c r="A14" s="32">
        <v>0.33333333333333331</v>
      </c>
      <c r="B14" s="97"/>
      <c r="C14" s="97"/>
      <c r="D14" s="97"/>
      <c r="E14" s="97"/>
      <c r="F14" s="97"/>
      <c r="G14" s="97"/>
      <c r="H14" s="98"/>
      <c r="I14" s="98"/>
      <c r="J14" s="99"/>
      <c r="K14" s="99"/>
      <c r="L14" s="99"/>
      <c r="M14" s="100"/>
      <c r="N14" s="97"/>
      <c r="O14" s="97"/>
      <c r="P14" s="97"/>
      <c r="Q14" s="97"/>
      <c r="R14" s="97"/>
      <c r="S14" s="97"/>
      <c r="T14" s="101"/>
      <c r="U14" s="102"/>
      <c r="V14" s="102"/>
      <c r="W14" s="103"/>
      <c r="X14" s="102"/>
      <c r="Y14" s="102"/>
      <c r="Z14" s="101"/>
      <c r="AA14" s="102"/>
      <c r="AB14" s="102"/>
      <c r="AC14" s="104"/>
      <c r="AD14" s="102"/>
      <c r="AE14" s="102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98"/>
      <c r="BG14" s="98"/>
      <c r="BH14" s="98"/>
      <c r="BI14" s="98"/>
      <c r="BJ14" s="98"/>
      <c r="BK14" s="98"/>
      <c r="BL14" s="98"/>
      <c r="BM14" s="98"/>
      <c r="BN14" s="108"/>
      <c r="BO14" s="108"/>
      <c r="BP14" s="108"/>
      <c r="BQ14" s="84"/>
      <c r="BR14" s="98"/>
      <c r="BS14" s="98"/>
      <c r="BT14" s="108"/>
      <c r="BU14" s="98"/>
      <c r="BV14" s="108"/>
      <c r="BW14" s="98"/>
      <c r="BX14" s="108"/>
      <c r="BY14" s="98"/>
      <c r="BZ14" s="98"/>
      <c r="CA14" s="98"/>
      <c r="CB14" s="98"/>
      <c r="CC14" s="107"/>
    </row>
    <row r="15" spans="1:81" ht="17.25" customHeight="1" x14ac:dyDescent="0.35">
      <c r="A15" s="110">
        <v>0.375</v>
      </c>
      <c r="B15" s="33"/>
      <c r="C15" s="33"/>
      <c r="D15" s="33"/>
      <c r="E15" s="33"/>
      <c r="F15" s="33"/>
      <c r="G15" s="33"/>
      <c r="H15" s="33"/>
      <c r="I15" s="33"/>
      <c r="J15" s="32"/>
      <c r="K15" s="32"/>
      <c r="L15" s="32"/>
      <c r="M15" s="33"/>
      <c r="N15" s="76"/>
      <c r="O15" s="76"/>
      <c r="P15" s="76"/>
      <c r="Q15" s="76"/>
      <c r="R15" s="76"/>
      <c r="S15" s="76"/>
      <c r="T15" s="80"/>
      <c r="U15" s="76"/>
      <c r="V15" s="76"/>
      <c r="W15" s="82"/>
      <c r="X15" s="76"/>
      <c r="Y15" s="76"/>
      <c r="Z15" s="80"/>
      <c r="AA15" s="76"/>
      <c r="AB15" s="76"/>
      <c r="AC15" s="85"/>
      <c r="AD15" s="76"/>
      <c r="AE15" s="76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84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</row>
    <row r="16" spans="1:81" x14ac:dyDescent="0.35">
      <c r="A16" s="111">
        <v>0.41666666666666669</v>
      </c>
      <c r="B16" s="33"/>
      <c r="C16" s="33"/>
      <c r="D16" s="33"/>
      <c r="E16" s="33"/>
      <c r="F16" s="33"/>
      <c r="G16" s="33"/>
      <c r="H16" s="33"/>
      <c r="I16" s="33"/>
      <c r="J16" s="32"/>
      <c r="K16" s="32"/>
      <c r="L16" s="32"/>
      <c r="M16" s="33"/>
      <c r="N16" s="76"/>
      <c r="O16" s="76"/>
      <c r="P16" s="76"/>
      <c r="Q16" s="76"/>
      <c r="R16" s="76"/>
      <c r="S16" s="76"/>
      <c r="T16" s="80"/>
      <c r="U16" s="76"/>
      <c r="V16" s="76"/>
      <c r="W16" s="82"/>
      <c r="X16" s="76"/>
      <c r="Y16" s="76"/>
      <c r="Z16" s="80"/>
      <c r="AA16" s="76"/>
      <c r="AB16" s="76"/>
      <c r="AC16" s="85"/>
      <c r="AD16" s="76"/>
      <c r="AE16" s="76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84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</row>
    <row r="17" spans="1:81" x14ac:dyDescent="0.35">
      <c r="A17" s="111">
        <v>0.45833333333333331</v>
      </c>
      <c r="B17" s="33"/>
      <c r="C17" s="33"/>
      <c r="D17" s="33"/>
      <c r="E17" s="33"/>
      <c r="F17" s="33"/>
      <c r="G17" s="33"/>
      <c r="H17" s="33"/>
      <c r="I17" s="33"/>
      <c r="J17" s="32"/>
      <c r="K17" s="32"/>
      <c r="L17" s="32"/>
      <c r="M17" s="33"/>
      <c r="N17" s="76"/>
      <c r="O17" s="76"/>
      <c r="P17" s="76"/>
      <c r="Q17" s="76"/>
      <c r="R17" s="76"/>
      <c r="S17" s="76"/>
      <c r="T17" s="80"/>
      <c r="U17" s="76"/>
      <c r="V17" s="76"/>
      <c r="W17" s="82"/>
      <c r="X17" s="76"/>
      <c r="Y17" s="76"/>
      <c r="Z17" s="80"/>
      <c r="AA17" s="76"/>
      <c r="AB17" s="76"/>
      <c r="AC17" s="85"/>
      <c r="AD17" s="76"/>
      <c r="AE17" s="76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84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</row>
    <row r="18" spans="1:81" x14ac:dyDescent="0.35">
      <c r="A18" s="111">
        <v>0.5</v>
      </c>
      <c r="B18" s="33"/>
      <c r="C18" s="33"/>
      <c r="D18" s="33"/>
      <c r="E18" s="33"/>
      <c r="F18" s="33"/>
      <c r="G18" s="33"/>
      <c r="H18" s="33"/>
      <c r="I18" s="33"/>
      <c r="J18" s="32"/>
      <c r="K18" s="32"/>
      <c r="L18" s="32"/>
      <c r="M18" s="33"/>
      <c r="N18" s="76"/>
      <c r="O18" s="76"/>
      <c r="P18" s="76"/>
      <c r="Q18" s="76"/>
      <c r="R18" s="76"/>
      <c r="S18" s="76"/>
      <c r="T18" s="80"/>
      <c r="U18" s="76"/>
      <c r="V18" s="76"/>
      <c r="W18" s="82"/>
      <c r="X18" s="76"/>
      <c r="Y18" s="76"/>
      <c r="Z18" s="80"/>
      <c r="AA18" s="76"/>
      <c r="AB18" s="76"/>
      <c r="AC18" s="85"/>
      <c r="AD18" s="76"/>
      <c r="AE18" s="76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84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</row>
    <row r="19" spans="1:81" x14ac:dyDescent="0.35">
      <c r="A19" s="111">
        <v>0.54166666666666663</v>
      </c>
      <c r="B19" s="33"/>
      <c r="C19" s="33"/>
      <c r="D19" s="33"/>
      <c r="E19" s="33"/>
      <c r="F19" s="33"/>
      <c r="G19" s="33"/>
      <c r="H19" s="33"/>
      <c r="I19" s="33"/>
      <c r="J19" s="32"/>
      <c r="K19" s="32"/>
      <c r="L19" s="32"/>
      <c r="M19" s="33"/>
      <c r="N19" s="76"/>
      <c r="O19" s="76"/>
      <c r="P19" s="76"/>
      <c r="Q19" s="76"/>
      <c r="R19" s="76"/>
      <c r="S19" s="76"/>
      <c r="T19" s="80"/>
      <c r="U19" s="76"/>
      <c r="V19" s="76"/>
      <c r="W19" s="82"/>
      <c r="X19" s="76"/>
      <c r="Y19" s="76"/>
      <c r="Z19" s="80"/>
      <c r="AA19" s="76"/>
      <c r="AB19" s="76"/>
      <c r="AC19" s="85"/>
      <c r="AD19" s="76"/>
      <c r="AE19" s="76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84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</row>
    <row r="20" spans="1:81" x14ac:dyDescent="0.35">
      <c r="A20" s="111">
        <v>0.58333333333333337</v>
      </c>
      <c r="B20" s="33"/>
      <c r="C20" s="33"/>
      <c r="D20" s="33"/>
      <c r="E20" s="33"/>
      <c r="F20" s="33"/>
      <c r="G20" s="33"/>
      <c r="H20" s="33"/>
      <c r="I20" s="33"/>
      <c r="J20" s="32"/>
      <c r="K20" s="32"/>
      <c r="L20" s="32"/>
      <c r="M20" s="33"/>
      <c r="N20" s="76"/>
      <c r="O20" s="76"/>
      <c r="P20" s="76"/>
      <c r="Q20" s="76"/>
      <c r="R20" s="76"/>
      <c r="S20" s="76"/>
      <c r="T20" s="80"/>
      <c r="U20" s="76"/>
      <c r="V20" s="76"/>
      <c r="W20" s="82"/>
      <c r="X20" s="76"/>
      <c r="Y20" s="76"/>
      <c r="Z20" s="80"/>
      <c r="AA20" s="76"/>
      <c r="AB20" s="76"/>
      <c r="AC20" s="85"/>
      <c r="AD20" s="76"/>
      <c r="AE20" s="76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84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</row>
    <row r="21" spans="1:81" x14ac:dyDescent="0.35">
      <c r="A21" s="111">
        <v>0.625</v>
      </c>
      <c r="B21" s="33"/>
      <c r="C21" s="33"/>
      <c r="D21" s="33"/>
      <c r="E21" s="33"/>
      <c r="F21" s="33"/>
      <c r="G21" s="33"/>
      <c r="H21" s="33"/>
      <c r="I21" s="33"/>
      <c r="J21" s="32"/>
      <c r="K21" s="32"/>
      <c r="L21" s="32"/>
      <c r="M21" s="33"/>
      <c r="N21" s="76"/>
      <c r="O21" s="76"/>
      <c r="P21" s="76"/>
      <c r="Q21" s="76"/>
      <c r="R21" s="76"/>
      <c r="S21" s="76"/>
      <c r="T21" s="80"/>
      <c r="U21" s="76"/>
      <c r="V21" s="76"/>
      <c r="W21" s="82"/>
      <c r="X21" s="76"/>
      <c r="Y21" s="76"/>
      <c r="Z21" s="80"/>
      <c r="AA21" s="76"/>
      <c r="AB21" s="76"/>
      <c r="AC21" s="85"/>
      <c r="AD21" s="76"/>
      <c r="AE21" s="76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84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</row>
    <row r="22" spans="1:81" x14ac:dyDescent="0.35">
      <c r="A22" s="111">
        <v>0.66666666666666663</v>
      </c>
      <c r="B22" s="33"/>
      <c r="C22" s="33"/>
      <c r="D22" s="33"/>
      <c r="E22" s="33"/>
      <c r="F22" s="33"/>
      <c r="G22" s="33"/>
      <c r="H22" s="33"/>
      <c r="I22" s="33"/>
      <c r="J22" s="32"/>
      <c r="K22" s="32"/>
      <c r="L22" s="32"/>
      <c r="M22" s="33"/>
      <c r="N22" s="76"/>
      <c r="O22" s="76"/>
      <c r="P22" s="76"/>
      <c r="Q22" s="76"/>
      <c r="R22" s="76"/>
      <c r="S22" s="76"/>
      <c r="T22" s="80"/>
      <c r="U22" s="76"/>
      <c r="V22" s="76"/>
      <c r="W22" s="82"/>
      <c r="X22" s="76"/>
      <c r="Y22" s="76"/>
      <c r="Z22" s="80"/>
      <c r="AA22" s="76"/>
      <c r="AB22" s="76"/>
      <c r="AC22" s="85"/>
      <c r="AD22" s="76"/>
      <c r="AE22" s="76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84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</row>
    <row r="23" spans="1:81" x14ac:dyDescent="0.35">
      <c r="A23" s="111">
        <v>0.70833333333333337</v>
      </c>
      <c r="B23" s="33"/>
      <c r="C23" s="33"/>
      <c r="D23" s="33"/>
      <c r="E23" s="33"/>
      <c r="F23" s="33"/>
      <c r="G23" s="33"/>
      <c r="H23" s="33"/>
      <c r="I23" s="33"/>
      <c r="J23" s="32"/>
      <c r="K23" s="32"/>
      <c r="L23" s="32"/>
      <c r="M23" s="33"/>
      <c r="N23" s="76"/>
      <c r="O23" s="76"/>
      <c r="P23" s="76"/>
      <c r="Q23" s="76"/>
      <c r="R23" s="76"/>
      <c r="S23" s="76"/>
      <c r="T23" s="80"/>
      <c r="U23" s="76"/>
      <c r="V23" s="76"/>
      <c r="W23" s="82"/>
      <c r="X23" s="76"/>
      <c r="Y23" s="76"/>
      <c r="Z23" s="80"/>
      <c r="AA23" s="76"/>
      <c r="AB23" s="76"/>
      <c r="AC23" s="85"/>
      <c r="AD23" s="76"/>
      <c r="AE23" s="76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84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</row>
    <row r="24" spans="1:81" x14ac:dyDescent="0.35">
      <c r="A24" s="111">
        <v>0.75</v>
      </c>
      <c r="B24" s="33"/>
      <c r="C24" s="33"/>
      <c r="D24" s="33"/>
      <c r="E24" s="33"/>
      <c r="F24" s="33"/>
      <c r="G24" s="33"/>
      <c r="H24" s="33"/>
      <c r="I24" s="33"/>
      <c r="J24" s="32"/>
      <c r="K24" s="32"/>
      <c r="L24" s="32"/>
      <c r="M24" s="33"/>
      <c r="N24" s="76"/>
      <c r="O24" s="76"/>
      <c r="P24" s="76"/>
      <c r="Q24" s="76"/>
      <c r="R24" s="76"/>
      <c r="S24" s="76"/>
      <c r="T24" s="80"/>
      <c r="U24" s="76"/>
      <c r="V24" s="76"/>
      <c r="W24" s="82"/>
      <c r="X24" s="76"/>
      <c r="Y24" s="76"/>
      <c r="Z24" s="80"/>
      <c r="AA24" s="76"/>
      <c r="AB24" s="76"/>
      <c r="AC24" s="85"/>
      <c r="AD24" s="76"/>
      <c r="AE24" s="76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84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</row>
    <row r="25" spans="1:81" x14ac:dyDescent="0.35">
      <c r="A25" s="111">
        <v>0.79166666666666663</v>
      </c>
      <c r="B25" s="33"/>
      <c r="C25" s="33"/>
      <c r="D25" s="33"/>
      <c r="E25" s="33"/>
      <c r="F25" s="33"/>
      <c r="G25" s="33"/>
      <c r="H25" s="33"/>
      <c r="I25" s="33"/>
      <c r="J25" s="32"/>
      <c r="K25" s="32"/>
      <c r="L25" s="32"/>
      <c r="M25" s="109"/>
      <c r="N25" s="76"/>
      <c r="O25" s="76"/>
      <c r="P25" s="76"/>
      <c r="Q25" s="76"/>
      <c r="R25" s="76"/>
      <c r="S25" s="76"/>
      <c r="T25" s="80"/>
      <c r="U25" s="76"/>
      <c r="V25" s="76"/>
      <c r="W25" s="82"/>
      <c r="X25" s="76"/>
      <c r="Y25" s="76"/>
      <c r="Z25" s="80"/>
      <c r="AA25" s="76"/>
      <c r="AB25" s="76"/>
      <c r="AC25" s="85"/>
      <c r="AD25" s="76"/>
      <c r="AE25" s="76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84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</row>
    <row r="26" spans="1:81" x14ac:dyDescent="0.35">
      <c r="A26" s="111">
        <v>0.83333333333333337</v>
      </c>
      <c r="B26" s="33"/>
      <c r="C26" s="33"/>
      <c r="D26" s="33"/>
      <c r="E26" s="33"/>
      <c r="F26" s="33"/>
      <c r="G26" s="33"/>
      <c r="H26" s="33"/>
      <c r="I26" s="33"/>
      <c r="J26" s="32"/>
      <c r="K26" s="32"/>
      <c r="L26" s="32"/>
      <c r="M26" s="109"/>
      <c r="N26" s="76"/>
      <c r="O26" s="76"/>
      <c r="P26" s="76"/>
      <c r="Q26" s="76"/>
      <c r="R26" s="76"/>
      <c r="S26" s="76"/>
      <c r="T26" s="80"/>
      <c r="U26" s="76"/>
      <c r="V26" s="76"/>
      <c r="W26" s="82"/>
      <c r="X26" s="76"/>
      <c r="Y26" s="76"/>
      <c r="Z26" s="80"/>
      <c r="AA26" s="76"/>
      <c r="AB26" s="76"/>
      <c r="AC26" s="85"/>
      <c r="AD26" s="76"/>
      <c r="AE26" s="76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84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</row>
    <row r="27" spans="1:81" x14ac:dyDescent="0.35">
      <c r="A27" s="111">
        <v>0.875</v>
      </c>
      <c r="B27" s="33"/>
      <c r="C27" s="33"/>
      <c r="D27" s="33"/>
      <c r="E27" s="33"/>
      <c r="F27" s="33"/>
      <c r="G27" s="33"/>
      <c r="H27" s="33"/>
      <c r="I27" s="33"/>
      <c r="J27" s="32"/>
      <c r="K27" s="32"/>
      <c r="L27" s="32"/>
      <c r="M27" s="109"/>
      <c r="N27" s="76"/>
      <c r="O27" s="76"/>
      <c r="P27" s="76"/>
      <c r="Q27" s="76"/>
      <c r="R27" s="76"/>
      <c r="S27" s="76"/>
      <c r="T27" s="80"/>
      <c r="U27" s="76"/>
      <c r="V27" s="76"/>
      <c r="W27" s="82"/>
      <c r="X27" s="76"/>
      <c r="Y27" s="76"/>
      <c r="Z27" s="80"/>
      <c r="AA27" s="76"/>
      <c r="AB27" s="76"/>
      <c r="AC27" s="85"/>
      <c r="AD27" s="76"/>
      <c r="AE27" s="76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84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</row>
    <row r="28" spans="1:81" x14ac:dyDescent="0.35">
      <c r="A28" s="111">
        <v>0.91666666666666663</v>
      </c>
      <c r="B28" s="33"/>
      <c r="C28" s="33"/>
      <c r="D28" s="33"/>
      <c r="E28" s="33"/>
      <c r="F28" s="33"/>
      <c r="G28" s="33"/>
      <c r="H28" s="33"/>
      <c r="I28" s="33"/>
      <c r="J28" s="32"/>
      <c r="K28" s="32"/>
      <c r="L28" s="32"/>
      <c r="M28" s="109"/>
      <c r="N28" s="76"/>
      <c r="O28" s="76"/>
      <c r="P28" s="76"/>
      <c r="Q28" s="76"/>
      <c r="R28" s="76"/>
      <c r="S28" s="76"/>
      <c r="T28" s="80"/>
      <c r="U28" s="76"/>
      <c r="V28" s="76"/>
      <c r="W28" s="82"/>
      <c r="X28" s="76"/>
      <c r="Y28" s="76"/>
      <c r="Z28" s="80"/>
      <c r="AA28" s="76"/>
      <c r="AB28" s="76"/>
      <c r="AC28" s="85"/>
      <c r="AD28" s="76"/>
      <c r="AE28" s="76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84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</row>
    <row r="29" spans="1:81" x14ac:dyDescent="0.35">
      <c r="A29" s="111">
        <v>0.95833333333333337</v>
      </c>
      <c r="B29" s="33"/>
      <c r="C29" s="33"/>
      <c r="D29" s="33"/>
      <c r="E29" s="33"/>
      <c r="F29" s="33"/>
      <c r="G29" s="33"/>
      <c r="H29" s="33"/>
      <c r="I29" s="33"/>
      <c r="J29" s="32"/>
      <c r="K29" s="32"/>
      <c r="L29" s="32"/>
      <c r="M29" s="109"/>
      <c r="N29" s="76"/>
      <c r="O29" s="76"/>
      <c r="P29" s="76"/>
      <c r="Q29" s="76"/>
      <c r="R29" s="76"/>
      <c r="S29" s="76"/>
      <c r="T29" s="80"/>
      <c r="U29" s="76"/>
      <c r="V29" s="76"/>
      <c r="W29" s="82"/>
      <c r="X29" s="76"/>
      <c r="Y29" s="76"/>
      <c r="Z29" s="80"/>
      <c r="AA29" s="76"/>
      <c r="AB29" s="76"/>
      <c r="AC29" s="85"/>
      <c r="AD29" s="76"/>
      <c r="AE29" s="76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84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ht="15" x14ac:dyDescent="0.2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A37:AA37"/>
    <mergeCell ref="R38:AA38"/>
    <mergeCell ref="R39:AA39"/>
    <mergeCell ref="R40:AA40"/>
    <mergeCell ref="BX4:BY4"/>
    <mergeCell ref="A39:H39"/>
    <mergeCell ref="A40:H40"/>
    <mergeCell ref="A38:H38"/>
    <mergeCell ref="E4:G4"/>
    <mergeCell ref="I4:I5"/>
    <mergeCell ref="BN4:BO4"/>
    <mergeCell ref="BP4:BQ4"/>
    <mergeCell ref="BR4:BS4"/>
    <mergeCell ref="AE4:AE5"/>
    <mergeCell ref="AF4:AR4"/>
    <mergeCell ref="AS4:BE4"/>
    <mergeCell ref="BZ4:BZ5"/>
    <mergeCell ref="CA4:CA5"/>
    <mergeCell ref="A35:AA35"/>
    <mergeCell ref="A36:AA36"/>
    <mergeCell ref="BI4:BI5"/>
    <mergeCell ref="BJ4:BL4"/>
    <mergeCell ref="BM4:BM5"/>
    <mergeCell ref="BT4:BU4"/>
    <mergeCell ref="BV4:BW4"/>
    <mergeCell ref="Y4:Y5"/>
    <mergeCell ref="B4:D4"/>
    <mergeCell ref="T4:T5"/>
    <mergeCell ref="X4:X5"/>
    <mergeCell ref="U4:U5"/>
    <mergeCell ref="A4:A5"/>
    <mergeCell ref="J4:J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44:M44"/>
    <mergeCell ref="C45:M45"/>
    <mergeCell ref="C46:M46"/>
    <mergeCell ref="C47:M47"/>
    <mergeCell ref="C48:M48"/>
    <mergeCell ref="C54:M54"/>
    <mergeCell ref="C49:M49"/>
    <mergeCell ref="C50:M50"/>
    <mergeCell ref="C51:M51"/>
    <mergeCell ref="C52:M52"/>
    <mergeCell ref="C53:M53"/>
    <mergeCell ref="BF4:BH4"/>
    <mergeCell ref="A2:L3"/>
    <mergeCell ref="M4:M5"/>
    <mergeCell ref="V4:V5"/>
    <mergeCell ref="W4:W5"/>
    <mergeCell ref="K4:K5"/>
    <mergeCell ref="L4:L5"/>
    <mergeCell ref="N4:P4"/>
    <mergeCell ref="Q4:S4"/>
  </mergeCells>
  <phoneticPr fontId="5" type="noConversion"/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7" zoomScale="90" zoomScaleNormal="90" workbookViewId="0">
      <pane xSplit="1" topLeftCell="BL1" activePane="topRight" state="frozen"/>
      <selection pane="topRight" activeCell="BP27" sqref="BP27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'11'!BV1:CC1+1</f>
        <v>46185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100.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58" customHeight="1" x14ac:dyDescent="0.35">
      <c r="A5" s="208"/>
      <c r="B5" s="112" t="s">
        <v>43</v>
      </c>
      <c r="C5" s="112" t="s">
        <v>42</v>
      </c>
      <c r="D5" s="112" t="s">
        <v>41</v>
      </c>
      <c r="E5" s="112" t="s">
        <v>43</v>
      </c>
      <c r="F5" s="112" t="s">
        <v>42</v>
      </c>
      <c r="G5" s="112" t="s">
        <v>41</v>
      </c>
      <c r="H5" s="112" t="s">
        <v>141</v>
      </c>
      <c r="I5" s="207"/>
      <c r="J5" s="207"/>
      <c r="K5" s="207"/>
      <c r="L5" s="207"/>
      <c r="M5" s="207"/>
      <c r="N5" s="112" t="s">
        <v>43</v>
      </c>
      <c r="O5" s="112" t="s">
        <v>42</v>
      </c>
      <c r="P5" s="112" t="s">
        <v>41</v>
      </c>
      <c r="Q5" s="112" t="s">
        <v>43</v>
      </c>
      <c r="R5" s="112" t="s">
        <v>42</v>
      </c>
      <c r="S5" s="112" t="s">
        <v>41</v>
      </c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94" t="s">
        <v>177</v>
      </c>
      <c r="AG5" s="94" t="s">
        <v>178</v>
      </c>
      <c r="AH5" s="94" t="s">
        <v>179</v>
      </c>
      <c r="AI5" s="94" t="s">
        <v>213</v>
      </c>
      <c r="AJ5" s="94" t="s">
        <v>187</v>
      </c>
      <c r="AK5" s="94" t="s">
        <v>189</v>
      </c>
      <c r="AL5" s="94" t="s">
        <v>190</v>
      </c>
      <c r="AM5" s="94" t="s">
        <v>214</v>
      </c>
      <c r="AN5" s="94" t="s">
        <v>215</v>
      </c>
      <c r="AO5" s="94" t="s">
        <v>216</v>
      </c>
      <c r="AP5" s="94" t="s">
        <v>180</v>
      </c>
      <c r="AQ5" s="94" t="s">
        <v>181</v>
      </c>
      <c r="AR5" s="94" t="s">
        <v>182</v>
      </c>
      <c r="AS5" s="94" t="s">
        <v>177</v>
      </c>
      <c r="AT5" s="94" t="s">
        <v>178</v>
      </c>
      <c r="AU5" s="94" t="s">
        <v>179</v>
      </c>
      <c r="AV5" s="94" t="s">
        <v>213</v>
      </c>
      <c r="AW5" s="94" t="s">
        <v>187</v>
      </c>
      <c r="AX5" s="94" t="s">
        <v>189</v>
      </c>
      <c r="AY5" s="94" t="s">
        <v>190</v>
      </c>
      <c r="AZ5" s="94" t="s">
        <v>214</v>
      </c>
      <c r="BA5" s="94" t="s">
        <v>215</v>
      </c>
      <c r="BB5" s="94" t="s">
        <v>216</v>
      </c>
      <c r="BC5" s="94" t="s">
        <v>180</v>
      </c>
      <c r="BD5" s="94" t="s">
        <v>181</v>
      </c>
      <c r="BE5" s="94" t="s">
        <v>182</v>
      </c>
      <c r="BF5" s="112" t="s">
        <v>66</v>
      </c>
      <c r="BG5" s="112" t="s">
        <v>67</v>
      </c>
      <c r="BH5" s="112" t="s">
        <v>157</v>
      </c>
      <c r="BI5" s="206"/>
      <c r="BJ5" s="112" t="s">
        <v>66</v>
      </c>
      <c r="BK5" s="112" t="s">
        <v>67</v>
      </c>
      <c r="BL5" s="112" t="s">
        <v>139</v>
      </c>
      <c r="BM5" s="207"/>
      <c r="BN5" s="113" t="s">
        <v>64</v>
      </c>
      <c r="BO5" s="112" t="s">
        <v>65</v>
      </c>
      <c r="BP5" s="112" t="s">
        <v>64</v>
      </c>
      <c r="BQ5" s="112" t="s">
        <v>65</v>
      </c>
      <c r="BR5" s="112" t="s">
        <v>64</v>
      </c>
      <c r="BS5" s="112" t="s">
        <v>65</v>
      </c>
      <c r="BT5" s="112" t="s">
        <v>64</v>
      </c>
      <c r="BU5" s="112" t="s">
        <v>65</v>
      </c>
      <c r="BV5" s="112" t="s">
        <v>64</v>
      </c>
      <c r="BW5" s="112" t="s">
        <v>65</v>
      </c>
      <c r="BX5" s="114" t="s">
        <v>64</v>
      </c>
      <c r="BY5" s="114" t="s">
        <v>65</v>
      </c>
      <c r="BZ5" s="207"/>
      <c r="CA5" s="207"/>
      <c r="CB5" s="182"/>
      <c r="CC5" s="185"/>
    </row>
    <row r="6" spans="1:81" ht="17.25" customHeight="1" x14ac:dyDescent="0.35">
      <c r="A6" s="32">
        <v>0</v>
      </c>
      <c r="B6" s="33"/>
      <c r="C6" s="33"/>
      <c r="D6" s="33"/>
      <c r="E6" s="33"/>
      <c r="F6" s="33"/>
      <c r="G6" s="33"/>
      <c r="H6" s="33"/>
      <c r="I6" s="33"/>
      <c r="J6" s="32"/>
      <c r="K6" s="32"/>
      <c r="L6" s="32"/>
      <c r="M6" s="109"/>
      <c r="N6" s="76"/>
      <c r="O6" s="76"/>
      <c r="P6" s="76"/>
      <c r="Q6" s="76"/>
      <c r="R6" s="76"/>
      <c r="S6" s="76"/>
      <c r="T6" s="80"/>
      <c r="U6" s="76"/>
      <c r="V6" s="76"/>
      <c r="W6" s="82"/>
      <c r="X6" s="76"/>
      <c r="Y6" s="76"/>
      <c r="Z6" s="80"/>
      <c r="AA6" s="76"/>
      <c r="AB6" s="76"/>
      <c r="AC6" s="85"/>
      <c r="AD6" s="76"/>
      <c r="AE6" s="76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</row>
    <row r="7" spans="1:81" ht="16.5" customHeight="1" x14ac:dyDescent="0.35">
      <c r="A7" s="32">
        <v>4.1666666666666664E-2</v>
      </c>
      <c r="B7" s="33"/>
      <c r="C7" s="33"/>
      <c r="D7" s="33"/>
      <c r="E7" s="33"/>
      <c r="F7" s="33"/>
      <c r="G7" s="33"/>
      <c r="H7" s="33"/>
      <c r="I7" s="33"/>
      <c r="J7" s="32"/>
      <c r="K7" s="32"/>
      <c r="L7" s="32"/>
      <c r="M7" s="109"/>
      <c r="N7" s="76"/>
      <c r="O7" s="76"/>
      <c r="P7" s="76"/>
      <c r="Q7" s="76"/>
      <c r="R7" s="76"/>
      <c r="S7" s="76"/>
      <c r="T7" s="80"/>
      <c r="U7" s="76"/>
      <c r="V7" s="76"/>
      <c r="W7" s="82"/>
      <c r="X7" s="76"/>
      <c r="Y7" s="76"/>
      <c r="Z7" s="80"/>
      <c r="AA7" s="76"/>
      <c r="AB7" s="76"/>
      <c r="AC7" s="85"/>
      <c r="AD7" s="76"/>
      <c r="AE7" s="76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</row>
    <row r="8" spans="1:81" ht="17.25" customHeight="1" x14ac:dyDescent="0.35">
      <c r="A8" s="32">
        <v>8.3333333333333329E-2</v>
      </c>
      <c r="B8" s="33"/>
      <c r="C8" s="33"/>
      <c r="D8" s="33"/>
      <c r="E8" s="33"/>
      <c r="F8" s="33"/>
      <c r="G8" s="33"/>
      <c r="H8" s="33"/>
      <c r="I8" s="33"/>
      <c r="J8" s="32"/>
      <c r="K8" s="32"/>
      <c r="L8" s="32"/>
      <c r="M8" s="109"/>
      <c r="N8" s="76"/>
      <c r="O8" s="76"/>
      <c r="P8" s="76"/>
      <c r="Q8" s="76"/>
      <c r="R8" s="76"/>
      <c r="S8" s="76"/>
      <c r="T8" s="80"/>
      <c r="U8" s="76"/>
      <c r="V8" s="76"/>
      <c r="W8" s="82"/>
      <c r="X8" s="76"/>
      <c r="Y8" s="76"/>
      <c r="Z8" s="80"/>
      <c r="AA8" s="76"/>
      <c r="AB8" s="76"/>
      <c r="AC8" s="85"/>
      <c r="AD8" s="76"/>
      <c r="AE8" s="76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</row>
    <row r="9" spans="1:81" ht="15.75" customHeight="1" x14ac:dyDescent="0.35">
      <c r="A9" s="32">
        <v>0.125</v>
      </c>
      <c r="B9" s="33"/>
      <c r="C9" s="33"/>
      <c r="D9" s="33"/>
      <c r="E9" s="33"/>
      <c r="F9" s="33"/>
      <c r="G9" s="33"/>
      <c r="H9" s="33"/>
      <c r="I9" s="33"/>
      <c r="J9" s="32"/>
      <c r="K9" s="32"/>
      <c r="L9" s="32"/>
      <c r="M9" s="109"/>
      <c r="N9" s="76"/>
      <c r="O9" s="76"/>
      <c r="P9" s="76"/>
      <c r="Q9" s="76"/>
      <c r="R9" s="76"/>
      <c r="S9" s="76"/>
      <c r="T9" s="80"/>
      <c r="U9" s="76"/>
      <c r="V9" s="76"/>
      <c r="W9" s="82"/>
      <c r="X9" s="76"/>
      <c r="Y9" s="76"/>
      <c r="Z9" s="80"/>
      <c r="AA9" s="76"/>
      <c r="AB9" s="76"/>
      <c r="AC9" s="85"/>
      <c r="AD9" s="76"/>
      <c r="AE9" s="76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</row>
    <row r="10" spans="1:81" ht="17.25" customHeight="1" x14ac:dyDescent="0.35">
      <c r="A10" s="32">
        <v>0.16666666666666699</v>
      </c>
      <c r="B10" s="33"/>
      <c r="C10" s="33"/>
      <c r="D10" s="33"/>
      <c r="E10" s="33"/>
      <c r="F10" s="33"/>
      <c r="G10" s="33"/>
      <c r="H10" s="33"/>
      <c r="I10" s="33"/>
      <c r="J10" s="32"/>
      <c r="K10" s="32"/>
      <c r="L10" s="32"/>
      <c r="M10" s="109"/>
      <c r="N10" s="76"/>
      <c r="O10" s="76"/>
      <c r="P10" s="76"/>
      <c r="Q10" s="76"/>
      <c r="R10" s="76"/>
      <c r="S10" s="76"/>
      <c r="T10" s="80"/>
      <c r="U10" s="76"/>
      <c r="V10" s="76"/>
      <c r="W10" s="82"/>
      <c r="X10" s="76"/>
      <c r="Y10" s="76"/>
      <c r="Z10" s="80"/>
      <c r="AA10" s="76"/>
      <c r="AB10" s="76"/>
      <c r="AC10" s="85"/>
      <c r="AD10" s="76"/>
      <c r="AE10" s="76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</row>
    <row r="11" spans="1:81" ht="18" customHeight="1" x14ac:dyDescent="0.35">
      <c r="A11" s="32">
        <v>0.20833333333333301</v>
      </c>
      <c r="B11" s="33"/>
      <c r="C11" s="33"/>
      <c r="D11" s="33"/>
      <c r="E11" s="33"/>
      <c r="F11" s="33"/>
      <c r="G11" s="33"/>
      <c r="H11" s="33"/>
      <c r="I11" s="33"/>
      <c r="J11" s="32"/>
      <c r="K11" s="32"/>
      <c r="L11" s="32"/>
      <c r="M11" s="109"/>
      <c r="N11" s="76"/>
      <c r="O11" s="76"/>
      <c r="P11" s="76"/>
      <c r="Q11" s="76"/>
      <c r="R11" s="76"/>
      <c r="S11" s="76"/>
      <c r="T11" s="80"/>
      <c r="U11" s="76"/>
      <c r="V11" s="76"/>
      <c r="W11" s="82"/>
      <c r="X11" s="76"/>
      <c r="Y11" s="76"/>
      <c r="Z11" s="80"/>
      <c r="AA11" s="76"/>
      <c r="AB11" s="76"/>
      <c r="AC11" s="85"/>
      <c r="AD11" s="76"/>
      <c r="AE11" s="76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</row>
    <row r="12" spans="1:81" ht="17.25" customHeight="1" x14ac:dyDescent="0.35">
      <c r="A12" s="32">
        <v>0.25</v>
      </c>
      <c r="B12" s="33"/>
      <c r="C12" s="33"/>
      <c r="D12" s="33"/>
      <c r="E12" s="33"/>
      <c r="F12" s="33"/>
      <c r="G12" s="33"/>
      <c r="H12" s="33"/>
      <c r="I12" s="33"/>
      <c r="J12" s="32"/>
      <c r="K12" s="32"/>
      <c r="L12" s="32"/>
      <c r="M12" s="109"/>
      <c r="N12" s="76"/>
      <c r="O12" s="76"/>
      <c r="P12" s="76"/>
      <c r="Q12" s="76"/>
      <c r="R12" s="76"/>
      <c r="S12" s="76"/>
      <c r="T12" s="80"/>
      <c r="U12" s="76"/>
      <c r="V12" s="76"/>
      <c r="W12" s="82"/>
      <c r="X12" s="76"/>
      <c r="Y12" s="76"/>
      <c r="Z12" s="80"/>
      <c r="AA12" s="76"/>
      <c r="AB12" s="76"/>
      <c r="AC12" s="85"/>
      <c r="AD12" s="76"/>
      <c r="AE12" s="76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</row>
    <row r="13" spans="1:81" ht="15.75" customHeight="1" x14ac:dyDescent="0.35">
      <c r="A13" s="32">
        <v>0.29166666666666702</v>
      </c>
      <c r="B13" s="33"/>
      <c r="C13" s="33"/>
      <c r="D13" s="33"/>
      <c r="E13" s="33"/>
      <c r="F13" s="33"/>
      <c r="G13" s="33"/>
      <c r="H13" s="33"/>
      <c r="I13" s="33"/>
      <c r="J13" s="32"/>
      <c r="K13" s="32"/>
      <c r="L13" s="32"/>
      <c r="M13" s="109"/>
      <c r="N13" s="76"/>
      <c r="O13" s="76"/>
      <c r="P13" s="76"/>
      <c r="Q13" s="76"/>
      <c r="R13" s="76"/>
      <c r="S13" s="76"/>
      <c r="T13" s="80"/>
      <c r="U13" s="76"/>
      <c r="V13" s="76"/>
      <c r="W13" s="82"/>
      <c r="X13" s="76"/>
      <c r="Y13" s="76"/>
      <c r="Z13" s="80"/>
      <c r="AA13" s="76"/>
      <c r="AB13" s="76"/>
      <c r="AC13" s="85"/>
      <c r="AD13" s="76"/>
      <c r="AE13" s="76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</row>
    <row r="14" spans="1:81" ht="15.75" customHeight="1" x14ac:dyDescent="0.35">
      <c r="A14" s="32">
        <v>0.33333333333333331</v>
      </c>
      <c r="B14" s="33"/>
      <c r="C14" s="33"/>
      <c r="D14" s="33"/>
      <c r="E14" s="33"/>
      <c r="F14" s="33"/>
      <c r="G14" s="33"/>
      <c r="H14" s="33"/>
      <c r="I14" s="33"/>
      <c r="J14" s="32"/>
      <c r="K14" s="32"/>
      <c r="L14" s="32"/>
      <c r="M14" s="109"/>
      <c r="N14" s="76"/>
      <c r="O14" s="76"/>
      <c r="P14" s="76"/>
      <c r="Q14" s="76"/>
      <c r="R14" s="76"/>
      <c r="S14" s="76"/>
      <c r="T14" s="80"/>
      <c r="U14" s="76"/>
      <c r="V14" s="76"/>
      <c r="W14" s="82"/>
      <c r="X14" s="76"/>
      <c r="Y14" s="76"/>
      <c r="Z14" s="80"/>
      <c r="AA14" s="76"/>
      <c r="AB14" s="76"/>
      <c r="AC14" s="85"/>
      <c r="AD14" s="76"/>
      <c r="AE14" s="76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</row>
    <row r="15" spans="1:81" ht="17.25" customHeight="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33"/>
      <c r="J15" s="32"/>
      <c r="K15" s="32"/>
      <c r="L15" s="32"/>
      <c r="M15" s="33"/>
      <c r="N15" s="76"/>
      <c r="O15" s="76"/>
      <c r="P15" s="76"/>
      <c r="Q15" s="76"/>
      <c r="R15" s="76"/>
      <c r="S15" s="76"/>
      <c r="T15" s="80"/>
      <c r="U15" s="76"/>
      <c r="V15" s="76"/>
      <c r="W15" s="82"/>
      <c r="X15" s="76"/>
      <c r="Y15" s="76"/>
      <c r="Z15" s="80"/>
      <c r="AA15" s="76"/>
      <c r="AB15" s="76"/>
      <c r="AC15" s="85"/>
      <c r="AD15" s="76"/>
      <c r="AE15" s="76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33"/>
      <c r="BG15" s="33"/>
      <c r="BH15" s="33"/>
      <c r="BI15" s="33"/>
      <c r="BJ15" s="33"/>
      <c r="BK15" s="33"/>
      <c r="BL15" s="33"/>
      <c r="BM15" s="33"/>
      <c r="BN15" s="84"/>
      <c r="BO15" s="84"/>
      <c r="BP15" s="33"/>
      <c r="BQ15" s="33"/>
      <c r="BR15" s="33"/>
      <c r="BS15" s="33"/>
      <c r="BT15" s="84"/>
      <c r="BU15" s="33"/>
      <c r="BV15" s="84"/>
      <c r="BW15" s="33"/>
      <c r="BX15" s="84"/>
      <c r="BY15" s="33"/>
      <c r="BZ15" s="33"/>
      <c r="CA15" s="33"/>
      <c r="CB15" s="33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33"/>
      <c r="J16" s="32"/>
      <c r="K16" s="32"/>
      <c r="L16" s="32"/>
      <c r="M16" s="33"/>
      <c r="N16" s="76"/>
      <c r="O16" s="76"/>
      <c r="P16" s="76"/>
      <c r="Q16" s="76"/>
      <c r="R16" s="76"/>
      <c r="S16" s="76"/>
      <c r="T16" s="80"/>
      <c r="U16" s="76"/>
      <c r="V16" s="76"/>
      <c r="W16" s="82"/>
      <c r="X16" s="76"/>
      <c r="Y16" s="76"/>
      <c r="Z16" s="80"/>
      <c r="AA16" s="76"/>
      <c r="AB16" s="76"/>
      <c r="AC16" s="85"/>
      <c r="AD16" s="76"/>
      <c r="AE16" s="76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33"/>
      <c r="BG16" s="33"/>
      <c r="BH16" s="33"/>
      <c r="BI16" s="33"/>
      <c r="BJ16" s="33"/>
      <c r="BK16" s="33"/>
      <c r="BL16" s="33"/>
      <c r="BM16" s="33"/>
      <c r="BN16" s="84"/>
      <c r="BO16" s="84"/>
      <c r="BP16" s="33"/>
      <c r="BQ16" s="33"/>
      <c r="BR16" s="33"/>
      <c r="BS16" s="33"/>
      <c r="BT16" s="84"/>
      <c r="BU16" s="33"/>
      <c r="BV16" s="84"/>
      <c r="BW16" s="33"/>
      <c r="BX16" s="84"/>
      <c r="BY16" s="33"/>
      <c r="BZ16" s="33"/>
      <c r="CA16" s="33"/>
      <c r="CB16" s="33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33"/>
      <c r="I17" s="33"/>
      <c r="J17" s="32"/>
      <c r="K17" s="32"/>
      <c r="L17" s="32"/>
      <c r="M17" s="33"/>
      <c r="N17" s="76"/>
      <c r="O17" s="76"/>
      <c r="P17" s="76"/>
      <c r="Q17" s="76"/>
      <c r="R17" s="76"/>
      <c r="S17" s="76"/>
      <c r="T17" s="80"/>
      <c r="U17" s="76"/>
      <c r="V17" s="76"/>
      <c r="W17" s="82"/>
      <c r="X17" s="76"/>
      <c r="Y17" s="76"/>
      <c r="Z17" s="80"/>
      <c r="AA17" s="76"/>
      <c r="AB17" s="76"/>
      <c r="AC17" s="85"/>
      <c r="AD17" s="76"/>
      <c r="AE17" s="76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33"/>
      <c r="BG17" s="33"/>
      <c r="BH17" s="33"/>
      <c r="BI17" s="33"/>
      <c r="BJ17" s="33"/>
      <c r="BK17" s="33"/>
      <c r="BL17" s="33"/>
      <c r="BM17" s="33"/>
      <c r="BN17" s="84"/>
      <c r="BO17" s="84"/>
      <c r="BP17" s="33"/>
      <c r="BQ17" s="33"/>
      <c r="BR17" s="33"/>
      <c r="BS17" s="33"/>
      <c r="BT17" s="84"/>
      <c r="BU17" s="33"/>
      <c r="BV17" s="84"/>
      <c r="BW17" s="33"/>
      <c r="BX17" s="84"/>
      <c r="BY17" s="33"/>
      <c r="BZ17" s="33"/>
      <c r="CA17" s="33"/>
      <c r="CB17" s="33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33"/>
      <c r="I18" s="33"/>
      <c r="J18" s="32"/>
      <c r="K18" s="32"/>
      <c r="L18" s="32"/>
      <c r="M18" s="33"/>
      <c r="N18" s="76"/>
      <c r="O18" s="76"/>
      <c r="P18" s="76"/>
      <c r="Q18" s="76"/>
      <c r="R18" s="76"/>
      <c r="S18" s="76"/>
      <c r="T18" s="80"/>
      <c r="U18" s="76"/>
      <c r="V18" s="76"/>
      <c r="W18" s="82"/>
      <c r="X18" s="76"/>
      <c r="Y18" s="76"/>
      <c r="Z18" s="80"/>
      <c r="AA18" s="76"/>
      <c r="AB18" s="76"/>
      <c r="AC18" s="85"/>
      <c r="AD18" s="76"/>
      <c r="AE18" s="76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33"/>
      <c r="BG18" s="33"/>
      <c r="BH18" s="33"/>
      <c r="BI18" s="33"/>
      <c r="BJ18" s="33"/>
      <c r="BK18" s="33"/>
      <c r="BL18" s="33"/>
      <c r="BM18" s="33"/>
      <c r="BN18" s="84"/>
      <c r="BO18" s="84"/>
      <c r="BP18" s="33"/>
      <c r="BQ18" s="33"/>
      <c r="BR18" s="33"/>
      <c r="BS18" s="33"/>
      <c r="BT18" s="84"/>
      <c r="BU18" s="33"/>
      <c r="BV18" s="84"/>
      <c r="BW18" s="33"/>
      <c r="BX18" s="84"/>
      <c r="BY18" s="33"/>
      <c r="BZ18" s="33"/>
      <c r="CA18" s="33"/>
      <c r="CB18" s="33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33"/>
      <c r="I19" s="33"/>
      <c r="J19" s="32"/>
      <c r="K19" s="32"/>
      <c r="L19" s="32"/>
      <c r="M19" s="33"/>
      <c r="N19" s="76"/>
      <c r="O19" s="76"/>
      <c r="P19" s="76"/>
      <c r="Q19" s="76"/>
      <c r="R19" s="76"/>
      <c r="S19" s="76"/>
      <c r="T19" s="80"/>
      <c r="U19" s="76"/>
      <c r="V19" s="76"/>
      <c r="W19" s="82"/>
      <c r="X19" s="76"/>
      <c r="Y19" s="76"/>
      <c r="Z19" s="80"/>
      <c r="AA19" s="76"/>
      <c r="AB19" s="76"/>
      <c r="AC19" s="85"/>
      <c r="AD19" s="76"/>
      <c r="AE19" s="76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33"/>
      <c r="BG19" s="33"/>
      <c r="BH19" s="33"/>
      <c r="BI19" s="33"/>
      <c r="BJ19" s="33"/>
      <c r="BK19" s="33"/>
      <c r="BL19" s="33"/>
      <c r="BM19" s="33"/>
      <c r="BN19" s="84"/>
      <c r="BO19" s="84"/>
      <c r="BP19" s="33"/>
      <c r="BQ19" s="33"/>
      <c r="BR19" s="33"/>
      <c r="BS19" s="33"/>
      <c r="BT19" s="84"/>
      <c r="BU19" s="33"/>
      <c r="BV19" s="84"/>
      <c r="BW19" s="33"/>
      <c r="BX19" s="84"/>
      <c r="BY19" s="33"/>
      <c r="BZ19" s="33"/>
      <c r="CA19" s="33"/>
      <c r="CB19" s="33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33"/>
      <c r="I20" s="33"/>
      <c r="J20" s="32"/>
      <c r="K20" s="32"/>
      <c r="L20" s="32"/>
      <c r="M20" s="33"/>
      <c r="N20" s="76"/>
      <c r="O20" s="76"/>
      <c r="P20" s="76"/>
      <c r="Q20" s="76"/>
      <c r="R20" s="76"/>
      <c r="S20" s="76"/>
      <c r="T20" s="80"/>
      <c r="U20" s="76"/>
      <c r="V20" s="76"/>
      <c r="W20" s="82"/>
      <c r="X20" s="76"/>
      <c r="Y20" s="76"/>
      <c r="Z20" s="80"/>
      <c r="AA20" s="76"/>
      <c r="AB20" s="76"/>
      <c r="AC20" s="85"/>
      <c r="AD20" s="76"/>
      <c r="AE20" s="76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33"/>
      <c r="BG20" s="33"/>
      <c r="BH20" s="33"/>
      <c r="BI20" s="33"/>
      <c r="BJ20" s="33"/>
      <c r="BK20" s="33"/>
      <c r="BL20" s="33"/>
      <c r="BM20" s="33"/>
      <c r="BN20" s="84"/>
      <c r="BO20" s="84"/>
      <c r="BP20" s="33"/>
      <c r="BQ20" s="33"/>
      <c r="BR20" s="33"/>
      <c r="BS20" s="33"/>
      <c r="BT20" s="84"/>
      <c r="BU20" s="33"/>
      <c r="BV20" s="84"/>
      <c r="BW20" s="33"/>
      <c r="BX20" s="84"/>
      <c r="BY20" s="33"/>
      <c r="BZ20" s="33"/>
      <c r="CA20" s="33"/>
      <c r="CB20" s="33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33"/>
      <c r="I21" s="33"/>
      <c r="J21" s="32"/>
      <c r="K21" s="32"/>
      <c r="L21" s="32"/>
      <c r="M21" s="33"/>
      <c r="N21" s="76"/>
      <c r="O21" s="76"/>
      <c r="P21" s="76"/>
      <c r="Q21" s="76"/>
      <c r="R21" s="76"/>
      <c r="S21" s="76"/>
      <c r="T21" s="80"/>
      <c r="U21" s="76"/>
      <c r="V21" s="76"/>
      <c r="W21" s="82"/>
      <c r="X21" s="76"/>
      <c r="Y21" s="76"/>
      <c r="Z21" s="80"/>
      <c r="AA21" s="76"/>
      <c r="AB21" s="76"/>
      <c r="AC21" s="85"/>
      <c r="AD21" s="76"/>
      <c r="AE21" s="76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33"/>
      <c r="BG21" s="33"/>
      <c r="BH21" s="33"/>
      <c r="BI21" s="33"/>
      <c r="BJ21" s="33"/>
      <c r="BK21" s="33"/>
      <c r="BL21" s="33"/>
      <c r="BM21" s="33"/>
      <c r="BN21" s="84"/>
      <c r="BO21" s="84"/>
      <c r="BP21" s="33"/>
      <c r="BQ21" s="33"/>
      <c r="BR21" s="33"/>
      <c r="BS21" s="33"/>
      <c r="BT21" s="84"/>
      <c r="BU21" s="33"/>
      <c r="BV21" s="84"/>
      <c r="BW21" s="33"/>
      <c r="BX21" s="84"/>
      <c r="BY21" s="33"/>
      <c r="BZ21" s="33"/>
      <c r="CA21" s="33"/>
      <c r="CB21" s="33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33"/>
      <c r="I22" s="33"/>
      <c r="J22" s="32"/>
      <c r="K22" s="32"/>
      <c r="L22" s="32"/>
      <c r="M22" s="33"/>
      <c r="N22" s="76"/>
      <c r="O22" s="76"/>
      <c r="P22" s="76"/>
      <c r="Q22" s="76"/>
      <c r="R22" s="76"/>
      <c r="S22" s="76"/>
      <c r="T22" s="80"/>
      <c r="U22" s="76"/>
      <c r="V22" s="76"/>
      <c r="W22" s="82"/>
      <c r="X22" s="76"/>
      <c r="Y22" s="76"/>
      <c r="Z22" s="80"/>
      <c r="AA22" s="76"/>
      <c r="AB22" s="76"/>
      <c r="AC22" s="85"/>
      <c r="AD22" s="76"/>
      <c r="AE22" s="76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33"/>
      <c r="BG22" s="33"/>
      <c r="BH22" s="33"/>
      <c r="BI22" s="33"/>
      <c r="BJ22" s="33"/>
      <c r="BK22" s="33"/>
      <c r="BL22" s="33"/>
      <c r="BM22" s="33"/>
      <c r="BN22" s="84"/>
      <c r="BO22" s="84"/>
      <c r="BP22" s="33"/>
      <c r="BQ22" s="33"/>
      <c r="BR22" s="33"/>
      <c r="BS22" s="33"/>
      <c r="BT22" s="84"/>
      <c r="BU22" s="33"/>
      <c r="BV22" s="84"/>
      <c r="BW22" s="33"/>
      <c r="BX22" s="84"/>
      <c r="BY22" s="33"/>
      <c r="BZ22" s="33"/>
      <c r="CA22" s="33"/>
      <c r="CB22" s="33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33"/>
      <c r="I23" s="33"/>
      <c r="J23" s="32"/>
      <c r="K23" s="32"/>
      <c r="L23" s="32"/>
      <c r="M23" s="33"/>
      <c r="N23" s="76"/>
      <c r="O23" s="76"/>
      <c r="P23" s="76"/>
      <c r="Q23" s="76"/>
      <c r="R23" s="76"/>
      <c r="S23" s="76"/>
      <c r="T23" s="80"/>
      <c r="U23" s="76"/>
      <c r="V23" s="76"/>
      <c r="W23" s="82"/>
      <c r="X23" s="76"/>
      <c r="Y23" s="76"/>
      <c r="Z23" s="80"/>
      <c r="AA23" s="76"/>
      <c r="AB23" s="76"/>
      <c r="AC23" s="85"/>
      <c r="AD23" s="76"/>
      <c r="AE23" s="76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33"/>
      <c r="BG23" s="33"/>
      <c r="BH23" s="33"/>
      <c r="BI23" s="33"/>
      <c r="BJ23" s="33"/>
      <c r="BK23" s="33"/>
      <c r="BL23" s="33"/>
      <c r="BM23" s="33"/>
      <c r="BN23" s="84"/>
      <c r="BO23" s="84"/>
      <c r="BP23" s="84"/>
      <c r="BQ23" s="84"/>
      <c r="BR23" s="33"/>
      <c r="BS23" s="33"/>
      <c r="BT23" s="84"/>
      <c r="BU23" s="33"/>
      <c r="BV23" s="84"/>
      <c r="BW23" s="33"/>
      <c r="BX23" s="84"/>
      <c r="BY23" s="33"/>
      <c r="BZ23" s="33"/>
      <c r="CA23" s="33"/>
      <c r="CB23" s="33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33"/>
      <c r="I24" s="33"/>
      <c r="J24" s="32"/>
      <c r="K24" s="32"/>
      <c r="L24" s="32"/>
      <c r="M24" s="33"/>
      <c r="N24" s="76"/>
      <c r="O24" s="76"/>
      <c r="P24" s="76"/>
      <c r="Q24" s="76"/>
      <c r="R24" s="76"/>
      <c r="S24" s="76"/>
      <c r="T24" s="80"/>
      <c r="U24" s="76"/>
      <c r="V24" s="76"/>
      <c r="W24" s="82"/>
      <c r="X24" s="76"/>
      <c r="Y24" s="76"/>
      <c r="Z24" s="80"/>
      <c r="AA24" s="76"/>
      <c r="AB24" s="76"/>
      <c r="AC24" s="85"/>
      <c r="AD24" s="76"/>
      <c r="AE24" s="76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33"/>
      <c r="BG24" s="33"/>
      <c r="BH24" s="33"/>
      <c r="BI24" s="33"/>
      <c r="BJ24" s="33"/>
      <c r="BK24" s="33"/>
      <c r="BL24" s="33"/>
      <c r="BM24" s="33"/>
      <c r="BN24" s="84"/>
      <c r="BO24" s="84"/>
      <c r="BP24" s="84"/>
      <c r="BQ24" s="84"/>
      <c r="BR24" s="33"/>
      <c r="BS24" s="33"/>
      <c r="BT24" s="84"/>
      <c r="BU24" s="33"/>
      <c r="BV24" s="84"/>
      <c r="BW24" s="33"/>
      <c r="BX24" s="84"/>
      <c r="BY24" s="33"/>
      <c r="BZ24" s="33"/>
      <c r="CA24" s="33"/>
      <c r="CB24" s="33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33"/>
      <c r="J25" s="32"/>
      <c r="K25" s="32"/>
      <c r="L25" s="32"/>
      <c r="M25" s="109"/>
      <c r="N25" s="76"/>
      <c r="O25" s="76"/>
      <c r="P25" s="76"/>
      <c r="Q25" s="76"/>
      <c r="R25" s="76"/>
      <c r="S25" s="76"/>
      <c r="T25" s="80"/>
      <c r="U25" s="76"/>
      <c r="V25" s="76"/>
      <c r="W25" s="82"/>
      <c r="X25" s="76"/>
      <c r="Y25" s="76"/>
      <c r="Z25" s="80"/>
      <c r="AA25" s="76"/>
      <c r="AB25" s="76"/>
      <c r="AC25" s="85"/>
      <c r="AD25" s="76"/>
      <c r="AE25" s="76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33"/>
      <c r="BG25" s="33"/>
      <c r="BH25" s="33"/>
      <c r="BI25" s="33"/>
      <c r="BJ25" s="33"/>
      <c r="BK25" s="33"/>
      <c r="BL25" s="33"/>
      <c r="BM25" s="33"/>
      <c r="BN25" s="84"/>
      <c r="BO25" s="84"/>
      <c r="BP25" s="84"/>
      <c r="BQ25" s="84"/>
      <c r="BR25" s="33"/>
      <c r="BS25" s="33"/>
      <c r="BT25" s="84"/>
      <c r="BU25" s="33"/>
      <c r="BV25" s="84"/>
      <c r="BW25" s="33"/>
      <c r="BX25" s="84"/>
      <c r="BY25" s="33"/>
      <c r="BZ25" s="33"/>
      <c r="CA25" s="33"/>
      <c r="CB25" s="33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33"/>
      <c r="J26" s="32"/>
      <c r="K26" s="32"/>
      <c r="L26" s="32"/>
      <c r="M26" s="109"/>
      <c r="N26" s="76"/>
      <c r="O26" s="76"/>
      <c r="P26" s="76"/>
      <c r="Q26" s="76"/>
      <c r="R26" s="76"/>
      <c r="S26" s="76"/>
      <c r="T26" s="80"/>
      <c r="U26" s="76"/>
      <c r="V26" s="76"/>
      <c r="W26" s="82"/>
      <c r="X26" s="76"/>
      <c r="Y26" s="76"/>
      <c r="Z26" s="80"/>
      <c r="AA26" s="76"/>
      <c r="AB26" s="76"/>
      <c r="AC26" s="85"/>
      <c r="AD26" s="76"/>
      <c r="AE26" s="76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33"/>
      <c r="BG26" s="33"/>
      <c r="BH26" s="33"/>
      <c r="BI26" s="33"/>
      <c r="BJ26" s="33"/>
      <c r="BK26" s="33"/>
      <c r="BL26" s="33"/>
      <c r="BM26" s="33"/>
      <c r="BN26" s="84"/>
      <c r="BO26" s="84"/>
      <c r="BP26" s="84"/>
      <c r="BQ26" s="84"/>
      <c r="BR26" s="33"/>
      <c r="BS26" s="33"/>
      <c r="BT26" s="84"/>
      <c r="BU26" s="33"/>
      <c r="BV26" s="84"/>
      <c r="BW26" s="33"/>
      <c r="BX26" s="84"/>
      <c r="BY26" s="33"/>
      <c r="BZ26" s="33"/>
      <c r="CA26" s="33"/>
      <c r="CB26" s="33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33"/>
      <c r="I27" s="33"/>
      <c r="J27" s="32"/>
      <c r="K27" s="32"/>
      <c r="L27" s="32"/>
      <c r="M27" s="109"/>
      <c r="N27" s="76"/>
      <c r="O27" s="76"/>
      <c r="P27" s="76"/>
      <c r="Q27" s="76"/>
      <c r="R27" s="76"/>
      <c r="S27" s="76"/>
      <c r="T27" s="80"/>
      <c r="U27" s="76"/>
      <c r="V27" s="76"/>
      <c r="W27" s="82"/>
      <c r="X27" s="76"/>
      <c r="Y27" s="76"/>
      <c r="Z27" s="80"/>
      <c r="AA27" s="76"/>
      <c r="AB27" s="76"/>
      <c r="AC27" s="85"/>
      <c r="AD27" s="76"/>
      <c r="AE27" s="76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33"/>
      <c r="BG27" s="33"/>
      <c r="BH27" s="33"/>
      <c r="BI27" s="33"/>
      <c r="BJ27" s="33"/>
      <c r="BK27" s="33"/>
      <c r="BL27" s="33"/>
      <c r="BM27" s="33"/>
      <c r="BN27" s="84"/>
      <c r="BO27" s="84"/>
      <c r="BP27" s="84"/>
      <c r="BQ27" s="84"/>
      <c r="BR27" s="33"/>
      <c r="BS27" s="33"/>
      <c r="BT27" s="84"/>
      <c r="BU27" s="33"/>
      <c r="BV27" s="84"/>
      <c r="BW27" s="33"/>
      <c r="BX27" s="84"/>
      <c r="BY27" s="33"/>
      <c r="BZ27" s="33"/>
      <c r="CA27" s="33"/>
      <c r="CB27" s="33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33"/>
      <c r="I28" s="33"/>
      <c r="J28" s="32"/>
      <c r="K28" s="32"/>
      <c r="L28" s="32"/>
      <c r="M28" s="109"/>
      <c r="N28" s="76"/>
      <c r="O28" s="76"/>
      <c r="P28" s="76"/>
      <c r="Q28" s="76"/>
      <c r="R28" s="76"/>
      <c r="S28" s="76"/>
      <c r="T28" s="80"/>
      <c r="U28" s="76"/>
      <c r="V28" s="76"/>
      <c r="W28" s="82"/>
      <c r="X28" s="76"/>
      <c r="Y28" s="76"/>
      <c r="Z28" s="80"/>
      <c r="AA28" s="76"/>
      <c r="AB28" s="76"/>
      <c r="AC28" s="85"/>
      <c r="AD28" s="76"/>
      <c r="AE28" s="76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33"/>
      <c r="BG28" s="33"/>
      <c r="BH28" s="33"/>
      <c r="BI28" s="33"/>
      <c r="BJ28" s="33"/>
      <c r="BK28" s="33"/>
      <c r="BL28" s="33"/>
      <c r="BM28" s="33"/>
      <c r="BN28" s="84"/>
      <c r="BO28" s="84"/>
      <c r="BP28" s="84"/>
      <c r="BQ28" s="84"/>
      <c r="BR28" s="33"/>
      <c r="BS28" s="33"/>
      <c r="BT28" s="84"/>
      <c r="BU28" s="33"/>
      <c r="BV28" s="84"/>
      <c r="BW28" s="33"/>
      <c r="BX28" s="84"/>
      <c r="BY28" s="33"/>
      <c r="BZ28" s="33"/>
      <c r="CA28" s="33"/>
      <c r="CB28" s="33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33"/>
      <c r="I29" s="33"/>
      <c r="J29" s="32"/>
      <c r="K29" s="32"/>
      <c r="L29" s="32"/>
      <c r="M29" s="109"/>
      <c r="N29" s="76"/>
      <c r="O29" s="76"/>
      <c r="P29" s="76"/>
      <c r="Q29" s="76"/>
      <c r="R29" s="76"/>
      <c r="S29" s="76"/>
      <c r="T29" s="80"/>
      <c r="U29" s="76"/>
      <c r="V29" s="76"/>
      <c r="W29" s="82"/>
      <c r="X29" s="76"/>
      <c r="Y29" s="76"/>
      <c r="Z29" s="80"/>
      <c r="AA29" s="76"/>
      <c r="AB29" s="76"/>
      <c r="AC29" s="85"/>
      <c r="AD29" s="76"/>
      <c r="AE29" s="76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33"/>
      <c r="BG29" s="33"/>
      <c r="BH29" s="33"/>
      <c r="BI29" s="33"/>
      <c r="BJ29" s="33"/>
      <c r="BK29" s="33"/>
      <c r="BL29" s="33"/>
      <c r="BM29" s="33"/>
      <c r="BN29" s="84"/>
      <c r="BO29" s="84"/>
      <c r="BP29" s="84"/>
      <c r="BQ29" s="84"/>
      <c r="BR29" s="33"/>
      <c r="BS29" s="33"/>
      <c r="BT29" s="84"/>
      <c r="BU29" s="33"/>
      <c r="BV29" s="84"/>
      <c r="BW29" s="33"/>
      <c r="BX29" s="84"/>
      <c r="BY29" s="33"/>
      <c r="BZ29" s="33"/>
      <c r="CA29" s="33"/>
      <c r="CB29" s="33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ht="15" x14ac:dyDescent="0.2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ht="15" x14ac:dyDescent="0.2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ht="15" x14ac:dyDescent="0.2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ht="15" x14ac:dyDescent="0.2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ht="15" x14ac:dyDescent="0.2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ht="15" x14ac:dyDescent="0.2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X4:BY4"/>
    <mergeCell ref="BZ4:BZ5"/>
    <mergeCell ref="CA4:CA5"/>
    <mergeCell ref="A35:AA35"/>
    <mergeCell ref="A36:AA36"/>
    <mergeCell ref="BI4:BI5"/>
    <mergeCell ref="BJ4:BL4"/>
    <mergeCell ref="BM4:BM5"/>
    <mergeCell ref="BT4:BU4"/>
    <mergeCell ref="BV4:BW4"/>
    <mergeCell ref="M4:M5"/>
    <mergeCell ref="N4:P4"/>
    <mergeCell ref="Q4:S4"/>
    <mergeCell ref="T4:T5"/>
    <mergeCell ref="U4:U5"/>
    <mergeCell ref="V4:V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37:AA37"/>
    <mergeCell ref="R38:AA38"/>
    <mergeCell ref="R39:AA39"/>
    <mergeCell ref="R40:AA40"/>
    <mergeCell ref="A2:L3"/>
    <mergeCell ref="A4:A5"/>
    <mergeCell ref="B4:D4"/>
    <mergeCell ref="E4:G4"/>
    <mergeCell ref="I4:I5"/>
    <mergeCell ref="J4:J5"/>
    <mergeCell ref="K4:K5"/>
    <mergeCell ref="L4:L5"/>
    <mergeCell ref="BR4:BS4"/>
    <mergeCell ref="X4:X5"/>
    <mergeCell ref="Y4:Y5"/>
    <mergeCell ref="W4:W5"/>
    <mergeCell ref="BN4:BO4"/>
    <mergeCell ref="BP4:BQ4"/>
    <mergeCell ref="AE4:AE5"/>
    <mergeCell ref="AF4:AR4"/>
    <mergeCell ref="AS4:BE4"/>
    <mergeCell ref="BF4:BH4"/>
    <mergeCell ref="C54:M54"/>
    <mergeCell ref="C48:M48"/>
    <mergeCell ref="C49:M49"/>
    <mergeCell ref="C50:M50"/>
    <mergeCell ref="C51:M51"/>
    <mergeCell ref="C52:M52"/>
    <mergeCell ref="C53:M53"/>
    <mergeCell ref="C47:M47"/>
    <mergeCell ref="A38:H38"/>
    <mergeCell ref="A39:H39"/>
    <mergeCell ref="A40:H40"/>
    <mergeCell ref="A44:M44"/>
    <mergeCell ref="C45:M45"/>
    <mergeCell ref="C46:M46"/>
  </mergeCells>
  <conditionalFormatting sqref="I6:I8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5:I22 I25:I29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3:I24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6" zoomScale="80" zoomScaleNormal="80" workbookViewId="0">
      <pane xSplit="1" topLeftCell="BJ1" activePane="topRight" state="frozen"/>
      <selection activeCell="A10" sqref="A10"/>
      <selection pane="topRight" activeCell="BO20" sqref="BO20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'12'!BV1:CC1+1</f>
        <v>46186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100.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58" customHeight="1" x14ac:dyDescent="0.35">
      <c r="A5" s="208"/>
      <c r="B5" s="112" t="s">
        <v>43</v>
      </c>
      <c r="C5" s="112" t="s">
        <v>42</v>
      </c>
      <c r="D5" s="112" t="s">
        <v>41</v>
      </c>
      <c r="E5" s="112" t="s">
        <v>43</v>
      </c>
      <c r="F5" s="112" t="s">
        <v>42</v>
      </c>
      <c r="G5" s="112" t="s">
        <v>41</v>
      </c>
      <c r="H5" s="112" t="s">
        <v>141</v>
      </c>
      <c r="I5" s="207"/>
      <c r="J5" s="207"/>
      <c r="K5" s="207"/>
      <c r="L5" s="207"/>
      <c r="M5" s="207"/>
      <c r="N5" s="112" t="s">
        <v>43</v>
      </c>
      <c r="O5" s="112" t="s">
        <v>42</v>
      </c>
      <c r="P5" s="112" t="s">
        <v>41</v>
      </c>
      <c r="Q5" s="112" t="s">
        <v>43</v>
      </c>
      <c r="R5" s="112" t="s">
        <v>42</v>
      </c>
      <c r="S5" s="112" t="s">
        <v>41</v>
      </c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94" t="s">
        <v>177</v>
      </c>
      <c r="AG5" s="94" t="s">
        <v>178</v>
      </c>
      <c r="AH5" s="94" t="s">
        <v>179</v>
      </c>
      <c r="AI5" s="94" t="s">
        <v>213</v>
      </c>
      <c r="AJ5" s="94" t="s">
        <v>187</v>
      </c>
      <c r="AK5" s="94" t="s">
        <v>189</v>
      </c>
      <c r="AL5" s="94" t="s">
        <v>190</v>
      </c>
      <c r="AM5" s="94" t="s">
        <v>214</v>
      </c>
      <c r="AN5" s="94" t="s">
        <v>215</v>
      </c>
      <c r="AO5" s="94" t="s">
        <v>216</v>
      </c>
      <c r="AP5" s="94" t="s">
        <v>180</v>
      </c>
      <c r="AQ5" s="94" t="s">
        <v>181</v>
      </c>
      <c r="AR5" s="94" t="s">
        <v>182</v>
      </c>
      <c r="AS5" s="94" t="s">
        <v>177</v>
      </c>
      <c r="AT5" s="94" t="s">
        <v>178</v>
      </c>
      <c r="AU5" s="94" t="s">
        <v>179</v>
      </c>
      <c r="AV5" s="94" t="s">
        <v>213</v>
      </c>
      <c r="AW5" s="94" t="s">
        <v>187</v>
      </c>
      <c r="AX5" s="94" t="s">
        <v>189</v>
      </c>
      <c r="AY5" s="94" t="s">
        <v>190</v>
      </c>
      <c r="AZ5" s="94" t="s">
        <v>214</v>
      </c>
      <c r="BA5" s="94" t="s">
        <v>215</v>
      </c>
      <c r="BB5" s="94" t="s">
        <v>216</v>
      </c>
      <c r="BC5" s="94" t="s">
        <v>180</v>
      </c>
      <c r="BD5" s="94" t="s">
        <v>181</v>
      </c>
      <c r="BE5" s="94" t="s">
        <v>182</v>
      </c>
      <c r="BF5" s="112" t="s">
        <v>66</v>
      </c>
      <c r="BG5" s="112" t="s">
        <v>67</v>
      </c>
      <c r="BH5" s="112" t="s">
        <v>157</v>
      </c>
      <c r="BI5" s="206"/>
      <c r="BJ5" s="112" t="s">
        <v>66</v>
      </c>
      <c r="BK5" s="112" t="s">
        <v>67</v>
      </c>
      <c r="BL5" s="112" t="s">
        <v>139</v>
      </c>
      <c r="BM5" s="207"/>
      <c r="BN5" s="113" t="s">
        <v>64</v>
      </c>
      <c r="BO5" s="112" t="s">
        <v>65</v>
      </c>
      <c r="BP5" s="112" t="s">
        <v>64</v>
      </c>
      <c r="BQ5" s="112" t="s">
        <v>65</v>
      </c>
      <c r="BR5" s="112" t="s">
        <v>64</v>
      </c>
      <c r="BS5" s="112" t="s">
        <v>65</v>
      </c>
      <c r="BT5" s="112" t="s">
        <v>64</v>
      </c>
      <c r="BU5" s="112" t="s">
        <v>65</v>
      </c>
      <c r="BV5" s="112" t="s">
        <v>64</v>
      </c>
      <c r="BW5" s="112" t="s">
        <v>65</v>
      </c>
      <c r="BX5" s="114" t="s">
        <v>64</v>
      </c>
      <c r="BY5" s="114" t="s">
        <v>65</v>
      </c>
      <c r="BZ5" s="207"/>
      <c r="CA5" s="207"/>
      <c r="CB5" s="182"/>
      <c r="CC5" s="185"/>
    </row>
    <row r="6" spans="1:81" ht="17.2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33"/>
      <c r="J6" s="32"/>
      <c r="K6" s="32"/>
      <c r="L6" s="32"/>
      <c r="M6" s="109"/>
      <c r="N6" s="76"/>
      <c r="O6" s="76"/>
      <c r="P6" s="76"/>
      <c r="Q6" s="76"/>
      <c r="R6" s="76"/>
      <c r="S6" s="76"/>
      <c r="T6" s="80"/>
      <c r="U6" s="76"/>
      <c r="V6" s="76"/>
      <c r="W6" s="82"/>
      <c r="X6" s="76"/>
      <c r="Y6" s="76"/>
      <c r="Z6" s="80"/>
      <c r="AA6" s="76"/>
      <c r="AB6" s="76"/>
      <c r="AC6" s="85"/>
      <c r="AD6" s="76"/>
      <c r="AE6" s="76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3"/>
      <c r="BG6" s="33"/>
      <c r="BH6" s="33"/>
      <c r="BI6" s="33"/>
      <c r="BJ6" s="33"/>
      <c r="BK6" s="33"/>
      <c r="BL6" s="33"/>
      <c r="BM6" s="33"/>
      <c r="BN6" s="84"/>
      <c r="BO6" s="84"/>
      <c r="BP6" s="84"/>
      <c r="BQ6" s="84"/>
      <c r="BR6" s="33"/>
      <c r="BS6" s="33"/>
      <c r="BT6" s="84"/>
      <c r="BU6" s="33"/>
      <c r="BV6" s="84"/>
      <c r="BW6" s="33"/>
      <c r="BX6" s="84"/>
      <c r="BY6" s="33"/>
      <c r="BZ6" s="33"/>
      <c r="CA6" s="33"/>
      <c r="CB6" s="33"/>
      <c r="CC6" s="33"/>
    </row>
    <row r="7" spans="1:81" ht="16.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33"/>
      <c r="J7" s="32"/>
      <c r="K7" s="32"/>
      <c r="L7" s="32"/>
      <c r="M7" s="109"/>
      <c r="N7" s="76"/>
      <c r="O7" s="76"/>
      <c r="P7" s="76"/>
      <c r="Q7" s="76"/>
      <c r="R7" s="76"/>
      <c r="S7" s="76"/>
      <c r="T7" s="80"/>
      <c r="U7" s="76"/>
      <c r="V7" s="76"/>
      <c r="W7" s="82"/>
      <c r="X7" s="76"/>
      <c r="Y7" s="76"/>
      <c r="Z7" s="80"/>
      <c r="AA7" s="76"/>
      <c r="AB7" s="76"/>
      <c r="AC7" s="85"/>
      <c r="AD7" s="76"/>
      <c r="AE7" s="76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3"/>
      <c r="BG7" s="33"/>
      <c r="BH7" s="33"/>
      <c r="BI7" s="33"/>
      <c r="BJ7" s="33"/>
      <c r="BK7" s="33"/>
      <c r="BL7" s="33"/>
      <c r="BM7" s="33"/>
      <c r="BN7" s="84"/>
      <c r="BO7" s="84"/>
      <c r="BP7" s="84"/>
      <c r="BQ7" s="84"/>
      <c r="BR7" s="33"/>
      <c r="BS7" s="33"/>
      <c r="BT7" s="84"/>
      <c r="BU7" s="33"/>
      <c r="BV7" s="84"/>
      <c r="BW7" s="33"/>
      <c r="BX7" s="84"/>
      <c r="BY7" s="33"/>
      <c r="BZ7" s="33"/>
      <c r="CA7" s="33"/>
      <c r="CB7" s="33"/>
      <c r="CC7" s="33"/>
    </row>
    <row r="8" spans="1:81" ht="17.2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33"/>
      <c r="I8" s="33"/>
      <c r="J8" s="32"/>
      <c r="K8" s="32"/>
      <c r="L8" s="32"/>
      <c r="M8" s="109"/>
      <c r="N8" s="76"/>
      <c r="O8" s="76"/>
      <c r="P8" s="76"/>
      <c r="Q8" s="76"/>
      <c r="R8" s="76"/>
      <c r="S8" s="76"/>
      <c r="T8" s="80"/>
      <c r="U8" s="76"/>
      <c r="V8" s="76"/>
      <c r="W8" s="82"/>
      <c r="X8" s="76"/>
      <c r="Y8" s="76"/>
      <c r="Z8" s="80"/>
      <c r="AA8" s="76"/>
      <c r="AB8" s="76"/>
      <c r="AC8" s="85"/>
      <c r="AD8" s="76"/>
      <c r="AE8" s="76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3"/>
      <c r="BG8" s="33"/>
      <c r="BH8" s="33"/>
      <c r="BI8" s="33"/>
      <c r="BJ8" s="33"/>
      <c r="BK8" s="33"/>
      <c r="BL8" s="33"/>
      <c r="BM8" s="33"/>
      <c r="BN8" s="84"/>
      <c r="BO8" s="84"/>
      <c r="BP8" s="84"/>
      <c r="BQ8" s="84"/>
      <c r="BR8" s="33"/>
      <c r="BS8" s="33"/>
      <c r="BT8" s="84"/>
      <c r="BU8" s="33"/>
      <c r="BV8" s="84"/>
      <c r="BW8" s="33"/>
      <c r="BX8" s="84"/>
      <c r="BY8" s="33"/>
      <c r="BZ8" s="33"/>
      <c r="CA8" s="33"/>
      <c r="CB8" s="33"/>
      <c r="CC8" s="33"/>
    </row>
    <row r="9" spans="1:81" ht="15.7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33"/>
      <c r="J9" s="32"/>
      <c r="K9" s="32"/>
      <c r="L9" s="32"/>
      <c r="M9" s="109"/>
      <c r="N9" s="76"/>
      <c r="O9" s="76"/>
      <c r="P9" s="76"/>
      <c r="Q9" s="76"/>
      <c r="R9" s="76"/>
      <c r="S9" s="76"/>
      <c r="T9" s="80"/>
      <c r="U9" s="76"/>
      <c r="V9" s="76"/>
      <c r="W9" s="82"/>
      <c r="X9" s="76"/>
      <c r="Y9" s="76"/>
      <c r="Z9" s="80"/>
      <c r="AA9" s="76"/>
      <c r="AB9" s="76"/>
      <c r="AC9" s="85"/>
      <c r="AD9" s="76"/>
      <c r="AE9" s="76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33"/>
      <c r="BG9" s="33"/>
      <c r="BH9" s="33"/>
      <c r="BI9" s="33"/>
      <c r="BJ9" s="33"/>
      <c r="BK9" s="33"/>
      <c r="BL9" s="33"/>
      <c r="BM9" s="33"/>
      <c r="BN9" s="84"/>
      <c r="BO9" s="84"/>
      <c r="BP9" s="84"/>
      <c r="BQ9" s="84"/>
      <c r="BR9" s="33"/>
      <c r="BS9" s="33"/>
      <c r="BT9" s="84"/>
      <c r="BU9" s="33"/>
      <c r="BV9" s="84"/>
      <c r="BW9" s="33"/>
      <c r="BX9" s="84"/>
      <c r="BY9" s="33"/>
      <c r="BZ9" s="33"/>
      <c r="CA9" s="33"/>
      <c r="CB9" s="33"/>
      <c r="CC9" s="33"/>
    </row>
    <row r="10" spans="1:81" ht="17.2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33"/>
      <c r="J10" s="32"/>
      <c r="K10" s="32"/>
      <c r="L10" s="32"/>
      <c r="M10" s="109"/>
      <c r="N10" s="76"/>
      <c r="O10" s="76"/>
      <c r="P10" s="76"/>
      <c r="Q10" s="76"/>
      <c r="R10" s="76"/>
      <c r="S10" s="76"/>
      <c r="T10" s="80"/>
      <c r="U10" s="76"/>
      <c r="V10" s="76"/>
      <c r="W10" s="82"/>
      <c r="X10" s="76"/>
      <c r="Y10" s="76"/>
      <c r="Z10" s="80"/>
      <c r="AA10" s="76"/>
      <c r="AB10" s="76"/>
      <c r="AC10" s="85"/>
      <c r="AD10" s="76"/>
      <c r="AE10" s="76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3"/>
      <c r="BG10" s="33"/>
      <c r="BH10" s="33"/>
      <c r="BI10" s="33"/>
      <c r="BJ10" s="33"/>
      <c r="BK10" s="33"/>
      <c r="BL10" s="33"/>
      <c r="BM10" s="33"/>
      <c r="BN10" s="84"/>
      <c r="BO10" s="84"/>
      <c r="BP10" s="84"/>
      <c r="BQ10" s="84"/>
      <c r="BR10" s="33"/>
      <c r="BS10" s="33"/>
      <c r="BT10" s="84"/>
      <c r="BU10" s="33"/>
      <c r="BV10" s="84"/>
      <c r="BW10" s="33"/>
      <c r="BX10" s="84"/>
      <c r="BY10" s="33"/>
      <c r="BZ10" s="33"/>
      <c r="CA10" s="33"/>
      <c r="CB10" s="33"/>
      <c r="CC10" s="33"/>
    </row>
    <row r="11" spans="1:81" ht="18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33"/>
      <c r="J11" s="32"/>
      <c r="K11" s="32"/>
      <c r="L11" s="32"/>
      <c r="M11" s="109"/>
      <c r="N11" s="76"/>
      <c r="O11" s="76"/>
      <c r="P11" s="76"/>
      <c r="Q11" s="76"/>
      <c r="R11" s="76"/>
      <c r="S11" s="76"/>
      <c r="T11" s="80"/>
      <c r="U11" s="76"/>
      <c r="V11" s="76"/>
      <c r="W11" s="82"/>
      <c r="X11" s="76"/>
      <c r="Y11" s="76"/>
      <c r="Z11" s="80"/>
      <c r="AA11" s="76"/>
      <c r="AB11" s="76"/>
      <c r="AC11" s="85"/>
      <c r="AD11" s="76"/>
      <c r="AE11" s="76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33"/>
      <c r="BG11" s="33"/>
      <c r="BH11" s="33"/>
      <c r="BI11" s="33"/>
      <c r="BJ11" s="33"/>
      <c r="BK11" s="33"/>
      <c r="BL11" s="33"/>
      <c r="BM11" s="33"/>
      <c r="BN11" s="84"/>
      <c r="BO11" s="84"/>
      <c r="BP11" s="84"/>
      <c r="BQ11" s="84"/>
      <c r="BR11" s="33"/>
      <c r="BS11" s="33"/>
      <c r="BT11" s="84"/>
      <c r="BU11" s="33"/>
      <c r="BV11" s="84"/>
      <c r="BW11" s="33"/>
      <c r="BX11" s="84"/>
      <c r="BY11" s="33"/>
      <c r="BZ11" s="33"/>
      <c r="CA11" s="33"/>
      <c r="CB11" s="33"/>
      <c r="CC11" s="33"/>
    </row>
    <row r="12" spans="1:81" ht="17.25" customHeight="1" x14ac:dyDescent="0.35">
      <c r="A12" s="32">
        <v>0.25</v>
      </c>
      <c r="B12" s="76"/>
      <c r="C12" s="76"/>
      <c r="D12" s="76"/>
      <c r="E12" s="76"/>
      <c r="F12" s="76"/>
      <c r="G12" s="76"/>
      <c r="H12" s="33"/>
      <c r="I12" s="33"/>
      <c r="J12" s="32"/>
      <c r="K12" s="32"/>
      <c r="L12" s="32"/>
      <c r="M12" s="109"/>
      <c r="N12" s="76"/>
      <c r="O12" s="76"/>
      <c r="P12" s="76"/>
      <c r="Q12" s="76"/>
      <c r="R12" s="76"/>
      <c r="S12" s="76"/>
      <c r="T12" s="80"/>
      <c r="U12" s="76"/>
      <c r="V12" s="76"/>
      <c r="W12" s="82"/>
      <c r="X12" s="76"/>
      <c r="Y12" s="76"/>
      <c r="Z12" s="80"/>
      <c r="AA12" s="76"/>
      <c r="AB12" s="76"/>
      <c r="AC12" s="85"/>
      <c r="AD12" s="76"/>
      <c r="AE12" s="76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33"/>
      <c r="BG12" s="33"/>
      <c r="BH12" s="33"/>
      <c r="BI12" s="33"/>
      <c r="BJ12" s="33"/>
      <c r="BK12" s="33"/>
      <c r="BL12" s="33"/>
      <c r="BM12" s="33"/>
      <c r="BN12" s="84"/>
      <c r="BO12" s="84"/>
      <c r="BP12" s="84"/>
      <c r="BQ12" s="84"/>
      <c r="BR12" s="33"/>
      <c r="BS12" s="33"/>
      <c r="BT12" s="84"/>
      <c r="BU12" s="33"/>
      <c r="BV12" s="84"/>
      <c r="BW12" s="33"/>
      <c r="BX12" s="84"/>
      <c r="BY12" s="33"/>
      <c r="BZ12" s="33"/>
      <c r="CA12" s="33"/>
      <c r="CB12" s="33"/>
      <c r="CC12" s="33"/>
    </row>
    <row r="13" spans="1:81" ht="15.7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33"/>
      <c r="I13" s="33"/>
      <c r="J13" s="32"/>
      <c r="K13" s="32"/>
      <c r="L13" s="32"/>
      <c r="M13" s="109"/>
      <c r="N13" s="76"/>
      <c r="O13" s="76"/>
      <c r="P13" s="76"/>
      <c r="Q13" s="76"/>
      <c r="R13" s="76"/>
      <c r="S13" s="76"/>
      <c r="T13" s="80"/>
      <c r="U13" s="76"/>
      <c r="V13" s="76"/>
      <c r="W13" s="82"/>
      <c r="X13" s="76"/>
      <c r="Y13" s="76"/>
      <c r="Z13" s="80"/>
      <c r="AA13" s="76"/>
      <c r="AB13" s="76"/>
      <c r="AC13" s="85"/>
      <c r="AD13" s="76"/>
      <c r="AE13" s="76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33"/>
      <c r="BG13" s="33"/>
      <c r="BH13" s="33"/>
      <c r="BI13" s="33"/>
      <c r="BJ13" s="33"/>
      <c r="BK13" s="33"/>
      <c r="BL13" s="33"/>
      <c r="BM13" s="33"/>
      <c r="BN13" s="84"/>
      <c r="BO13" s="84"/>
      <c r="BP13" s="84"/>
      <c r="BQ13" s="84"/>
      <c r="BR13" s="33"/>
      <c r="BS13" s="33"/>
      <c r="BT13" s="84"/>
      <c r="BU13" s="33"/>
      <c r="BV13" s="84"/>
      <c r="BW13" s="33"/>
      <c r="BX13" s="84"/>
      <c r="BY13" s="33"/>
      <c r="BZ13" s="33"/>
      <c r="CA13" s="33"/>
      <c r="CB13" s="33"/>
      <c r="CC13" s="33"/>
    </row>
    <row r="14" spans="1:81" ht="15.75" customHeight="1" x14ac:dyDescent="0.35">
      <c r="A14" s="32">
        <v>0.33333333333333331</v>
      </c>
      <c r="B14" s="76"/>
      <c r="C14" s="76"/>
      <c r="D14" s="76"/>
      <c r="E14" s="76"/>
      <c r="F14" s="76"/>
      <c r="G14" s="76"/>
      <c r="H14" s="33"/>
      <c r="I14" s="33"/>
      <c r="J14" s="32"/>
      <c r="K14" s="32"/>
      <c r="L14" s="32"/>
      <c r="M14" s="109"/>
      <c r="N14" s="76"/>
      <c r="O14" s="76"/>
      <c r="P14" s="76"/>
      <c r="Q14" s="76"/>
      <c r="R14" s="76"/>
      <c r="S14" s="76"/>
      <c r="T14" s="80"/>
      <c r="U14" s="76"/>
      <c r="V14" s="76"/>
      <c r="W14" s="82"/>
      <c r="X14" s="76"/>
      <c r="Y14" s="76"/>
      <c r="Z14" s="80"/>
      <c r="AA14" s="76"/>
      <c r="AB14" s="76"/>
      <c r="AC14" s="85"/>
      <c r="AD14" s="76"/>
      <c r="AE14" s="76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3"/>
      <c r="BG14" s="33"/>
      <c r="BH14" s="33"/>
      <c r="BI14" s="33"/>
      <c r="BJ14" s="33"/>
      <c r="BK14" s="33"/>
      <c r="BL14" s="33"/>
      <c r="BM14" s="33"/>
      <c r="BN14" s="84"/>
      <c r="BO14" s="84"/>
      <c r="BP14" s="84"/>
      <c r="BQ14" s="84"/>
      <c r="BR14" s="33"/>
      <c r="BS14" s="33"/>
      <c r="BT14" s="84"/>
      <c r="BU14" s="33"/>
      <c r="BV14" s="84"/>
      <c r="BW14" s="33"/>
      <c r="BX14" s="84"/>
      <c r="BY14" s="33"/>
      <c r="BZ14" s="33"/>
      <c r="CA14" s="33"/>
      <c r="CB14" s="33"/>
      <c r="CC14" s="33"/>
    </row>
    <row r="15" spans="1:81" ht="17.25" customHeight="1" x14ac:dyDescent="0.35">
      <c r="A15" s="32">
        <v>0.375</v>
      </c>
      <c r="B15" s="33"/>
      <c r="C15" s="33"/>
      <c r="D15" s="33"/>
      <c r="E15" s="33"/>
      <c r="F15" s="33"/>
      <c r="G15" s="33"/>
      <c r="H15" s="33"/>
      <c r="I15" s="33"/>
      <c r="J15" s="32"/>
      <c r="K15" s="32"/>
      <c r="L15" s="32"/>
      <c r="M15" s="33"/>
      <c r="N15" s="76"/>
      <c r="O15" s="76"/>
      <c r="P15" s="76"/>
      <c r="Q15" s="76"/>
      <c r="R15" s="76"/>
      <c r="S15" s="76"/>
      <c r="T15" s="80"/>
      <c r="U15" s="76"/>
      <c r="V15" s="76"/>
      <c r="W15" s="82"/>
      <c r="X15" s="76"/>
      <c r="Y15" s="76"/>
      <c r="Z15" s="80"/>
      <c r="AA15" s="76"/>
      <c r="AB15" s="76"/>
      <c r="AC15" s="85"/>
      <c r="AD15" s="76"/>
      <c r="AE15" s="76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33"/>
      <c r="BG15" s="115"/>
      <c r="BH15" s="115"/>
      <c r="BI15" s="115"/>
      <c r="BJ15" s="115"/>
      <c r="BK15" s="115"/>
      <c r="BL15" s="115"/>
      <c r="BM15" s="115"/>
      <c r="BN15" s="115"/>
      <c r="BO15" s="115"/>
      <c r="BP15" s="115"/>
      <c r="BQ15" s="115"/>
      <c r="BR15" s="115"/>
      <c r="BS15" s="115"/>
      <c r="BT15" s="115"/>
      <c r="BU15" s="115"/>
      <c r="BV15" s="115"/>
      <c r="BW15" s="115"/>
      <c r="BX15" s="115"/>
      <c r="BY15" s="33"/>
      <c r="BZ15" s="33"/>
      <c r="CA15" s="33"/>
      <c r="CB15" s="33"/>
      <c r="CC15" s="33"/>
    </row>
    <row r="16" spans="1:81" x14ac:dyDescent="0.35">
      <c r="A16" s="34">
        <v>0.41666666666666669</v>
      </c>
      <c r="B16" s="33"/>
      <c r="C16" s="33"/>
      <c r="D16" s="33"/>
      <c r="E16" s="33"/>
      <c r="F16" s="33"/>
      <c r="G16" s="33"/>
      <c r="H16" s="33"/>
      <c r="I16" s="33"/>
      <c r="J16" s="32"/>
      <c r="K16" s="32"/>
      <c r="L16" s="32"/>
      <c r="M16" s="33"/>
      <c r="N16" s="76"/>
      <c r="O16" s="76"/>
      <c r="P16" s="76"/>
      <c r="Q16" s="76"/>
      <c r="R16" s="76"/>
      <c r="S16" s="76"/>
      <c r="T16" s="80"/>
      <c r="U16" s="76"/>
      <c r="V16" s="76"/>
      <c r="W16" s="82"/>
      <c r="X16" s="76"/>
      <c r="Y16" s="76"/>
      <c r="Z16" s="80"/>
      <c r="AA16" s="76"/>
      <c r="AB16" s="76"/>
      <c r="AC16" s="85"/>
      <c r="AD16" s="76"/>
      <c r="AE16" s="76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33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33"/>
      <c r="BZ16" s="33"/>
      <c r="CA16" s="33"/>
      <c r="CB16" s="33"/>
      <c r="CC16" s="33"/>
    </row>
    <row r="17" spans="1:81" x14ac:dyDescent="0.35">
      <c r="A17" s="34">
        <v>0.45833333333333331</v>
      </c>
      <c r="B17" s="33"/>
      <c r="C17" s="33"/>
      <c r="D17" s="33"/>
      <c r="E17" s="33"/>
      <c r="F17" s="33"/>
      <c r="G17" s="33"/>
      <c r="H17" s="33"/>
      <c r="I17" s="33"/>
      <c r="J17" s="32"/>
      <c r="K17" s="32"/>
      <c r="L17" s="32"/>
      <c r="M17" s="33"/>
      <c r="N17" s="76"/>
      <c r="O17" s="76"/>
      <c r="P17" s="76"/>
      <c r="Q17" s="76"/>
      <c r="R17" s="76"/>
      <c r="S17" s="76"/>
      <c r="T17" s="80"/>
      <c r="U17" s="76"/>
      <c r="V17" s="76"/>
      <c r="W17" s="82"/>
      <c r="X17" s="76"/>
      <c r="Y17" s="76"/>
      <c r="Z17" s="80"/>
      <c r="AA17" s="76"/>
      <c r="AB17" s="76"/>
      <c r="AC17" s="85"/>
      <c r="AD17" s="76"/>
      <c r="AE17" s="76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33"/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115"/>
      <c r="BY17" s="33"/>
      <c r="BZ17" s="33"/>
      <c r="CA17" s="33"/>
      <c r="CB17" s="33"/>
      <c r="CC17" s="33"/>
    </row>
    <row r="18" spans="1:81" x14ac:dyDescent="0.35">
      <c r="A18" s="34">
        <v>0.5</v>
      </c>
      <c r="B18" s="33"/>
      <c r="C18" s="33"/>
      <c r="D18" s="33"/>
      <c r="E18" s="33"/>
      <c r="F18" s="33"/>
      <c r="G18" s="33"/>
      <c r="H18" s="33"/>
      <c r="I18" s="33"/>
      <c r="J18" s="32"/>
      <c r="K18" s="32"/>
      <c r="L18" s="32"/>
      <c r="M18" s="33"/>
      <c r="N18" s="76"/>
      <c r="O18" s="76"/>
      <c r="P18" s="76"/>
      <c r="Q18" s="76"/>
      <c r="R18" s="76"/>
      <c r="S18" s="76"/>
      <c r="T18" s="80"/>
      <c r="U18" s="76"/>
      <c r="V18" s="76"/>
      <c r="W18" s="82"/>
      <c r="X18" s="76"/>
      <c r="Y18" s="76"/>
      <c r="Z18" s="80"/>
      <c r="AA18" s="76"/>
      <c r="AB18" s="76"/>
      <c r="AC18" s="85"/>
      <c r="AD18" s="76"/>
      <c r="AE18" s="76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33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33"/>
      <c r="BZ18" s="33"/>
      <c r="CA18" s="33"/>
      <c r="CB18" s="33"/>
      <c r="CC18" s="33"/>
    </row>
    <row r="19" spans="1:81" x14ac:dyDescent="0.35">
      <c r="A19" s="34">
        <v>0.54166666666666663</v>
      </c>
      <c r="B19" s="33"/>
      <c r="C19" s="33"/>
      <c r="D19" s="33"/>
      <c r="E19" s="33"/>
      <c r="F19" s="33"/>
      <c r="G19" s="33"/>
      <c r="H19" s="33"/>
      <c r="I19" s="33"/>
      <c r="J19" s="32"/>
      <c r="K19" s="32"/>
      <c r="L19" s="32"/>
      <c r="M19" s="33"/>
      <c r="N19" s="76"/>
      <c r="O19" s="76"/>
      <c r="P19" s="76"/>
      <c r="Q19" s="76"/>
      <c r="R19" s="76"/>
      <c r="S19" s="76"/>
      <c r="T19" s="80"/>
      <c r="U19" s="76"/>
      <c r="V19" s="76"/>
      <c r="W19" s="82"/>
      <c r="X19" s="76"/>
      <c r="Y19" s="76"/>
      <c r="Z19" s="80"/>
      <c r="AA19" s="76"/>
      <c r="AB19" s="76"/>
      <c r="AC19" s="85"/>
      <c r="AD19" s="76"/>
      <c r="AE19" s="76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33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  <c r="BQ19" s="115"/>
      <c r="BR19" s="115"/>
      <c r="BS19" s="115"/>
      <c r="BT19" s="115"/>
      <c r="BU19" s="115"/>
      <c r="BV19" s="115"/>
      <c r="BW19" s="115"/>
      <c r="BX19" s="115"/>
      <c r="BY19" s="33"/>
      <c r="BZ19" s="33"/>
      <c r="CA19" s="33"/>
      <c r="CB19" s="33"/>
      <c r="CC19" s="33"/>
    </row>
    <row r="20" spans="1:81" x14ac:dyDescent="0.35">
      <c r="A20" s="34">
        <v>0.58333333333333337</v>
      </c>
      <c r="B20" s="33"/>
      <c r="C20" s="33"/>
      <c r="D20" s="33"/>
      <c r="E20" s="33"/>
      <c r="F20" s="33"/>
      <c r="G20" s="33"/>
      <c r="H20" s="33"/>
      <c r="I20" s="33"/>
      <c r="J20" s="32"/>
      <c r="K20" s="32"/>
      <c r="L20" s="32"/>
      <c r="M20" s="33"/>
      <c r="N20" s="76"/>
      <c r="O20" s="76"/>
      <c r="P20" s="76"/>
      <c r="Q20" s="76"/>
      <c r="R20" s="76"/>
      <c r="S20" s="76"/>
      <c r="T20" s="80"/>
      <c r="U20" s="76"/>
      <c r="V20" s="76"/>
      <c r="W20" s="82"/>
      <c r="X20" s="76"/>
      <c r="Y20" s="76"/>
      <c r="Z20" s="80"/>
      <c r="AA20" s="76"/>
      <c r="AB20" s="76"/>
      <c r="AC20" s="85"/>
      <c r="AD20" s="76"/>
      <c r="AE20" s="76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33"/>
      <c r="BG20" s="115"/>
      <c r="BH20" s="115"/>
      <c r="BI20" s="115"/>
      <c r="BJ20" s="115"/>
      <c r="BK20" s="115"/>
      <c r="BL20" s="115"/>
      <c r="BM20" s="115"/>
      <c r="BN20" s="115"/>
      <c r="BO20" s="115"/>
      <c r="BP20" s="115"/>
      <c r="BQ20" s="115"/>
      <c r="BR20" s="115"/>
      <c r="BS20" s="115"/>
      <c r="BT20" s="115"/>
      <c r="BU20" s="115"/>
      <c r="BV20" s="115"/>
      <c r="BW20" s="115"/>
      <c r="BX20" s="115"/>
      <c r="BY20" s="33"/>
      <c r="BZ20" s="33"/>
      <c r="CA20" s="33"/>
      <c r="CB20" s="33"/>
      <c r="CC20" s="33"/>
    </row>
    <row r="21" spans="1:81" x14ac:dyDescent="0.35">
      <c r="A21" s="34">
        <v>0.625</v>
      </c>
      <c r="B21" s="33"/>
      <c r="C21" s="33"/>
      <c r="D21" s="33"/>
      <c r="E21" s="33"/>
      <c r="F21" s="33"/>
      <c r="G21" s="33"/>
      <c r="H21" s="33"/>
      <c r="I21" s="33"/>
      <c r="J21" s="32"/>
      <c r="K21" s="32"/>
      <c r="L21" s="32"/>
      <c r="M21" s="33"/>
      <c r="N21" s="76"/>
      <c r="O21" s="76"/>
      <c r="P21" s="76"/>
      <c r="Q21" s="76"/>
      <c r="R21" s="76"/>
      <c r="S21" s="76"/>
      <c r="T21" s="80"/>
      <c r="U21" s="76"/>
      <c r="V21" s="76"/>
      <c r="W21" s="82"/>
      <c r="X21" s="76"/>
      <c r="Y21" s="76"/>
      <c r="Z21" s="80"/>
      <c r="AA21" s="76"/>
      <c r="AB21" s="76"/>
      <c r="AC21" s="85"/>
      <c r="AD21" s="76"/>
      <c r="AE21" s="76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33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  <c r="BQ21" s="115"/>
      <c r="BR21" s="115"/>
      <c r="BS21" s="115"/>
      <c r="BT21" s="115"/>
      <c r="BU21" s="115"/>
      <c r="BV21" s="115"/>
      <c r="BW21" s="115"/>
      <c r="BX21" s="115"/>
      <c r="BY21" s="33"/>
      <c r="BZ21" s="33"/>
      <c r="CA21" s="33"/>
      <c r="CB21" s="33"/>
      <c r="CC21" s="33"/>
    </row>
    <row r="22" spans="1:81" x14ac:dyDescent="0.35">
      <c r="A22" s="34">
        <v>0.66666666666666663</v>
      </c>
      <c r="B22" s="33"/>
      <c r="C22" s="33"/>
      <c r="D22" s="33"/>
      <c r="E22" s="33"/>
      <c r="F22" s="33"/>
      <c r="G22" s="33"/>
      <c r="H22" s="33"/>
      <c r="I22" s="33"/>
      <c r="J22" s="32"/>
      <c r="K22" s="32"/>
      <c r="L22" s="32"/>
      <c r="M22" s="33"/>
      <c r="N22" s="76"/>
      <c r="O22" s="76"/>
      <c r="P22" s="76"/>
      <c r="Q22" s="76"/>
      <c r="R22" s="76"/>
      <c r="S22" s="76"/>
      <c r="T22" s="80"/>
      <c r="U22" s="76"/>
      <c r="V22" s="76"/>
      <c r="W22" s="82"/>
      <c r="X22" s="76"/>
      <c r="Y22" s="76"/>
      <c r="Z22" s="80"/>
      <c r="AA22" s="76"/>
      <c r="AB22" s="76"/>
      <c r="AC22" s="85"/>
      <c r="AD22" s="76"/>
      <c r="AE22" s="76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33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115"/>
      <c r="BW22" s="115"/>
      <c r="BX22" s="115"/>
      <c r="BY22" s="33"/>
      <c r="BZ22" s="33"/>
      <c r="CA22" s="33"/>
      <c r="CB22" s="33"/>
      <c r="CC22" s="33"/>
    </row>
    <row r="23" spans="1:81" x14ac:dyDescent="0.35">
      <c r="A23" s="34">
        <v>0.70833333333333337</v>
      </c>
      <c r="B23" s="33"/>
      <c r="C23" s="33"/>
      <c r="D23" s="33"/>
      <c r="E23" s="33"/>
      <c r="F23" s="33"/>
      <c r="G23" s="33"/>
      <c r="H23" s="33"/>
      <c r="I23" s="33"/>
      <c r="J23" s="32"/>
      <c r="K23" s="32"/>
      <c r="L23" s="32"/>
      <c r="M23" s="33"/>
      <c r="N23" s="76"/>
      <c r="O23" s="76"/>
      <c r="P23" s="76"/>
      <c r="Q23" s="76"/>
      <c r="R23" s="76"/>
      <c r="S23" s="76"/>
      <c r="T23" s="80"/>
      <c r="U23" s="76"/>
      <c r="V23" s="76"/>
      <c r="W23" s="82"/>
      <c r="X23" s="76"/>
      <c r="Y23" s="76"/>
      <c r="Z23" s="80"/>
      <c r="AA23" s="76"/>
      <c r="AB23" s="76"/>
      <c r="AC23" s="85"/>
      <c r="AD23" s="76"/>
      <c r="AE23" s="76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33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  <c r="BQ23" s="115"/>
      <c r="BR23" s="115"/>
      <c r="BS23" s="115"/>
      <c r="BT23" s="115"/>
      <c r="BU23" s="115"/>
      <c r="BV23" s="115"/>
      <c r="BW23" s="115"/>
      <c r="BX23" s="115"/>
      <c r="BY23" s="33"/>
      <c r="BZ23" s="33"/>
      <c r="CA23" s="33"/>
      <c r="CB23" s="33"/>
      <c r="CC23" s="33"/>
    </row>
    <row r="24" spans="1:81" x14ac:dyDescent="0.35">
      <c r="A24" s="34">
        <v>0.75</v>
      </c>
      <c r="B24" s="33"/>
      <c r="C24" s="33"/>
      <c r="D24" s="33"/>
      <c r="E24" s="33"/>
      <c r="F24" s="33"/>
      <c r="G24" s="33"/>
      <c r="H24" s="33"/>
      <c r="I24" s="33"/>
      <c r="J24" s="32"/>
      <c r="K24" s="32"/>
      <c r="L24" s="32"/>
      <c r="M24" s="33"/>
      <c r="N24" s="76"/>
      <c r="O24" s="76"/>
      <c r="P24" s="76"/>
      <c r="Q24" s="76"/>
      <c r="R24" s="76"/>
      <c r="S24" s="76"/>
      <c r="T24" s="80"/>
      <c r="U24" s="76"/>
      <c r="V24" s="76"/>
      <c r="W24" s="82"/>
      <c r="X24" s="76"/>
      <c r="Y24" s="76"/>
      <c r="Z24" s="80"/>
      <c r="AA24" s="76"/>
      <c r="AB24" s="76"/>
      <c r="AC24" s="85"/>
      <c r="AD24" s="76"/>
      <c r="AE24" s="76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33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115"/>
      <c r="BU24" s="115"/>
      <c r="BV24" s="115"/>
      <c r="BW24" s="115"/>
      <c r="BX24" s="115"/>
      <c r="BY24" s="33"/>
      <c r="BZ24" s="33"/>
      <c r="CA24" s="33"/>
      <c r="CB24" s="33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33"/>
      <c r="J25" s="32"/>
      <c r="K25" s="32"/>
      <c r="L25" s="32"/>
      <c r="M25" s="33"/>
      <c r="N25" s="76"/>
      <c r="O25" s="76"/>
      <c r="P25" s="76"/>
      <c r="Q25" s="76"/>
      <c r="R25" s="76"/>
      <c r="S25" s="76"/>
      <c r="T25" s="80"/>
      <c r="U25" s="76"/>
      <c r="V25" s="76"/>
      <c r="W25" s="82"/>
      <c r="X25" s="76"/>
      <c r="Y25" s="76"/>
      <c r="Z25" s="80"/>
      <c r="AA25" s="76"/>
      <c r="AB25" s="76"/>
      <c r="AC25" s="85"/>
      <c r="AD25" s="76"/>
      <c r="AE25" s="76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33"/>
      <c r="BG25" s="33"/>
      <c r="BH25" s="33"/>
      <c r="BI25" s="33"/>
      <c r="BJ25" s="33"/>
      <c r="BK25" s="33"/>
      <c r="BL25" s="33"/>
      <c r="BM25" s="33"/>
      <c r="BN25" s="84"/>
      <c r="BO25" s="84"/>
      <c r="BP25" s="84"/>
      <c r="BQ25" s="84"/>
      <c r="BR25" s="33"/>
      <c r="BS25" s="33"/>
      <c r="BT25" s="84"/>
      <c r="BU25" s="33"/>
      <c r="BV25" s="84"/>
      <c r="BW25" s="33"/>
      <c r="BX25" s="84"/>
      <c r="BY25" s="33"/>
      <c r="BZ25" s="33"/>
      <c r="CA25" s="33"/>
      <c r="CB25" s="33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33"/>
      <c r="I26" s="33"/>
      <c r="J26" s="32"/>
      <c r="K26" s="32"/>
      <c r="L26" s="32"/>
      <c r="M26" s="33"/>
      <c r="N26" s="76"/>
      <c r="O26" s="76"/>
      <c r="P26" s="76"/>
      <c r="Q26" s="76"/>
      <c r="R26" s="76"/>
      <c r="S26" s="76"/>
      <c r="T26" s="80"/>
      <c r="U26" s="76"/>
      <c r="V26" s="76"/>
      <c r="W26" s="82"/>
      <c r="X26" s="76"/>
      <c r="Y26" s="76"/>
      <c r="Z26" s="80"/>
      <c r="AA26" s="76"/>
      <c r="AB26" s="76"/>
      <c r="AC26" s="85"/>
      <c r="AD26" s="76"/>
      <c r="AE26" s="76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33"/>
      <c r="BG26" s="33"/>
      <c r="BH26" s="33"/>
      <c r="BI26" s="33"/>
      <c r="BJ26" s="33"/>
      <c r="BK26" s="33"/>
      <c r="BL26" s="33"/>
      <c r="BM26" s="33"/>
      <c r="BN26" s="84"/>
      <c r="BO26" s="84"/>
      <c r="BP26" s="84"/>
      <c r="BQ26" s="84"/>
      <c r="BR26" s="33"/>
      <c r="BS26" s="33"/>
      <c r="BT26" s="84"/>
      <c r="BU26" s="33"/>
      <c r="BV26" s="84"/>
      <c r="BW26" s="33"/>
      <c r="BX26" s="84"/>
      <c r="BY26" s="33"/>
      <c r="BZ26" s="33"/>
      <c r="CA26" s="33"/>
      <c r="CB26" s="33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33"/>
      <c r="I27" s="33"/>
      <c r="J27" s="32"/>
      <c r="K27" s="32"/>
      <c r="L27" s="32"/>
      <c r="M27" s="33"/>
      <c r="N27" s="76"/>
      <c r="O27" s="76"/>
      <c r="P27" s="76"/>
      <c r="Q27" s="76"/>
      <c r="R27" s="76"/>
      <c r="S27" s="76"/>
      <c r="T27" s="80"/>
      <c r="U27" s="76"/>
      <c r="V27" s="76"/>
      <c r="W27" s="82"/>
      <c r="X27" s="76"/>
      <c r="Y27" s="76"/>
      <c r="Z27" s="80"/>
      <c r="AA27" s="76"/>
      <c r="AB27" s="76"/>
      <c r="AC27" s="85"/>
      <c r="AD27" s="76"/>
      <c r="AE27" s="76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33"/>
      <c r="BG27" s="33"/>
      <c r="BH27" s="33"/>
      <c r="BI27" s="33"/>
      <c r="BJ27" s="33"/>
      <c r="BK27" s="33"/>
      <c r="BL27" s="33"/>
      <c r="BM27" s="33"/>
      <c r="BN27" s="84"/>
      <c r="BO27" s="84"/>
      <c r="BP27" s="84"/>
      <c r="BQ27" s="84"/>
      <c r="BR27" s="33"/>
      <c r="BS27" s="33"/>
      <c r="BT27" s="84"/>
      <c r="BU27" s="33"/>
      <c r="BV27" s="84"/>
      <c r="BW27" s="33"/>
      <c r="BX27" s="84"/>
      <c r="BY27" s="33"/>
      <c r="BZ27" s="33"/>
      <c r="CA27" s="33"/>
      <c r="CB27" s="33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33"/>
      <c r="I28" s="33"/>
      <c r="J28" s="32"/>
      <c r="K28" s="32"/>
      <c r="L28" s="32"/>
      <c r="M28" s="109"/>
      <c r="N28" s="76"/>
      <c r="O28" s="76"/>
      <c r="P28" s="76"/>
      <c r="Q28" s="76"/>
      <c r="R28" s="76"/>
      <c r="S28" s="76"/>
      <c r="T28" s="80"/>
      <c r="U28" s="76"/>
      <c r="V28" s="76"/>
      <c r="W28" s="82"/>
      <c r="X28" s="76"/>
      <c r="Y28" s="76"/>
      <c r="Z28" s="80"/>
      <c r="AA28" s="76"/>
      <c r="AB28" s="76"/>
      <c r="AC28" s="85"/>
      <c r="AD28" s="76"/>
      <c r="AE28" s="76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33"/>
      <c r="BG28" s="33"/>
      <c r="BH28" s="33"/>
      <c r="BI28" s="33"/>
      <c r="BJ28" s="33"/>
      <c r="BK28" s="33"/>
      <c r="BL28" s="33"/>
      <c r="BM28" s="33"/>
      <c r="BN28" s="84"/>
      <c r="BO28" s="84"/>
      <c r="BP28" s="84"/>
      <c r="BQ28" s="84"/>
      <c r="BR28" s="33"/>
      <c r="BS28" s="33"/>
      <c r="BT28" s="84"/>
      <c r="BU28" s="33"/>
      <c r="BV28" s="84"/>
      <c r="BW28" s="33"/>
      <c r="BX28" s="84"/>
      <c r="BY28" s="33"/>
      <c r="BZ28" s="33"/>
      <c r="CA28" s="33"/>
      <c r="CB28" s="33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33"/>
      <c r="I29" s="33"/>
      <c r="J29" s="32"/>
      <c r="K29" s="32"/>
      <c r="L29" s="32"/>
      <c r="M29" s="33"/>
      <c r="N29" s="76"/>
      <c r="O29" s="76"/>
      <c r="P29" s="76"/>
      <c r="Q29" s="76"/>
      <c r="R29" s="76"/>
      <c r="S29" s="76"/>
      <c r="T29" s="80"/>
      <c r="U29" s="76"/>
      <c r="V29" s="76"/>
      <c r="W29" s="82"/>
      <c r="X29" s="76"/>
      <c r="Y29" s="76"/>
      <c r="Z29" s="80"/>
      <c r="AA29" s="76"/>
      <c r="AB29" s="76"/>
      <c r="AC29" s="85"/>
      <c r="AD29" s="76"/>
      <c r="AE29" s="76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33"/>
      <c r="BG29" s="33"/>
      <c r="BH29" s="33"/>
      <c r="BI29" s="33"/>
      <c r="BJ29" s="33"/>
      <c r="BK29" s="33"/>
      <c r="BL29" s="33"/>
      <c r="BM29" s="33"/>
      <c r="BN29" s="84"/>
      <c r="BO29" s="84"/>
      <c r="BP29" s="84"/>
      <c r="BQ29" s="84"/>
      <c r="BR29" s="33"/>
      <c r="BS29" s="33"/>
      <c r="BT29" s="84"/>
      <c r="BU29" s="33"/>
      <c r="BV29" s="84"/>
      <c r="BW29" s="33"/>
      <c r="BX29" s="84"/>
      <c r="BY29" s="33"/>
      <c r="BZ29" s="33"/>
      <c r="CA29" s="33"/>
      <c r="CB29" s="33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4.5" customHeight="1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4.5" customHeigh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4.5" customHeight="1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4.5" customHeight="1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4.5" customHeight="1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24" customHeight="1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1" spans="1:64" ht="24" customHeight="1" x14ac:dyDescent="0.25"/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T4:BU4"/>
    <mergeCell ref="BV4:BW4"/>
    <mergeCell ref="BX4:BY4"/>
    <mergeCell ref="BZ4:BZ5"/>
    <mergeCell ref="CA4:CA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M4:M5"/>
    <mergeCell ref="C45:M45"/>
    <mergeCell ref="C46:M46"/>
    <mergeCell ref="C52:M52"/>
    <mergeCell ref="A39:H39"/>
    <mergeCell ref="A40:H40"/>
    <mergeCell ref="A44:M44"/>
    <mergeCell ref="K4:K5"/>
    <mergeCell ref="L4:L5"/>
    <mergeCell ref="C53:M53"/>
    <mergeCell ref="C54:M54"/>
    <mergeCell ref="C47:M47"/>
    <mergeCell ref="C48:M48"/>
    <mergeCell ref="C49:M49"/>
    <mergeCell ref="C50:M50"/>
    <mergeCell ref="C51:M51"/>
    <mergeCell ref="R39:AA39"/>
    <mergeCell ref="R40:AA40"/>
    <mergeCell ref="A38:H38"/>
    <mergeCell ref="A35:AA35"/>
    <mergeCell ref="A36:AA36"/>
    <mergeCell ref="A37:AA37"/>
    <mergeCell ref="R38:AA38"/>
    <mergeCell ref="N4:P4"/>
    <mergeCell ref="Q4:S4"/>
    <mergeCell ref="Y4:Y5"/>
    <mergeCell ref="X4:X5"/>
    <mergeCell ref="V4:V5"/>
    <mergeCell ref="W4:W5"/>
    <mergeCell ref="T4:T5"/>
    <mergeCell ref="U4:U5"/>
    <mergeCell ref="A2:L3"/>
    <mergeCell ref="B4:D4"/>
    <mergeCell ref="E4:G4"/>
    <mergeCell ref="A4:A5"/>
    <mergeCell ref="J4:J5"/>
    <mergeCell ref="I4:I5"/>
    <mergeCell ref="AE4:AE5"/>
    <mergeCell ref="AF4:AR4"/>
    <mergeCell ref="AS4:BE4"/>
    <mergeCell ref="BF4:BH4"/>
    <mergeCell ref="BN4:BO4"/>
    <mergeCell ref="BP4:BQ4"/>
    <mergeCell ref="BR4:BS4"/>
    <mergeCell ref="BI4:BI5"/>
    <mergeCell ref="BJ4:BL4"/>
    <mergeCell ref="BM4:BM5"/>
  </mergeCells>
  <phoneticPr fontId="5" type="noConversion"/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7" zoomScale="90" zoomScaleNormal="90" workbookViewId="0">
      <pane xSplit="1" topLeftCell="BL1" activePane="topRight" state="frozen"/>
      <selection activeCell="A7" sqref="A7"/>
      <selection pane="topRight" activeCell="BP23" sqref="BP23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'13'!BV1:CC1+1</f>
        <v>46187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100.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58" customHeight="1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ht="17.25" customHeight="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ht="16.5" customHeight="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ht="17.25" customHeight="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ht="15.75" customHeight="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ht="17.25" customHeight="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ht="18" customHeight="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ht="17.25" customHeight="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95"/>
      <c r="BJ12" s="33"/>
      <c r="BK12" s="33"/>
      <c r="BL12" s="33"/>
      <c r="BM12" s="33"/>
      <c r="BN12" s="84"/>
      <c r="BO12" s="84"/>
      <c r="BP12" s="84"/>
      <c r="BQ12" s="84"/>
      <c r="BR12" s="33"/>
      <c r="BS12" s="33"/>
      <c r="BT12" s="84"/>
      <c r="BU12" s="33"/>
      <c r="BV12" s="84"/>
      <c r="BW12" s="33"/>
      <c r="BX12" s="84"/>
      <c r="BY12" s="33"/>
      <c r="BZ12" s="77"/>
      <c r="CA12" s="77"/>
      <c r="CB12" s="77"/>
      <c r="CC12" s="33"/>
    </row>
    <row r="13" spans="1:81" ht="15.75" customHeight="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95"/>
      <c r="BJ13" s="33"/>
      <c r="BK13" s="33"/>
      <c r="BL13" s="33"/>
      <c r="BM13" s="33"/>
      <c r="BN13" s="84"/>
      <c r="BO13" s="84"/>
      <c r="BP13" s="84"/>
      <c r="BQ13" s="84"/>
      <c r="BR13" s="33"/>
      <c r="BS13" s="33"/>
      <c r="BT13" s="84"/>
      <c r="BU13" s="33"/>
      <c r="BV13" s="84"/>
      <c r="BW13" s="33"/>
      <c r="BX13" s="84"/>
      <c r="BY13" s="33"/>
      <c r="BZ13" s="77"/>
      <c r="CA13" s="77"/>
      <c r="CB13" s="77"/>
      <c r="CC13" s="33"/>
    </row>
    <row r="14" spans="1:81" ht="15.75" customHeight="1" x14ac:dyDescent="0.35">
      <c r="A14" s="96">
        <v>0.33333333333333331</v>
      </c>
      <c r="B14" s="97"/>
      <c r="C14" s="97"/>
      <c r="D14" s="97"/>
      <c r="E14" s="97"/>
      <c r="F14" s="97"/>
      <c r="G14" s="97"/>
      <c r="H14" s="98"/>
      <c r="I14" s="98"/>
      <c r="J14" s="99"/>
      <c r="K14" s="99"/>
      <c r="L14" s="99"/>
      <c r="M14" s="100"/>
      <c r="N14" s="97"/>
      <c r="O14" s="97"/>
      <c r="P14" s="97"/>
      <c r="Q14" s="97"/>
      <c r="R14" s="97"/>
      <c r="S14" s="97"/>
      <c r="T14" s="101"/>
      <c r="U14" s="102"/>
      <c r="V14" s="102"/>
      <c r="W14" s="103"/>
      <c r="X14" s="102"/>
      <c r="Y14" s="102"/>
      <c r="Z14" s="101"/>
      <c r="AA14" s="102"/>
      <c r="AB14" s="102"/>
      <c r="AC14" s="104"/>
      <c r="AD14" s="102"/>
      <c r="AE14" s="102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98"/>
      <c r="BG14" s="98"/>
      <c r="BH14" s="98"/>
      <c r="BI14" s="106"/>
      <c r="BJ14" s="107"/>
      <c r="BK14" s="107"/>
      <c r="BL14" s="107"/>
      <c r="BM14" s="107"/>
      <c r="BN14" s="108"/>
      <c r="BO14" s="108"/>
      <c r="BP14" s="84"/>
      <c r="BQ14" s="84"/>
      <c r="BR14" s="107"/>
      <c r="BS14" s="107"/>
      <c r="BT14" s="108"/>
      <c r="BU14" s="107"/>
      <c r="BV14" s="108"/>
      <c r="BW14" s="107"/>
      <c r="BX14" s="108"/>
      <c r="BY14" s="107"/>
      <c r="BZ14" s="98"/>
      <c r="CA14" s="98"/>
      <c r="CB14" s="98"/>
      <c r="CC14" s="107"/>
    </row>
    <row r="15" spans="1:81" ht="17.25" customHeight="1" x14ac:dyDescent="0.35">
      <c r="A15" s="32">
        <v>0.375</v>
      </c>
      <c r="B15" s="33"/>
      <c r="C15" s="33"/>
      <c r="D15" s="33"/>
      <c r="E15" s="33"/>
      <c r="F15" s="33"/>
      <c r="G15" s="33"/>
      <c r="H15" s="33"/>
      <c r="I15" s="33"/>
      <c r="J15" s="32"/>
      <c r="K15" s="32"/>
      <c r="L15" s="32"/>
      <c r="M15" s="33"/>
      <c r="N15" s="76"/>
      <c r="O15" s="76"/>
      <c r="P15" s="76"/>
      <c r="Q15" s="76"/>
      <c r="R15" s="76"/>
      <c r="S15" s="76"/>
      <c r="T15" s="80"/>
      <c r="U15" s="76"/>
      <c r="V15" s="76"/>
      <c r="W15" s="82"/>
      <c r="X15" s="76"/>
      <c r="Y15" s="76"/>
      <c r="Z15" s="80"/>
      <c r="AA15" s="76"/>
      <c r="AB15" s="76"/>
      <c r="AC15" s="85"/>
      <c r="AD15" s="76"/>
      <c r="AE15" s="76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84"/>
      <c r="BQ15" s="84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</row>
    <row r="16" spans="1:81" x14ac:dyDescent="0.35">
      <c r="A16" s="34">
        <v>0.41666666666666669</v>
      </c>
      <c r="B16" s="33"/>
      <c r="C16" s="33"/>
      <c r="D16" s="33"/>
      <c r="E16" s="33"/>
      <c r="F16" s="33"/>
      <c r="G16" s="33"/>
      <c r="H16" s="33"/>
      <c r="I16" s="33"/>
      <c r="J16" s="32"/>
      <c r="K16" s="32"/>
      <c r="L16" s="32"/>
      <c r="M16" s="33"/>
      <c r="N16" s="76"/>
      <c r="O16" s="76"/>
      <c r="P16" s="76"/>
      <c r="Q16" s="76"/>
      <c r="R16" s="76"/>
      <c r="S16" s="76"/>
      <c r="T16" s="80"/>
      <c r="U16" s="76"/>
      <c r="V16" s="76"/>
      <c r="W16" s="82"/>
      <c r="X16" s="76"/>
      <c r="Y16" s="76"/>
      <c r="Z16" s="80"/>
      <c r="AA16" s="76"/>
      <c r="AB16" s="76"/>
      <c r="AC16" s="85"/>
      <c r="AD16" s="76"/>
      <c r="AE16" s="76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84"/>
      <c r="BQ16" s="84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</row>
    <row r="17" spans="1:81" x14ac:dyDescent="0.35">
      <c r="A17" s="34">
        <v>0.45833333333333331</v>
      </c>
      <c r="B17" s="33"/>
      <c r="C17" s="33"/>
      <c r="D17" s="33"/>
      <c r="E17" s="33"/>
      <c r="F17" s="33"/>
      <c r="G17" s="33"/>
      <c r="H17" s="33"/>
      <c r="I17" s="33"/>
      <c r="J17" s="32"/>
      <c r="K17" s="32"/>
      <c r="L17" s="32"/>
      <c r="M17" s="33"/>
      <c r="N17" s="76"/>
      <c r="O17" s="76"/>
      <c r="P17" s="76"/>
      <c r="Q17" s="76"/>
      <c r="R17" s="76"/>
      <c r="S17" s="76"/>
      <c r="T17" s="80"/>
      <c r="U17" s="76"/>
      <c r="V17" s="76"/>
      <c r="W17" s="82"/>
      <c r="X17" s="76"/>
      <c r="Y17" s="76"/>
      <c r="Z17" s="80"/>
      <c r="AA17" s="76"/>
      <c r="AB17" s="76"/>
      <c r="AC17" s="85"/>
      <c r="AD17" s="76"/>
      <c r="AE17" s="76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84"/>
      <c r="BQ17" s="84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</row>
    <row r="18" spans="1:81" x14ac:dyDescent="0.35">
      <c r="A18" s="34">
        <v>0.5</v>
      </c>
      <c r="B18" s="33"/>
      <c r="C18" s="33"/>
      <c r="D18" s="33"/>
      <c r="E18" s="33"/>
      <c r="F18" s="33"/>
      <c r="G18" s="33"/>
      <c r="H18" s="33"/>
      <c r="I18" s="33"/>
      <c r="J18" s="32"/>
      <c r="K18" s="32"/>
      <c r="L18" s="32"/>
      <c r="M18" s="33"/>
      <c r="N18" s="76"/>
      <c r="O18" s="76"/>
      <c r="P18" s="76"/>
      <c r="Q18" s="76"/>
      <c r="R18" s="76"/>
      <c r="S18" s="76"/>
      <c r="T18" s="80"/>
      <c r="U18" s="76"/>
      <c r="V18" s="76"/>
      <c r="W18" s="82"/>
      <c r="X18" s="76"/>
      <c r="Y18" s="76"/>
      <c r="Z18" s="80"/>
      <c r="AA18" s="76"/>
      <c r="AB18" s="76"/>
      <c r="AC18" s="85"/>
      <c r="AD18" s="76"/>
      <c r="AE18" s="76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84"/>
      <c r="BQ18" s="84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</row>
    <row r="19" spans="1:81" x14ac:dyDescent="0.35">
      <c r="A19" s="34">
        <v>0.54166666666666663</v>
      </c>
      <c r="B19" s="33"/>
      <c r="C19" s="33"/>
      <c r="D19" s="33"/>
      <c r="E19" s="33"/>
      <c r="F19" s="33"/>
      <c r="G19" s="33"/>
      <c r="H19" s="33"/>
      <c r="I19" s="33"/>
      <c r="J19" s="32"/>
      <c r="K19" s="32"/>
      <c r="L19" s="32"/>
      <c r="M19" s="33"/>
      <c r="N19" s="76"/>
      <c r="O19" s="76"/>
      <c r="P19" s="76"/>
      <c r="Q19" s="76"/>
      <c r="R19" s="76"/>
      <c r="S19" s="76"/>
      <c r="T19" s="80"/>
      <c r="U19" s="76"/>
      <c r="V19" s="76"/>
      <c r="W19" s="82"/>
      <c r="X19" s="76"/>
      <c r="Y19" s="76"/>
      <c r="Z19" s="80"/>
      <c r="AA19" s="76"/>
      <c r="AB19" s="76"/>
      <c r="AC19" s="85"/>
      <c r="AD19" s="76"/>
      <c r="AE19" s="76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84"/>
      <c r="BQ19" s="84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</row>
    <row r="20" spans="1:81" x14ac:dyDescent="0.35">
      <c r="A20" s="34">
        <v>0.58333333333333337</v>
      </c>
      <c r="B20" s="33"/>
      <c r="C20" s="33"/>
      <c r="D20" s="33"/>
      <c r="E20" s="33"/>
      <c r="F20" s="33"/>
      <c r="G20" s="33"/>
      <c r="H20" s="33"/>
      <c r="I20" s="33"/>
      <c r="J20" s="32"/>
      <c r="K20" s="32"/>
      <c r="L20" s="32"/>
      <c r="M20" s="33"/>
      <c r="N20" s="76"/>
      <c r="O20" s="76"/>
      <c r="P20" s="76"/>
      <c r="Q20" s="76"/>
      <c r="R20" s="76"/>
      <c r="S20" s="76"/>
      <c r="T20" s="80"/>
      <c r="U20" s="76"/>
      <c r="V20" s="76"/>
      <c r="W20" s="82"/>
      <c r="X20" s="76"/>
      <c r="Y20" s="76"/>
      <c r="Z20" s="80"/>
      <c r="AA20" s="76"/>
      <c r="AB20" s="76"/>
      <c r="AC20" s="85"/>
      <c r="AD20" s="76"/>
      <c r="AE20" s="76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84"/>
      <c r="BQ20" s="84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</row>
    <row r="21" spans="1:81" x14ac:dyDescent="0.35">
      <c r="A21" s="34">
        <v>0.625</v>
      </c>
      <c r="B21" s="33"/>
      <c r="C21" s="33"/>
      <c r="D21" s="33"/>
      <c r="E21" s="33"/>
      <c r="F21" s="33"/>
      <c r="G21" s="33"/>
      <c r="H21" s="33"/>
      <c r="I21" s="33"/>
      <c r="J21" s="32"/>
      <c r="K21" s="32"/>
      <c r="L21" s="32"/>
      <c r="M21" s="33"/>
      <c r="N21" s="76"/>
      <c r="O21" s="76"/>
      <c r="P21" s="76"/>
      <c r="Q21" s="76"/>
      <c r="R21" s="76"/>
      <c r="S21" s="76"/>
      <c r="T21" s="80"/>
      <c r="U21" s="76"/>
      <c r="V21" s="76"/>
      <c r="W21" s="82"/>
      <c r="X21" s="76"/>
      <c r="Y21" s="76"/>
      <c r="Z21" s="80"/>
      <c r="AA21" s="76"/>
      <c r="AB21" s="76"/>
      <c r="AC21" s="85"/>
      <c r="AD21" s="76"/>
      <c r="AE21" s="76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84"/>
      <c r="BQ21" s="84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</row>
    <row r="22" spans="1:81" x14ac:dyDescent="0.35">
      <c r="A22" s="34">
        <v>0.66666666666666663</v>
      </c>
      <c r="B22" s="33"/>
      <c r="C22" s="33"/>
      <c r="D22" s="33"/>
      <c r="E22" s="33"/>
      <c r="F22" s="33"/>
      <c r="G22" s="33"/>
      <c r="H22" s="33"/>
      <c r="I22" s="33"/>
      <c r="J22" s="32"/>
      <c r="K22" s="32"/>
      <c r="L22" s="32"/>
      <c r="M22" s="33"/>
      <c r="N22" s="76"/>
      <c r="O22" s="76"/>
      <c r="P22" s="76"/>
      <c r="Q22" s="76"/>
      <c r="R22" s="76"/>
      <c r="S22" s="76"/>
      <c r="T22" s="80"/>
      <c r="U22" s="76"/>
      <c r="V22" s="76"/>
      <c r="W22" s="82"/>
      <c r="X22" s="76"/>
      <c r="Y22" s="76"/>
      <c r="Z22" s="80"/>
      <c r="AA22" s="76"/>
      <c r="AB22" s="76"/>
      <c r="AC22" s="85"/>
      <c r="AD22" s="76"/>
      <c r="AE22" s="76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84"/>
      <c r="BQ22" s="84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</row>
    <row r="23" spans="1:81" x14ac:dyDescent="0.35">
      <c r="A23" s="34">
        <v>0.70833333333333337</v>
      </c>
      <c r="B23" s="33"/>
      <c r="C23" s="33"/>
      <c r="D23" s="33"/>
      <c r="E23" s="33"/>
      <c r="F23" s="33"/>
      <c r="G23" s="33"/>
      <c r="H23" s="33"/>
      <c r="I23" s="33"/>
      <c r="J23" s="32"/>
      <c r="K23" s="32"/>
      <c r="L23" s="32"/>
      <c r="M23" s="33"/>
      <c r="N23" s="76"/>
      <c r="O23" s="76"/>
      <c r="P23" s="76"/>
      <c r="Q23" s="76"/>
      <c r="R23" s="76"/>
      <c r="S23" s="76"/>
      <c r="T23" s="80"/>
      <c r="U23" s="76"/>
      <c r="V23" s="76"/>
      <c r="W23" s="82"/>
      <c r="X23" s="76"/>
      <c r="Y23" s="76"/>
      <c r="Z23" s="80"/>
      <c r="AA23" s="76"/>
      <c r="AB23" s="76"/>
      <c r="AC23" s="85"/>
      <c r="AD23" s="76"/>
      <c r="AE23" s="76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84"/>
      <c r="BQ23" s="84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</row>
    <row r="24" spans="1:81" x14ac:dyDescent="0.35">
      <c r="A24" s="34">
        <v>0.75</v>
      </c>
      <c r="B24" s="33"/>
      <c r="C24" s="33"/>
      <c r="D24" s="33"/>
      <c r="E24" s="33"/>
      <c r="F24" s="33"/>
      <c r="G24" s="33"/>
      <c r="H24" s="33"/>
      <c r="I24" s="33"/>
      <c r="J24" s="32"/>
      <c r="K24" s="32"/>
      <c r="L24" s="32"/>
      <c r="M24" s="33"/>
      <c r="N24" s="76"/>
      <c r="O24" s="76"/>
      <c r="P24" s="76"/>
      <c r="Q24" s="76"/>
      <c r="R24" s="76"/>
      <c r="S24" s="76"/>
      <c r="T24" s="80"/>
      <c r="U24" s="76"/>
      <c r="V24" s="76"/>
      <c r="W24" s="82"/>
      <c r="X24" s="76"/>
      <c r="Y24" s="76"/>
      <c r="Z24" s="80"/>
      <c r="AA24" s="76"/>
      <c r="AB24" s="76"/>
      <c r="AC24" s="85"/>
      <c r="AD24" s="76"/>
      <c r="AE24" s="76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84"/>
      <c r="BQ24" s="84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</row>
    <row r="25" spans="1:81" x14ac:dyDescent="0.35">
      <c r="A25" s="34">
        <v>0.79166666666666663</v>
      </c>
      <c r="B25" s="33"/>
      <c r="C25" s="33"/>
      <c r="D25" s="33"/>
      <c r="E25" s="33"/>
      <c r="F25" s="33"/>
      <c r="G25" s="33"/>
      <c r="H25" s="33"/>
      <c r="I25" s="33"/>
      <c r="J25" s="32"/>
      <c r="K25" s="32"/>
      <c r="L25" s="32"/>
      <c r="M25" s="109"/>
      <c r="N25" s="76"/>
      <c r="O25" s="76"/>
      <c r="P25" s="76"/>
      <c r="Q25" s="76"/>
      <c r="R25" s="76"/>
      <c r="S25" s="76"/>
      <c r="T25" s="80"/>
      <c r="U25" s="76"/>
      <c r="V25" s="76"/>
      <c r="W25" s="82"/>
      <c r="X25" s="76"/>
      <c r="Y25" s="76"/>
      <c r="Z25" s="80"/>
      <c r="AA25" s="76"/>
      <c r="AB25" s="76"/>
      <c r="AC25" s="85"/>
      <c r="AD25" s="76"/>
      <c r="AE25" s="76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84"/>
      <c r="BQ25" s="84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</row>
    <row r="26" spans="1:81" x14ac:dyDescent="0.35">
      <c r="A26" s="34">
        <v>0.83333333333333337</v>
      </c>
      <c r="B26" s="33"/>
      <c r="C26" s="33"/>
      <c r="D26" s="33"/>
      <c r="E26" s="33"/>
      <c r="F26" s="33"/>
      <c r="G26" s="33"/>
      <c r="H26" s="33"/>
      <c r="I26" s="33"/>
      <c r="J26" s="32"/>
      <c r="K26" s="32"/>
      <c r="L26" s="32"/>
      <c r="M26" s="109"/>
      <c r="N26" s="76"/>
      <c r="O26" s="76"/>
      <c r="P26" s="76"/>
      <c r="Q26" s="76"/>
      <c r="R26" s="76"/>
      <c r="S26" s="76"/>
      <c r="T26" s="80"/>
      <c r="U26" s="76"/>
      <c r="V26" s="76"/>
      <c r="W26" s="82"/>
      <c r="X26" s="76"/>
      <c r="Y26" s="76"/>
      <c r="Z26" s="80"/>
      <c r="AA26" s="76"/>
      <c r="AB26" s="76"/>
      <c r="AC26" s="85"/>
      <c r="AD26" s="76"/>
      <c r="AE26" s="76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84"/>
      <c r="BQ26" s="84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</row>
    <row r="27" spans="1:81" x14ac:dyDescent="0.35">
      <c r="A27" s="34">
        <v>0.875</v>
      </c>
      <c r="B27" s="33"/>
      <c r="C27" s="33"/>
      <c r="D27" s="33"/>
      <c r="E27" s="33"/>
      <c r="F27" s="33"/>
      <c r="G27" s="33"/>
      <c r="H27" s="33"/>
      <c r="I27" s="33"/>
      <c r="J27" s="32"/>
      <c r="K27" s="32"/>
      <c r="L27" s="32"/>
      <c r="M27" s="109"/>
      <c r="N27" s="76"/>
      <c r="O27" s="76"/>
      <c r="P27" s="76"/>
      <c r="Q27" s="76"/>
      <c r="R27" s="76"/>
      <c r="S27" s="76"/>
      <c r="T27" s="80"/>
      <c r="U27" s="76"/>
      <c r="V27" s="76"/>
      <c r="W27" s="82"/>
      <c r="X27" s="76"/>
      <c r="Y27" s="76"/>
      <c r="Z27" s="80"/>
      <c r="AA27" s="76"/>
      <c r="AB27" s="76"/>
      <c r="AC27" s="85"/>
      <c r="AD27" s="76"/>
      <c r="AE27" s="76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84"/>
      <c r="BQ27" s="84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</row>
    <row r="28" spans="1:81" x14ac:dyDescent="0.35">
      <c r="A28" s="34">
        <v>0.91666666666666663</v>
      </c>
      <c r="B28" s="33"/>
      <c r="C28" s="33"/>
      <c r="D28" s="33"/>
      <c r="E28" s="33"/>
      <c r="F28" s="33"/>
      <c r="G28" s="33"/>
      <c r="H28" s="33"/>
      <c r="I28" s="33"/>
      <c r="J28" s="32"/>
      <c r="K28" s="32"/>
      <c r="L28" s="32"/>
      <c r="M28" s="109"/>
      <c r="N28" s="76"/>
      <c r="O28" s="76"/>
      <c r="P28" s="76"/>
      <c r="Q28" s="76"/>
      <c r="R28" s="76"/>
      <c r="S28" s="76"/>
      <c r="T28" s="80"/>
      <c r="U28" s="76"/>
      <c r="V28" s="76"/>
      <c r="W28" s="82"/>
      <c r="X28" s="76"/>
      <c r="Y28" s="76"/>
      <c r="Z28" s="80"/>
      <c r="AA28" s="76"/>
      <c r="AB28" s="76"/>
      <c r="AC28" s="85"/>
      <c r="AD28" s="76"/>
      <c r="AE28" s="76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84"/>
      <c r="BQ28" s="84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</row>
    <row r="29" spans="1:81" x14ac:dyDescent="0.35">
      <c r="A29" s="34">
        <v>0.95833333333333337</v>
      </c>
      <c r="B29" s="33"/>
      <c r="C29" s="33"/>
      <c r="D29" s="33"/>
      <c r="E29" s="33"/>
      <c r="F29" s="33"/>
      <c r="G29" s="33"/>
      <c r="H29" s="33"/>
      <c r="I29" s="33"/>
      <c r="J29" s="32"/>
      <c r="K29" s="32"/>
      <c r="L29" s="32"/>
      <c r="M29" s="109"/>
      <c r="N29" s="76"/>
      <c r="O29" s="76"/>
      <c r="P29" s="76"/>
      <c r="Q29" s="76"/>
      <c r="R29" s="76"/>
      <c r="S29" s="76"/>
      <c r="T29" s="80"/>
      <c r="U29" s="76"/>
      <c r="V29" s="76"/>
      <c r="W29" s="82"/>
      <c r="X29" s="76"/>
      <c r="Y29" s="76"/>
      <c r="Z29" s="80"/>
      <c r="AA29" s="76"/>
      <c r="AB29" s="76"/>
      <c r="AC29" s="85"/>
      <c r="AD29" s="76"/>
      <c r="AE29" s="76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84"/>
      <c r="BQ29" s="84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24" customHeight="1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1" spans="1:64" ht="24" customHeight="1" x14ac:dyDescent="0.25"/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ht="15" x14ac:dyDescent="0.2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ht="15" x14ac:dyDescent="0.2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ht="15" x14ac:dyDescent="0.2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ht="15" x14ac:dyDescent="0.2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ht="15" x14ac:dyDescent="0.2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ht="15" x14ac:dyDescent="0.2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ht="15" x14ac:dyDescent="0.2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ht="15" x14ac:dyDescent="0.2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T4:BU4"/>
    <mergeCell ref="BV4:BW4"/>
    <mergeCell ref="BX4:BY4"/>
    <mergeCell ref="BZ4:BZ5"/>
    <mergeCell ref="CA4:CA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M4:M5"/>
    <mergeCell ref="C45:M45"/>
    <mergeCell ref="C46:M46"/>
    <mergeCell ref="C52:M52"/>
    <mergeCell ref="A39:H39"/>
    <mergeCell ref="A40:H40"/>
    <mergeCell ref="A44:M44"/>
    <mergeCell ref="K4:K5"/>
    <mergeCell ref="L4:L5"/>
    <mergeCell ref="C53:M53"/>
    <mergeCell ref="C54:M54"/>
    <mergeCell ref="C47:M47"/>
    <mergeCell ref="C48:M48"/>
    <mergeCell ref="C49:M49"/>
    <mergeCell ref="C50:M50"/>
    <mergeCell ref="C51:M51"/>
    <mergeCell ref="R39:AA39"/>
    <mergeCell ref="R40:AA40"/>
    <mergeCell ref="A38:H38"/>
    <mergeCell ref="A35:AA35"/>
    <mergeCell ref="A36:AA36"/>
    <mergeCell ref="A37:AA37"/>
    <mergeCell ref="R38:AA38"/>
    <mergeCell ref="N4:P4"/>
    <mergeCell ref="Q4:S4"/>
    <mergeCell ref="Y4:Y5"/>
    <mergeCell ref="X4:X5"/>
    <mergeCell ref="V4:V5"/>
    <mergeCell ref="W4:W5"/>
    <mergeCell ref="T4:T5"/>
    <mergeCell ref="U4:U5"/>
    <mergeCell ref="A2:L3"/>
    <mergeCell ref="B4:D4"/>
    <mergeCell ref="E4:G4"/>
    <mergeCell ref="A4:A5"/>
    <mergeCell ref="J4:J5"/>
    <mergeCell ref="I4:I5"/>
    <mergeCell ref="AE4:AE5"/>
    <mergeCell ref="AF4:AR4"/>
    <mergeCell ref="AS4:BE4"/>
    <mergeCell ref="BF4:BH4"/>
    <mergeCell ref="BN4:BO4"/>
    <mergeCell ref="BP4:BQ4"/>
    <mergeCell ref="BR4:BS4"/>
    <mergeCell ref="BI4:BI5"/>
    <mergeCell ref="BJ4:BL4"/>
    <mergeCell ref="BM4:BM5"/>
  </mergeCells>
  <phoneticPr fontId="5" type="noConversion"/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12" zoomScale="90" zoomScaleNormal="90" workbookViewId="0">
      <pane xSplit="1" topLeftCell="BL1" activePane="topRight" state="frozen"/>
      <selection pane="topRight" activeCell="BP27" sqref="BP27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'14'!BV1:CC1+1</f>
        <v>46188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100.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58" customHeight="1" x14ac:dyDescent="0.35">
      <c r="A5" s="208"/>
      <c r="B5" s="112" t="s">
        <v>43</v>
      </c>
      <c r="C5" s="112" t="s">
        <v>42</v>
      </c>
      <c r="D5" s="112" t="s">
        <v>41</v>
      </c>
      <c r="E5" s="112" t="s">
        <v>43</v>
      </c>
      <c r="F5" s="112" t="s">
        <v>42</v>
      </c>
      <c r="G5" s="112" t="s">
        <v>41</v>
      </c>
      <c r="H5" s="112" t="s">
        <v>141</v>
      </c>
      <c r="I5" s="207"/>
      <c r="J5" s="207"/>
      <c r="K5" s="207"/>
      <c r="L5" s="207"/>
      <c r="M5" s="207"/>
      <c r="N5" s="112" t="s">
        <v>43</v>
      </c>
      <c r="O5" s="112" t="s">
        <v>42</v>
      </c>
      <c r="P5" s="112" t="s">
        <v>41</v>
      </c>
      <c r="Q5" s="112" t="s">
        <v>43</v>
      </c>
      <c r="R5" s="112" t="s">
        <v>42</v>
      </c>
      <c r="S5" s="112" t="s">
        <v>41</v>
      </c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94" t="s">
        <v>177</v>
      </c>
      <c r="AG5" s="94" t="s">
        <v>178</v>
      </c>
      <c r="AH5" s="94" t="s">
        <v>179</v>
      </c>
      <c r="AI5" s="94" t="s">
        <v>213</v>
      </c>
      <c r="AJ5" s="94" t="s">
        <v>187</v>
      </c>
      <c r="AK5" s="94" t="s">
        <v>189</v>
      </c>
      <c r="AL5" s="94" t="s">
        <v>190</v>
      </c>
      <c r="AM5" s="94" t="s">
        <v>214</v>
      </c>
      <c r="AN5" s="94" t="s">
        <v>215</v>
      </c>
      <c r="AO5" s="94" t="s">
        <v>216</v>
      </c>
      <c r="AP5" s="94" t="s">
        <v>180</v>
      </c>
      <c r="AQ5" s="94" t="s">
        <v>181</v>
      </c>
      <c r="AR5" s="94" t="s">
        <v>182</v>
      </c>
      <c r="AS5" s="94" t="s">
        <v>177</v>
      </c>
      <c r="AT5" s="94" t="s">
        <v>178</v>
      </c>
      <c r="AU5" s="94" t="s">
        <v>179</v>
      </c>
      <c r="AV5" s="94" t="s">
        <v>213</v>
      </c>
      <c r="AW5" s="94" t="s">
        <v>187</v>
      </c>
      <c r="AX5" s="94" t="s">
        <v>189</v>
      </c>
      <c r="AY5" s="94" t="s">
        <v>190</v>
      </c>
      <c r="AZ5" s="94" t="s">
        <v>214</v>
      </c>
      <c r="BA5" s="94" t="s">
        <v>215</v>
      </c>
      <c r="BB5" s="94" t="s">
        <v>216</v>
      </c>
      <c r="BC5" s="94" t="s">
        <v>180</v>
      </c>
      <c r="BD5" s="94" t="s">
        <v>181</v>
      </c>
      <c r="BE5" s="94" t="s">
        <v>182</v>
      </c>
      <c r="BF5" s="112" t="s">
        <v>66</v>
      </c>
      <c r="BG5" s="112" t="s">
        <v>67</v>
      </c>
      <c r="BH5" s="112" t="s">
        <v>157</v>
      </c>
      <c r="BI5" s="206"/>
      <c r="BJ5" s="112" t="s">
        <v>66</v>
      </c>
      <c r="BK5" s="112" t="s">
        <v>67</v>
      </c>
      <c r="BL5" s="112" t="s">
        <v>139</v>
      </c>
      <c r="BM5" s="207"/>
      <c r="BN5" s="113" t="s">
        <v>64</v>
      </c>
      <c r="BO5" s="112" t="s">
        <v>65</v>
      </c>
      <c r="BP5" s="112" t="s">
        <v>64</v>
      </c>
      <c r="BQ5" s="112" t="s">
        <v>65</v>
      </c>
      <c r="BR5" s="112" t="s">
        <v>64</v>
      </c>
      <c r="BS5" s="112" t="s">
        <v>65</v>
      </c>
      <c r="BT5" s="112" t="s">
        <v>64</v>
      </c>
      <c r="BU5" s="112" t="s">
        <v>65</v>
      </c>
      <c r="BV5" s="112" t="s">
        <v>64</v>
      </c>
      <c r="BW5" s="112" t="s">
        <v>65</v>
      </c>
      <c r="BX5" s="114" t="s">
        <v>64</v>
      </c>
      <c r="BY5" s="114" t="s">
        <v>65</v>
      </c>
      <c r="BZ5" s="207"/>
      <c r="CA5" s="207"/>
      <c r="CB5" s="182"/>
      <c r="CC5" s="185"/>
    </row>
    <row r="6" spans="1:81" x14ac:dyDescent="0.35">
      <c r="A6" s="32">
        <v>0</v>
      </c>
      <c r="B6" s="33"/>
      <c r="C6" s="33"/>
      <c r="D6" s="33"/>
      <c r="E6" s="33"/>
      <c r="F6" s="33"/>
      <c r="G6" s="33"/>
      <c r="H6" s="33"/>
      <c r="I6" s="33"/>
      <c r="J6" s="32"/>
      <c r="K6" s="32"/>
      <c r="L6" s="32"/>
      <c r="M6" s="109"/>
      <c r="N6" s="76"/>
      <c r="O6" s="76"/>
      <c r="P6" s="76"/>
      <c r="Q6" s="76"/>
      <c r="R6" s="76"/>
      <c r="S6" s="76"/>
      <c r="T6" s="80"/>
      <c r="U6" s="76"/>
      <c r="V6" s="76"/>
      <c r="W6" s="82"/>
      <c r="X6" s="76"/>
      <c r="Y6" s="76"/>
      <c r="Z6" s="80"/>
      <c r="AA6" s="76"/>
      <c r="AB6" s="76"/>
      <c r="AC6" s="85"/>
      <c r="AD6" s="76"/>
      <c r="AE6" s="76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3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33"/>
      <c r="BZ6" s="33"/>
      <c r="CA6" s="33"/>
      <c r="CB6" s="33"/>
      <c r="CC6" s="33"/>
    </row>
    <row r="7" spans="1:81" ht="16.5" customHeight="1" x14ac:dyDescent="0.35">
      <c r="A7" s="32">
        <v>4.1666666666666664E-2</v>
      </c>
      <c r="B7" s="33"/>
      <c r="C7" s="33"/>
      <c r="D7" s="33"/>
      <c r="E7" s="33"/>
      <c r="F7" s="33"/>
      <c r="G7" s="33"/>
      <c r="H7" s="33"/>
      <c r="I7" s="33"/>
      <c r="J7" s="32"/>
      <c r="K7" s="32"/>
      <c r="L7" s="32"/>
      <c r="M7" s="109"/>
      <c r="N7" s="76"/>
      <c r="O7" s="76"/>
      <c r="P7" s="76"/>
      <c r="Q7" s="76"/>
      <c r="R7" s="76"/>
      <c r="S7" s="76"/>
      <c r="T7" s="80"/>
      <c r="U7" s="76"/>
      <c r="V7" s="76"/>
      <c r="W7" s="82"/>
      <c r="X7" s="76"/>
      <c r="Y7" s="76"/>
      <c r="Z7" s="80"/>
      <c r="AA7" s="76"/>
      <c r="AB7" s="76"/>
      <c r="AC7" s="85"/>
      <c r="AD7" s="76"/>
      <c r="AE7" s="76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3"/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33"/>
      <c r="BZ7" s="33"/>
      <c r="CA7" s="33"/>
      <c r="CB7" s="33"/>
      <c r="CC7" s="33"/>
    </row>
    <row r="8" spans="1:81" x14ac:dyDescent="0.35">
      <c r="A8" s="32">
        <v>8.3333333333333329E-2</v>
      </c>
      <c r="B8" s="33"/>
      <c r="C8" s="33"/>
      <c r="D8" s="33"/>
      <c r="E8" s="33"/>
      <c r="F8" s="33"/>
      <c r="G8" s="33"/>
      <c r="H8" s="33"/>
      <c r="I8" s="33"/>
      <c r="J8" s="32"/>
      <c r="K8" s="32"/>
      <c r="L8" s="32"/>
      <c r="M8" s="109"/>
      <c r="N8" s="76"/>
      <c r="O8" s="76"/>
      <c r="P8" s="76"/>
      <c r="Q8" s="76"/>
      <c r="R8" s="76"/>
      <c r="S8" s="76"/>
      <c r="T8" s="80"/>
      <c r="U8" s="76"/>
      <c r="V8" s="76"/>
      <c r="W8" s="82"/>
      <c r="X8" s="76"/>
      <c r="Y8" s="76"/>
      <c r="Z8" s="80"/>
      <c r="AA8" s="76"/>
      <c r="AB8" s="76"/>
      <c r="AC8" s="85"/>
      <c r="AD8" s="76"/>
      <c r="AE8" s="76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3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33"/>
      <c r="BZ8" s="33"/>
      <c r="CA8" s="33"/>
      <c r="CB8" s="33"/>
      <c r="CC8" s="33"/>
    </row>
    <row r="9" spans="1:81" x14ac:dyDescent="0.35">
      <c r="A9" s="32">
        <v>0.125</v>
      </c>
      <c r="B9" s="33"/>
      <c r="C9" s="33"/>
      <c r="D9" s="33"/>
      <c r="E9" s="33"/>
      <c r="F9" s="33"/>
      <c r="G9" s="33"/>
      <c r="H9" s="33"/>
      <c r="I9" s="33"/>
      <c r="J9" s="32"/>
      <c r="K9" s="32"/>
      <c r="L9" s="32"/>
      <c r="M9" s="109"/>
      <c r="N9" s="76"/>
      <c r="O9" s="76"/>
      <c r="P9" s="76"/>
      <c r="Q9" s="76"/>
      <c r="R9" s="76"/>
      <c r="S9" s="76"/>
      <c r="T9" s="80"/>
      <c r="U9" s="76"/>
      <c r="V9" s="76"/>
      <c r="W9" s="82"/>
      <c r="X9" s="76"/>
      <c r="Y9" s="76"/>
      <c r="Z9" s="80"/>
      <c r="AA9" s="76"/>
      <c r="AB9" s="76"/>
      <c r="AC9" s="85"/>
      <c r="AD9" s="76"/>
      <c r="AE9" s="76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33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33"/>
      <c r="BZ9" s="33"/>
      <c r="CA9" s="33"/>
      <c r="CB9" s="33"/>
      <c r="CC9" s="33"/>
    </row>
    <row r="10" spans="1:81" x14ac:dyDescent="0.35">
      <c r="A10" s="32">
        <v>0.16666666666666699</v>
      </c>
      <c r="B10" s="33"/>
      <c r="C10" s="33"/>
      <c r="D10" s="33"/>
      <c r="E10" s="33"/>
      <c r="F10" s="33"/>
      <c r="G10" s="33"/>
      <c r="H10" s="33"/>
      <c r="I10" s="33"/>
      <c r="J10" s="32"/>
      <c r="K10" s="32"/>
      <c r="L10" s="32"/>
      <c r="M10" s="109"/>
      <c r="N10" s="76"/>
      <c r="O10" s="76"/>
      <c r="P10" s="76"/>
      <c r="Q10" s="76"/>
      <c r="R10" s="76"/>
      <c r="S10" s="76"/>
      <c r="T10" s="80"/>
      <c r="U10" s="76"/>
      <c r="V10" s="76"/>
      <c r="W10" s="82"/>
      <c r="X10" s="76"/>
      <c r="Y10" s="76"/>
      <c r="Z10" s="80"/>
      <c r="AA10" s="76"/>
      <c r="AB10" s="76"/>
      <c r="AC10" s="85"/>
      <c r="AD10" s="76"/>
      <c r="AE10" s="76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3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33"/>
      <c r="BZ10" s="33"/>
      <c r="CA10" s="33"/>
      <c r="CB10" s="33"/>
      <c r="CC10" s="33"/>
    </row>
    <row r="11" spans="1:81" x14ac:dyDescent="0.35">
      <c r="A11" s="32">
        <v>0.20833333333333301</v>
      </c>
      <c r="B11" s="33"/>
      <c r="C11" s="33"/>
      <c r="D11" s="33"/>
      <c r="E11" s="33"/>
      <c r="F11" s="33"/>
      <c r="G11" s="33"/>
      <c r="H11" s="33"/>
      <c r="I11" s="33"/>
      <c r="J11" s="32"/>
      <c r="K11" s="32"/>
      <c r="L11" s="32"/>
      <c r="M11" s="109"/>
      <c r="N11" s="76"/>
      <c r="O11" s="76"/>
      <c r="P11" s="76"/>
      <c r="Q11" s="76"/>
      <c r="R11" s="76"/>
      <c r="S11" s="76"/>
      <c r="T11" s="80"/>
      <c r="U11" s="76"/>
      <c r="V11" s="76"/>
      <c r="W11" s="82"/>
      <c r="X11" s="76"/>
      <c r="Y11" s="76"/>
      <c r="Z11" s="80"/>
      <c r="AA11" s="76"/>
      <c r="AB11" s="76"/>
      <c r="AC11" s="85"/>
      <c r="AD11" s="76"/>
      <c r="AE11" s="76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33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33"/>
      <c r="BZ11" s="33"/>
      <c r="CA11" s="33"/>
      <c r="CB11" s="33"/>
      <c r="CC11" s="33"/>
    </row>
    <row r="12" spans="1:81" x14ac:dyDescent="0.35">
      <c r="A12" s="32">
        <v>0.25</v>
      </c>
      <c r="B12" s="33"/>
      <c r="C12" s="33"/>
      <c r="D12" s="33"/>
      <c r="E12" s="33"/>
      <c r="F12" s="33"/>
      <c r="G12" s="33"/>
      <c r="H12" s="33"/>
      <c r="I12" s="33"/>
      <c r="J12" s="32"/>
      <c r="K12" s="32"/>
      <c r="L12" s="32"/>
      <c r="M12" s="109"/>
      <c r="N12" s="76"/>
      <c r="O12" s="76"/>
      <c r="P12" s="76"/>
      <c r="Q12" s="76"/>
      <c r="R12" s="76"/>
      <c r="S12" s="76"/>
      <c r="T12" s="80"/>
      <c r="U12" s="76"/>
      <c r="V12" s="76"/>
      <c r="W12" s="82"/>
      <c r="X12" s="76"/>
      <c r="Y12" s="76"/>
      <c r="Z12" s="80"/>
      <c r="AA12" s="76"/>
      <c r="AB12" s="76"/>
      <c r="AC12" s="85"/>
      <c r="AD12" s="76"/>
      <c r="AE12" s="76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33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33"/>
      <c r="BZ12" s="33"/>
      <c r="CA12" s="33"/>
      <c r="CB12" s="33"/>
      <c r="CC12" s="33"/>
    </row>
    <row r="13" spans="1:81" x14ac:dyDescent="0.35">
      <c r="A13" s="32">
        <v>0.29166666666666702</v>
      </c>
      <c r="B13" s="33"/>
      <c r="C13" s="33"/>
      <c r="D13" s="33"/>
      <c r="E13" s="33"/>
      <c r="F13" s="33"/>
      <c r="G13" s="33"/>
      <c r="H13" s="33"/>
      <c r="I13" s="33"/>
      <c r="J13" s="32"/>
      <c r="K13" s="32"/>
      <c r="L13" s="32"/>
      <c r="M13" s="109"/>
      <c r="N13" s="76"/>
      <c r="O13" s="76"/>
      <c r="P13" s="76"/>
      <c r="Q13" s="76"/>
      <c r="R13" s="76"/>
      <c r="S13" s="76"/>
      <c r="T13" s="80"/>
      <c r="U13" s="76"/>
      <c r="V13" s="76"/>
      <c r="W13" s="82"/>
      <c r="X13" s="76"/>
      <c r="Y13" s="76"/>
      <c r="Z13" s="80"/>
      <c r="AA13" s="76"/>
      <c r="AB13" s="76"/>
      <c r="AC13" s="85"/>
      <c r="AD13" s="76"/>
      <c r="AE13" s="76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33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33"/>
      <c r="BZ13" s="33"/>
      <c r="CA13" s="33"/>
      <c r="CB13" s="33"/>
      <c r="CC13" s="33"/>
    </row>
    <row r="14" spans="1:81" x14ac:dyDescent="0.35">
      <c r="A14" s="32">
        <v>0.33333333333333331</v>
      </c>
      <c r="B14" s="33"/>
      <c r="C14" s="33"/>
      <c r="D14" s="33"/>
      <c r="E14" s="33"/>
      <c r="F14" s="33"/>
      <c r="G14" s="33"/>
      <c r="H14" s="33"/>
      <c r="I14" s="33"/>
      <c r="J14" s="32"/>
      <c r="K14" s="32"/>
      <c r="L14" s="32"/>
      <c r="M14" s="109"/>
      <c r="N14" s="76"/>
      <c r="O14" s="76"/>
      <c r="P14" s="76"/>
      <c r="Q14" s="76"/>
      <c r="R14" s="76"/>
      <c r="S14" s="76"/>
      <c r="T14" s="80"/>
      <c r="U14" s="76"/>
      <c r="V14" s="76"/>
      <c r="W14" s="82"/>
      <c r="X14" s="76"/>
      <c r="Y14" s="76"/>
      <c r="Z14" s="80"/>
      <c r="AA14" s="76"/>
      <c r="AB14" s="76"/>
      <c r="AC14" s="85"/>
      <c r="AD14" s="76"/>
      <c r="AE14" s="76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3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33"/>
      <c r="BZ14" s="33"/>
      <c r="CA14" s="33"/>
      <c r="CB14" s="33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33"/>
      <c r="I15" s="33"/>
      <c r="J15" s="32"/>
      <c r="K15" s="32"/>
      <c r="L15" s="32"/>
      <c r="M15" s="109"/>
      <c r="N15" s="76"/>
      <c r="O15" s="76"/>
      <c r="P15" s="76"/>
      <c r="Q15" s="76"/>
      <c r="R15" s="76"/>
      <c r="S15" s="76"/>
      <c r="T15" s="80"/>
      <c r="U15" s="76"/>
      <c r="V15" s="76"/>
      <c r="W15" s="82"/>
      <c r="X15" s="76"/>
      <c r="Y15" s="76"/>
      <c r="Z15" s="80"/>
      <c r="AA15" s="76"/>
      <c r="AB15" s="76"/>
      <c r="AC15" s="85"/>
      <c r="AD15" s="76"/>
      <c r="AE15" s="76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33"/>
      <c r="BG15" s="33"/>
      <c r="BH15" s="33"/>
      <c r="BI15" s="33"/>
      <c r="BJ15" s="115"/>
      <c r="BK15" s="33"/>
      <c r="BL15" s="33"/>
      <c r="BM15" s="33"/>
      <c r="BN15" s="84"/>
      <c r="BO15" s="84"/>
      <c r="BP15" s="115"/>
      <c r="BQ15" s="115"/>
      <c r="BR15" s="33"/>
      <c r="BS15" s="33"/>
      <c r="BT15" s="84"/>
      <c r="BU15" s="33"/>
      <c r="BV15" s="84"/>
      <c r="BW15" s="33"/>
      <c r="BX15" s="84"/>
      <c r="BY15" s="33"/>
      <c r="BZ15" s="33"/>
      <c r="CA15" s="33"/>
      <c r="CB15" s="33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33"/>
      <c r="J16" s="32"/>
      <c r="K16" s="32"/>
      <c r="L16" s="32"/>
      <c r="M16" s="33"/>
      <c r="N16" s="76"/>
      <c r="O16" s="76"/>
      <c r="P16" s="76"/>
      <c r="Q16" s="76"/>
      <c r="R16" s="76"/>
      <c r="S16" s="76"/>
      <c r="T16" s="80"/>
      <c r="U16" s="76"/>
      <c r="V16" s="76"/>
      <c r="W16" s="82"/>
      <c r="X16" s="76"/>
      <c r="Y16" s="76"/>
      <c r="Z16" s="80"/>
      <c r="AA16" s="76"/>
      <c r="AB16" s="76"/>
      <c r="AC16" s="85"/>
      <c r="AD16" s="76"/>
      <c r="AE16" s="76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33"/>
      <c r="BG16" s="33"/>
      <c r="BH16" s="33"/>
      <c r="BI16" s="33"/>
      <c r="BJ16" s="115"/>
      <c r="BK16" s="33"/>
      <c r="BL16" s="33"/>
      <c r="BM16" s="33"/>
      <c r="BN16" s="84"/>
      <c r="BO16" s="84"/>
      <c r="BP16" s="115"/>
      <c r="BQ16" s="115"/>
      <c r="BR16" s="33"/>
      <c r="BS16" s="33"/>
      <c r="BT16" s="84"/>
      <c r="BU16" s="33"/>
      <c r="BV16" s="84"/>
      <c r="BW16" s="33"/>
      <c r="BX16" s="84"/>
      <c r="BY16" s="33"/>
      <c r="BZ16" s="33"/>
      <c r="CA16" s="33"/>
      <c r="CB16" s="33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33"/>
      <c r="I17" s="33"/>
      <c r="J17" s="32"/>
      <c r="K17" s="32"/>
      <c r="L17" s="32"/>
      <c r="M17" s="33"/>
      <c r="N17" s="76"/>
      <c r="O17" s="76"/>
      <c r="P17" s="76"/>
      <c r="Q17" s="76"/>
      <c r="R17" s="76"/>
      <c r="S17" s="76"/>
      <c r="T17" s="80"/>
      <c r="U17" s="76"/>
      <c r="V17" s="76"/>
      <c r="W17" s="82"/>
      <c r="X17" s="76"/>
      <c r="Y17" s="76"/>
      <c r="Z17" s="80"/>
      <c r="AA17" s="76"/>
      <c r="AB17" s="76"/>
      <c r="AC17" s="85"/>
      <c r="AD17" s="76"/>
      <c r="AE17" s="76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33"/>
      <c r="BG17" s="33"/>
      <c r="BH17" s="33"/>
      <c r="BI17" s="33"/>
      <c r="BJ17" s="115"/>
      <c r="BK17" s="33"/>
      <c r="BL17" s="33"/>
      <c r="BM17" s="33"/>
      <c r="BN17" s="84"/>
      <c r="BO17" s="84"/>
      <c r="BP17" s="115"/>
      <c r="BQ17" s="115"/>
      <c r="BR17" s="33"/>
      <c r="BS17" s="33"/>
      <c r="BT17" s="84"/>
      <c r="BU17" s="33"/>
      <c r="BV17" s="84"/>
      <c r="BW17" s="33"/>
      <c r="BX17" s="84"/>
      <c r="BY17" s="33"/>
      <c r="BZ17" s="33"/>
      <c r="CA17" s="33"/>
      <c r="CB17" s="33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33"/>
      <c r="I18" s="33"/>
      <c r="J18" s="32"/>
      <c r="K18" s="32"/>
      <c r="L18" s="32"/>
      <c r="M18" s="33"/>
      <c r="N18" s="76"/>
      <c r="O18" s="76"/>
      <c r="P18" s="76"/>
      <c r="Q18" s="76"/>
      <c r="R18" s="76"/>
      <c r="S18" s="76"/>
      <c r="T18" s="80"/>
      <c r="U18" s="76"/>
      <c r="V18" s="76"/>
      <c r="W18" s="82"/>
      <c r="X18" s="76"/>
      <c r="Y18" s="76"/>
      <c r="Z18" s="80"/>
      <c r="AA18" s="76"/>
      <c r="AB18" s="76"/>
      <c r="AC18" s="85"/>
      <c r="AD18" s="76"/>
      <c r="AE18" s="76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33"/>
      <c r="BG18" s="33"/>
      <c r="BH18" s="33"/>
      <c r="BI18" s="33"/>
      <c r="BJ18" s="115"/>
      <c r="BK18" s="33"/>
      <c r="BL18" s="33"/>
      <c r="BM18" s="33"/>
      <c r="BN18" s="84"/>
      <c r="BO18" s="84"/>
      <c r="BP18" s="115"/>
      <c r="BQ18" s="115"/>
      <c r="BR18" s="33"/>
      <c r="BS18" s="33"/>
      <c r="BT18" s="84"/>
      <c r="BU18" s="33"/>
      <c r="BV18" s="84"/>
      <c r="BW18" s="33"/>
      <c r="BX18" s="84"/>
      <c r="BY18" s="33"/>
      <c r="BZ18" s="33"/>
      <c r="CA18" s="33"/>
      <c r="CB18" s="33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33"/>
      <c r="I19" s="33"/>
      <c r="J19" s="32"/>
      <c r="K19" s="32"/>
      <c r="L19" s="32"/>
      <c r="M19" s="33"/>
      <c r="N19" s="76"/>
      <c r="O19" s="76"/>
      <c r="P19" s="76"/>
      <c r="Q19" s="76"/>
      <c r="R19" s="76"/>
      <c r="S19" s="76"/>
      <c r="T19" s="80"/>
      <c r="U19" s="76"/>
      <c r="V19" s="76"/>
      <c r="W19" s="82"/>
      <c r="X19" s="76"/>
      <c r="Y19" s="76"/>
      <c r="Z19" s="80"/>
      <c r="AA19" s="76"/>
      <c r="AB19" s="76"/>
      <c r="AC19" s="85"/>
      <c r="AD19" s="76"/>
      <c r="AE19" s="76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33"/>
      <c r="BG19" s="33"/>
      <c r="BH19" s="33"/>
      <c r="BI19" s="33"/>
      <c r="BJ19" s="115"/>
      <c r="BK19" s="33"/>
      <c r="BL19" s="33"/>
      <c r="BM19" s="33"/>
      <c r="BN19" s="84"/>
      <c r="BO19" s="84"/>
      <c r="BP19" s="115"/>
      <c r="BQ19" s="115"/>
      <c r="BR19" s="33"/>
      <c r="BS19" s="33"/>
      <c r="BT19" s="84"/>
      <c r="BU19" s="33"/>
      <c r="BV19" s="84"/>
      <c r="BW19" s="33"/>
      <c r="BX19" s="84"/>
      <c r="BY19" s="33"/>
      <c r="BZ19" s="33"/>
      <c r="CA19" s="33"/>
      <c r="CB19" s="33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33"/>
      <c r="I20" s="33"/>
      <c r="J20" s="32"/>
      <c r="K20" s="32"/>
      <c r="L20" s="32"/>
      <c r="M20" s="33"/>
      <c r="N20" s="76"/>
      <c r="O20" s="76"/>
      <c r="P20" s="76"/>
      <c r="Q20" s="76"/>
      <c r="R20" s="76"/>
      <c r="S20" s="76"/>
      <c r="T20" s="80"/>
      <c r="U20" s="76"/>
      <c r="V20" s="76"/>
      <c r="W20" s="82"/>
      <c r="X20" s="76"/>
      <c r="Y20" s="76"/>
      <c r="Z20" s="80"/>
      <c r="AA20" s="76"/>
      <c r="AB20" s="76"/>
      <c r="AC20" s="85"/>
      <c r="AD20" s="76"/>
      <c r="AE20" s="76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33"/>
      <c r="BG20" s="33"/>
      <c r="BH20" s="33"/>
      <c r="BI20" s="33"/>
      <c r="BJ20" s="115"/>
      <c r="BK20" s="33"/>
      <c r="BL20" s="33"/>
      <c r="BM20" s="33"/>
      <c r="BN20" s="84"/>
      <c r="BO20" s="84"/>
      <c r="BP20" s="115"/>
      <c r="BQ20" s="115"/>
      <c r="BR20" s="33"/>
      <c r="BS20" s="33"/>
      <c r="BT20" s="84"/>
      <c r="BU20" s="33"/>
      <c r="BV20" s="84"/>
      <c r="BW20" s="33"/>
      <c r="BX20" s="84"/>
      <c r="BY20" s="33"/>
      <c r="BZ20" s="33"/>
      <c r="CA20" s="33"/>
      <c r="CB20" s="33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33"/>
      <c r="I21" s="33"/>
      <c r="J21" s="32"/>
      <c r="K21" s="32"/>
      <c r="L21" s="32"/>
      <c r="M21" s="33"/>
      <c r="N21" s="76"/>
      <c r="O21" s="76"/>
      <c r="P21" s="76"/>
      <c r="Q21" s="76"/>
      <c r="R21" s="76"/>
      <c r="S21" s="76"/>
      <c r="T21" s="80"/>
      <c r="U21" s="76"/>
      <c r="V21" s="76"/>
      <c r="W21" s="82"/>
      <c r="X21" s="76"/>
      <c r="Y21" s="76"/>
      <c r="Z21" s="80"/>
      <c r="AA21" s="76"/>
      <c r="AB21" s="76"/>
      <c r="AC21" s="85"/>
      <c r="AD21" s="76"/>
      <c r="AE21" s="76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33"/>
      <c r="BG21" s="33"/>
      <c r="BH21" s="33"/>
      <c r="BI21" s="33"/>
      <c r="BJ21" s="115"/>
      <c r="BK21" s="33"/>
      <c r="BL21" s="33"/>
      <c r="BM21" s="33"/>
      <c r="BN21" s="84"/>
      <c r="BO21" s="84"/>
      <c r="BP21" s="115"/>
      <c r="BQ21" s="115"/>
      <c r="BR21" s="33"/>
      <c r="BS21" s="33"/>
      <c r="BT21" s="84"/>
      <c r="BU21" s="33"/>
      <c r="BV21" s="84"/>
      <c r="BW21" s="33"/>
      <c r="BX21" s="84"/>
      <c r="BY21" s="33"/>
      <c r="BZ21" s="33"/>
      <c r="CA21" s="33"/>
      <c r="CB21" s="33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6"/>
      <c r="I22" s="33"/>
      <c r="J22" s="32"/>
      <c r="K22" s="32"/>
      <c r="L22" s="32"/>
      <c r="M22" s="33"/>
      <c r="N22" s="76"/>
      <c r="O22" s="76"/>
      <c r="P22" s="76"/>
      <c r="Q22" s="76"/>
      <c r="R22" s="76"/>
      <c r="S22" s="76"/>
      <c r="T22" s="80"/>
      <c r="U22" s="76"/>
      <c r="V22" s="76"/>
      <c r="W22" s="82"/>
      <c r="X22" s="76"/>
      <c r="Y22" s="76"/>
      <c r="Z22" s="80"/>
      <c r="AA22" s="76"/>
      <c r="AB22" s="76"/>
      <c r="AC22" s="85"/>
      <c r="AD22" s="76"/>
      <c r="AE22" s="76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33"/>
      <c r="BG22" s="33"/>
      <c r="BH22" s="33"/>
      <c r="BI22" s="33"/>
      <c r="BJ22" s="115"/>
      <c r="BK22" s="33"/>
      <c r="BL22" s="33"/>
      <c r="BM22" s="33"/>
      <c r="BN22" s="84"/>
      <c r="BO22" s="84"/>
      <c r="BP22" s="115"/>
      <c r="BQ22" s="115"/>
      <c r="BR22" s="33"/>
      <c r="BS22" s="33"/>
      <c r="BT22" s="84"/>
      <c r="BU22" s="33"/>
      <c r="BV22" s="84"/>
      <c r="BW22" s="33"/>
      <c r="BX22" s="84"/>
      <c r="BY22" s="33"/>
      <c r="BZ22" s="33"/>
      <c r="CA22" s="33"/>
      <c r="CB22" s="33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33"/>
      <c r="I23" s="33"/>
      <c r="J23" s="32"/>
      <c r="K23" s="32"/>
      <c r="L23" s="32"/>
      <c r="M23" s="33"/>
      <c r="N23" s="76"/>
      <c r="O23" s="76"/>
      <c r="P23" s="76"/>
      <c r="Q23" s="76"/>
      <c r="R23" s="76"/>
      <c r="S23" s="76"/>
      <c r="T23" s="80"/>
      <c r="U23" s="76"/>
      <c r="V23" s="76"/>
      <c r="W23" s="82"/>
      <c r="X23" s="76"/>
      <c r="Y23" s="76"/>
      <c r="Z23" s="80"/>
      <c r="AA23" s="76"/>
      <c r="AB23" s="76"/>
      <c r="AC23" s="85"/>
      <c r="AD23" s="76"/>
      <c r="AE23" s="76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33"/>
      <c r="BG23" s="33"/>
      <c r="BH23" s="33"/>
      <c r="BI23" s="33"/>
      <c r="BJ23" s="115"/>
      <c r="BK23" s="33"/>
      <c r="BL23" s="33"/>
      <c r="BM23" s="33"/>
      <c r="BN23" s="84"/>
      <c r="BO23" s="84"/>
      <c r="BP23" s="115"/>
      <c r="BQ23" s="115"/>
      <c r="BR23" s="33"/>
      <c r="BS23" s="33"/>
      <c r="BT23" s="84"/>
      <c r="BU23" s="33"/>
      <c r="BV23" s="84"/>
      <c r="BW23" s="33"/>
      <c r="BX23" s="84"/>
      <c r="BY23" s="33"/>
      <c r="BZ23" s="33"/>
      <c r="CA23" s="33"/>
      <c r="CB23" s="33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33"/>
      <c r="I24" s="33"/>
      <c r="J24" s="32"/>
      <c r="K24" s="32"/>
      <c r="L24" s="32"/>
      <c r="M24" s="33"/>
      <c r="N24" s="76"/>
      <c r="O24" s="76"/>
      <c r="P24" s="76"/>
      <c r="Q24" s="76"/>
      <c r="R24" s="76"/>
      <c r="S24" s="76"/>
      <c r="T24" s="80"/>
      <c r="U24" s="76"/>
      <c r="V24" s="76"/>
      <c r="W24" s="82"/>
      <c r="X24" s="76"/>
      <c r="Y24" s="76"/>
      <c r="Z24" s="80"/>
      <c r="AA24" s="76"/>
      <c r="AB24" s="76"/>
      <c r="AC24" s="85"/>
      <c r="AD24" s="76"/>
      <c r="AE24" s="76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33"/>
      <c r="BG24" s="33"/>
      <c r="BH24" s="33"/>
      <c r="BI24" s="33"/>
      <c r="BJ24" s="33"/>
      <c r="BK24" s="33"/>
      <c r="BL24" s="33"/>
      <c r="BM24" s="33"/>
      <c r="BN24" s="84"/>
      <c r="BO24" s="84"/>
      <c r="BP24" s="115"/>
      <c r="BQ24" s="115"/>
      <c r="BR24" s="33"/>
      <c r="BS24" s="33"/>
      <c r="BT24" s="84"/>
      <c r="BU24" s="33"/>
      <c r="BV24" s="84"/>
      <c r="BW24" s="33"/>
      <c r="BX24" s="84"/>
      <c r="BY24" s="33"/>
      <c r="BZ24" s="33"/>
      <c r="CA24" s="33"/>
      <c r="CB24" s="33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33"/>
      <c r="J25" s="32"/>
      <c r="K25" s="32"/>
      <c r="L25" s="32"/>
      <c r="M25" s="33"/>
      <c r="N25" s="76"/>
      <c r="O25" s="76"/>
      <c r="P25" s="76"/>
      <c r="Q25" s="76"/>
      <c r="R25" s="76"/>
      <c r="S25" s="76"/>
      <c r="T25" s="80"/>
      <c r="U25" s="76"/>
      <c r="V25" s="76"/>
      <c r="W25" s="82"/>
      <c r="X25" s="76"/>
      <c r="Y25" s="76"/>
      <c r="Z25" s="80"/>
      <c r="AA25" s="76"/>
      <c r="AB25" s="76"/>
      <c r="AC25" s="85"/>
      <c r="AD25" s="76"/>
      <c r="AE25" s="76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33"/>
      <c r="BG25" s="33"/>
      <c r="BH25" s="33"/>
      <c r="BI25" s="33"/>
      <c r="BJ25" s="33"/>
      <c r="BK25" s="33"/>
      <c r="BL25" s="33"/>
      <c r="BM25" s="33"/>
      <c r="BN25" s="84"/>
      <c r="BO25" s="84"/>
      <c r="BP25" s="84"/>
      <c r="BQ25" s="84"/>
      <c r="BR25" s="33"/>
      <c r="BS25" s="33"/>
      <c r="BT25" s="84"/>
      <c r="BU25" s="33"/>
      <c r="BV25" s="84"/>
      <c r="BW25" s="33"/>
      <c r="BX25" s="84"/>
      <c r="BY25" s="33"/>
      <c r="BZ25" s="33"/>
      <c r="CA25" s="33"/>
      <c r="CB25" s="33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33"/>
      <c r="I26" s="33"/>
      <c r="J26" s="32"/>
      <c r="K26" s="32"/>
      <c r="L26" s="32"/>
      <c r="M26" s="33"/>
      <c r="N26" s="76"/>
      <c r="O26" s="76"/>
      <c r="P26" s="76"/>
      <c r="Q26" s="76"/>
      <c r="R26" s="76"/>
      <c r="S26" s="76"/>
      <c r="T26" s="80"/>
      <c r="U26" s="76"/>
      <c r="V26" s="76"/>
      <c r="W26" s="82"/>
      <c r="X26" s="76"/>
      <c r="Y26" s="76"/>
      <c r="Z26" s="80"/>
      <c r="AA26" s="76"/>
      <c r="AB26" s="76"/>
      <c r="AC26" s="85"/>
      <c r="AD26" s="76"/>
      <c r="AE26" s="76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33"/>
      <c r="BG26" s="33"/>
      <c r="BH26" s="33"/>
      <c r="BI26" s="33"/>
      <c r="BJ26" s="33"/>
      <c r="BK26" s="33"/>
      <c r="BL26" s="33"/>
      <c r="BM26" s="33"/>
      <c r="BN26" s="84"/>
      <c r="BO26" s="84"/>
      <c r="BP26" s="84"/>
      <c r="BQ26" s="84"/>
      <c r="BR26" s="33"/>
      <c r="BS26" s="33"/>
      <c r="BT26" s="84"/>
      <c r="BU26" s="33"/>
      <c r="BV26" s="84"/>
      <c r="BW26" s="33"/>
      <c r="BX26" s="84"/>
      <c r="BY26" s="33"/>
      <c r="BZ26" s="33"/>
      <c r="CA26" s="33"/>
      <c r="CB26" s="33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33"/>
      <c r="I27" s="33"/>
      <c r="J27" s="32"/>
      <c r="K27" s="32"/>
      <c r="L27" s="32"/>
      <c r="M27" s="33"/>
      <c r="N27" s="76"/>
      <c r="O27" s="76"/>
      <c r="P27" s="76"/>
      <c r="Q27" s="76"/>
      <c r="R27" s="76"/>
      <c r="S27" s="76"/>
      <c r="T27" s="80"/>
      <c r="U27" s="76"/>
      <c r="V27" s="76"/>
      <c r="W27" s="82"/>
      <c r="X27" s="76"/>
      <c r="Y27" s="76"/>
      <c r="Z27" s="80"/>
      <c r="AA27" s="76"/>
      <c r="AB27" s="76"/>
      <c r="AC27" s="85"/>
      <c r="AD27" s="76"/>
      <c r="AE27" s="76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33"/>
      <c r="BG27" s="33"/>
      <c r="BH27" s="33"/>
      <c r="BI27" s="33"/>
      <c r="BJ27" s="33"/>
      <c r="BK27" s="33"/>
      <c r="BL27" s="33"/>
      <c r="BM27" s="33"/>
      <c r="BN27" s="84"/>
      <c r="BO27" s="84"/>
      <c r="BP27" s="84"/>
      <c r="BQ27" s="84"/>
      <c r="BR27" s="33"/>
      <c r="BS27" s="33"/>
      <c r="BT27" s="84"/>
      <c r="BU27" s="33"/>
      <c r="BV27" s="84"/>
      <c r="BW27" s="33"/>
      <c r="BX27" s="84"/>
      <c r="BY27" s="33"/>
      <c r="BZ27" s="33"/>
      <c r="CA27" s="33"/>
      <c r="CB27" s="33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33"/>
      <c r="I28" s="33"/>
      <c r="J28" s="32"/>
      <c r="K28" s="32"/>
      <c r="L28" s="32"/>
      <c r="M28" s="109"/>
      <c r="N28" s="76"/>
      <c r="O28" s="76"/>
      <c r="P28" s="76"/>
      <c r="Q28" s="76"/>
      <c r="R28" s="76"/>
      <c r="S28" s="76"/>
      <c r="T28" s="80"/>
      <c r="U28" s="76"/>
      <c r="V28" s="76"/>
      <c r="W28" s="82"/>
      <c r="X28" s="76"/>
      <c r="Y28" s="76"/>
      <c r="Z28" s="80"/>
      <c r="AA28" s="76"/>
      <c r="AB28" s="76"/>
      <c r="AC28" s="85"/>
      <c r="AD28" s="76"/>
      <c r="AE28" s="76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33"/>
      <c r="BG28" s="33"/>
      <c r="BH28" s="33"/>
      <c r="BI28" s="33"/>
      <c r="BJ28" s="33"/>
      <c r="BK28" s="33"/>
      <c r="BL28" s="33"/>
      <c r="BM28" s="33"/>
      <c r="BN28" s="84"/>
      <c r="BO28" s="84"/>
      <c r="BP28" s="84"/>
      <c r="BQ28" s="84"/>
      <c r="BR28" s="33"/>
      <c r="BS28" s="33"/>
      <c r="BT28" s="84"/>
      <c r="BU28" s="33"/>
      <c r="BV28" s="84"/>
      <c r="BW28" s="33"/>
      <c r="BX28" s="84"/>
      <c r="BY28" s="33"/>
      <c r="BZ28" s="33"/>
      <c r="CA28" s="33"/>
      <c r="CB28" s="33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33"/>
      <c r="I29" s="33"/>
      <c r="J29" s="32"/>
      <c r="K29" s="32"/>
      <c r="L29" s="32"/>
      <c r="M29" s="33"/>
      <c r="N29" s="76"/>
      <c r="O29" s="76"/>
      <c r="P29" s="76"/>
      <c r="Q29" s="76"/>
      <c r="R29" s="76"/>
      <c r="S29" s="76"/>
      <c r="T29" s="80"/>
      <c r="U29" s="76"/>
      <c r="V29" s="76"/>
      <c r="W29" s="82"/>
      <c r="X29" s="76"/>
      <c r="Y29" s="76"/>
      <c r="Z29" s="80"/>
      <c r="AA29" s="76"/>
      <c r="AB29" s="76"/>
      <c r="AC29" s="85"/>
      <c r="AD29" s="76"/>
      <c r="AE29" s="76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33"/>
      <c r="BG29" s="33"/>
      <c r="BH29" s="33"/>
      <c r="BI29" s="33"/>
      <c r="BJ29" s="33"/>
      <c r="BK29" s="33"/>
      <c r="BL29" s="33"/>
      <c r="BM29" s="33"/>
      <c r="BN29" s="84"/>
      <c r="BO29" s="84"/>
      <c r="BP29" s="84"/>
      <c r="BQ29" s="84"/>
      <c r="BR29" s="33"/>
      <c r="BS29" s="33"/>
      <c r="BT29" s="84"/>
      <c r="BU29" s="33"/>
      <c r="BV29" s="84"/>
      <c r="BW29" s="33"/>
      <c r="BX29" s="84"/>
      <c r="BY29" s="33"/>
      <c r="BZ29" s="33"/>
      <c r="CA29" s="33"/>
      <c r="CB29" s="33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4.5" customHeigh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4.5" customHeigh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4.5" customHeight="1" x14ac:dyDescent="0.3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x14ac:dyDescent="0.3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x14ac:dyDescent="0.3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x14ac:dyDescent="0.3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3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24" customHeight="1" x14ac:dyDescent="0.3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1" spans="1:64" ht="24" customHeight="1" x14ac:dyDescent="0.35"/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T4:BU4"/>
    <mergeCell ref="BV4:BW4"/>
    <mergeCell ref="BX4:BY4"/>
    <mergeCell ref="BZ4:BZ5"/>
    <mergeCell ref="CA4:CA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M4:M5"/>
    <mergeCell ref="C45:M45"/>
    <mergeCell ref="C46:M46"/>
    <mergeCell ref="C52:M52"/>
    <mergeCell ref="A39:H39"/>
    <mergeCell ref="A40:H40"/>
    <mergeCell ref="A44:M44"/>
    <mergeCell ref="K4:K5"/>
    <mergeCell ref="L4:L5"/>
    <mergeCell ref="C53:M53"/>
    <mergeCell ref="C54:M54"/>
    <mergeCell ref="C47:M47"/>
    <mergeCell ref="C48:M48"/>
    <mergeCell ref="C49:M49"/>
    <mergeCell ref="C50:M50"/>
    <mergeCell ref="C51:M51"/>
    <mergeCell ref="R39:AA39"/>
    <mergeCell ref="R40:AA40"/>
    <mergeCell ref="A38:H38"/>
    <mergeCell ref="A35:AA35"/>
    <mergeCell ref="A36:AA36"/>
    <mergeCell ref="A37:AA37"/>
    <mergeCell ref="R38:AA38"/>
    <mergeCell ref="N4:P4"/>
    <mergeCell ref="Q4:S4"/>
    <mergeCell ref="Y4:Y5"/>
    <mergeCell ref="X4:X5"/>
    <mergeCell ref="V4:V5"/>
    <mergeCell ref="W4:W5"/>
    <mergeCell ref="T4:T5"/>
    <mergeCell ref="U4:U5"/>
    <mergeCell ref="A2:L3"/>
    <mergeCell ref="B4:D4"/>
    <mergeCell ref="E4:G4"/>
    <mergeCell ref="A4:A5"/>
    <mergeCell ref="J4:J5"/>
    <mergeCell ref="I4:I5"/>
    <mergeCell ref="AE4:AE5"/>
    <mergeCell ref="AF4:AR4"/>
    <mergeCell ref="AS4:BE4"/>
    <mergeCell ref="BF4:BH4"/>
    <mergeCell ref="BN4:BO4"/>
    <mergeCell ref="BP4:BQ4"/>
    <mergeCell ref="BR4:BS4"/>
    <mergeCell ref="BI4:BI5"/>
    <mergeCell ref="BJ4:BL4"/>
    <mergeCell ref="BM4:BM5"/>
  </mergeCells>
  <phoneticPr fontId="5" type="noConversion"/>
  <conditionalFormatting sqref="I6:I8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15:I21 I2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22:I23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5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6" zoomScaleNormal="100" workbookViewId="0">
      <pane xSplit="1" topLeftCell="BJ1" activePane="topRight" state="frozen"/>
      <selection activeCell="A4" sqref="A4"/>
      <selection pane="topRight" activeCell="BN23" sqref="BN23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'15'!BV1:CC1+1</f>
        <v>46189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100.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58" customHeight="1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7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7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6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6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6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6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33"/>
      <c r="C25" s="33"/>
      <c r="D25" s="33"/>
      <c r="E25" s="33"/>
      <c r="F25" s="33"/>
      <c r="G25" s="33"/>
      <c r="H25" s="33"/>
      <c r="I25" s="33"/>
      <c r="J25" s="32"/>
      <c r="K25" s="32"/>
      <c r="L25" s="32"/>
      <c r="M25" s="33"/>
      <c r="N25" s="76"/>
      <c r="O25" s="76"/>
      <c r="P25" s="76"/>
      <c r="Q25" s="76"/>
      <c r="R25" s="76"/>
      <c r="S25" s="76"/>
      <c r="T25" s="80"/>
      <c r="U25" s="76"/>
      <c r="V25" s="76"/>
      <c r="W25" s="82"/>
      <c r="X25" s="76"/>
      <c r="Y25" s="76"/>
      <c r="Z25" s="80"/>
      <c r="AA25" s="76"/>
      <c r="AB25" s="76"/>
      <c r="AC25" s="85"/>
      <c r="AD25" s="76"/>
      <c r="AE25" s="76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84"/>
      <c r="BQ25" s="84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</row>
    <row r="26" spans="1:81" x14ac:dyDescent="0.35">
      <c r="A26" s="34">
        <v>0.83333333333333337</v>
      </c>
      <c r="B26" s="33"/>
      <c r="C26" s="33"/>
      <c r="D26" s="33"/>
      <c r="E26" s="33"/>
      <c r="F26" s="33"/>
      <c r="G26" s="33"/>
      <c r="H26" s="33"/>
      <c r="I26" s="33"/>
      <c r="J26" s="32"/>
      <c r="K26" s="32"/>
      <c r="L26" s="32"/>
      <c r="M26" s="33"/>
      <c r="N26" s="76"/>
      <c r="O26" s="76"/>
      <c r="P26" s="76"/>
      <c r="Q26" s="76"/>
      <c r="R26" s="76"/>
      <c r="S26" s="76"/>
      <c r="T26" s="80"/>
      <c r="U26" s="76"/>
      <c r="V26" s="76"/>
      <c r="W26" s="82"/>
      <c r="X26" s="76"/>
      <c r="Y26" s="76"/>
      <c r="Z26" s="80"/>
      <c r="AA26" s="76"/>
      <c r="AB26" s="76"/>
      <c r="AC26" s="85"/>
      <c r="AD26" s="76"/>
      <c r="AE26" s="76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84"/>
      <c r="BQ26" s="84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</row>
    <row r="27" spans="1:81" x14ac:dyDescent="0.35">
      <c r="A27" s="34">
        <v>0.875</v>
      </c>
      <c r="B27" s="33"/>
      <c r="C27" s="33"/>
      <c r="D27" s="33"/>
      <c r="E27" s="33"/>
      <c r="F27" s="33"/>
      <c r="G27" s="33"/>
      <c r="H27" s="33"/>
      <c r="I27" s="33"/>
      <c r="J27" s="32"/>
      <c r="K27" s="32"/>
      <c r="L27" s="32"/>
      <c r="M27" s="109"/>
      <c r="N27" s="76"/>
      <c r="O27" s="76"/>
      <c r="P27" s="76"/>
      <c r="Q27" s="76"/>
      <c r="R27" s="76"/>
      <c r="S27" s="76"/>
      <c r="T27" s="80"/>
      <c r="U27" s="76"/>
      <c r="V27" s="76"/>
      <c r="W27" s="82"/>
      <c r="X27" s="76"/>
      <c r="Y27" s="76"/>
      <c r="Z27" s="80"/>
      <c r="AA27" s="76"/>
      <c r="AB27" s="76"/>
      <c r="AC27" s="85"/>
      <c r="AD27" s="76"/>
      <c r="AE27" s="76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84"/>
      <c r="BQ27" s="84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</row>
    <row r="28" spans="1:81" x14ac:dyDescent="0.35">
      <c r="A28" s="34">
        <v>0.91666666666666663</v>
      </c>
      <c r="B28" s="33"/>
      <c r="C28" s="33"/>
      <c r="D28" s="33"/>
      <c r="E28" s="33"/>
      <c r="F28" s="33"/>
      <c r="G28" s="33"/>
      <c r="H28" s="33"/>
      <c r="I28" s="33"/>
      <c r="J28" s="32"/>
      <c r="K28" s="32"/>
      <c r="L28" s="32"/>
      <c r="M28" s="109"/>
      <c r="N28" s="76"/>
      <c r="O28" s="76"/>
      <c r="P28" s="76"/>
      <c r="Q28" s="76"/>
      <c r="R28" s="76"/>
      <c r="S28" s="76"/>
      <c r="T28" s="80"/>
      <c r="U28" s="76"/>
      <c r="V28" s="76"/>
      <c r="W28" s="82"/>
      <c r="X28" s="76"/>
      <c r="Y28" s="76"/>
      <c r="Z28" s="80"/>
      <c r="AA28" s="76"/>
      <c r="AB28" s="76"/>
      <c r="AC28" s="85"/>
      <c r="AD28" s="76"/>
      <c r="AE28" s="76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84"/>
      <c r="BQ28" s="84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</row>
    <row r="29" spans="1:81" x14ac:dyDescent="0.35">
      <c r="A29" s="34">
        <v>0.95833333333333337</v>
      </c>
      <c r="B29" s="33"/>
      <c r="C29" s="33"/>
      <c r="D29" s="33"/>
      <c r="E29" s="33"/>
      <c r="F29" s="33"/>
      <c r="G29" s="33"/>
      <c r="H29" s="33"/>
      <c r="I29" s="33"/>
      <c r="J29" s="32"/>
      <c r="K29" s="32"/>
      <c r="L29" s="32"/>
      <c r="M29" s="109"/>
      <c r="N29" s="76"/>
      <c r="O29" s="76"/>
      <c r="P29" s="76"/>
      <c r="Q29" s="76"/>
      <c r="R29" s="76"/>
      <c r="S29" s="76"/>
      <c r="T29" s="80"/>
      <c r="U29" s="76"/>
      <c r="V29" s="76"/>
      <c r="W29" s="82"/>
      <c r="X29" s="76"/>
      <c r="Y29" s="76"/>
      <c r="Z29" s="80"/>
      <c r="AA29" s="76"/>
      <c r="AB29" s="76"/>
      <c r="AC29" s="85"/>
      <c r="AD29" s="76"/>
      <c r="AE29" s="76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84"/>
      <c r="BQ29" s="84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</row>
    <row r="30" spans="1:81" ht="15" x14ac:dyDescent="0.25">
      <c r="AC30" s="85">
        <v>11.33</v>
      </c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ht="15" x14ac:dyDescent="0.2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ht="15" x14ac:dyDescent="0.2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R40:AA40"/>
    <mergeCell ref="BV4:BW4"/>
    <mergeCell ref="BX4:BY4"/>
    <mergeCell ref="BZ4:BZ5"/>
    <mergeCell ref="CA4:CA5"/>
    <mergeCell ref="A35:AA35"/>
    <mergeCell ref="A37:AA37"/>
    <mergeCell ref="R38:AA38"/>
    <mergeCell ref="R39:AA39"/>
    <mergeCell ref="X4:X5"/>
    <mergeCell ref="Y4:Y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50:M50"/>
    <mergeCell ref="C51:M51"/>
    <mergeCell ref="C52:M52"/>
    <mergeCell ref="C53:M53"/>
    <mergeCell ref="C54:M54"/>
    <mergeCell ref="C49:M49"/>
    <mergeCell ref="A38:H38"/>
    <mergeCell ref="A39:H39"/>
    <mergeCell ref="A40:H40"/>
    <mergeCell ref="A44:M44"/>
    <mergeCell ref="C45:M45"/>
    <mergeCell ref="C46:M46"/>
    <mergeCell ref="C47:M47"/>
    <mergeCell ref="C48:M48"/>
    <mergeCell ref="BT4:BU4"/>
    <mergeCell ref="W4:W5"/>
    <mergeCell ref="N4:P4"/>
    <mergeCell ref="Q4:S4"/>
    <mergeCell ref="T4:T5"/>
    <mergeCell ref="U4:U5"/>
    <mergeCell ref="BJ4:BL4"/>
    <mergeCell ref="BP4:BQ4"/>
    <mergeCell ref="BR4:BS4"/>
    <mergeCell ref="BN4:BO4"/>
    <mergeCell ref="BM4:BM5"/>
    <mergeCell ref="A36:AA36"/>
    <mergeCell ref="A2:L3"/>
    <mergeCell ref="A4:A5"/>
    <mergeCell ref="B4:D4"/>
    <mergeCell ref="E4:G4"/>
    <mergeCell ref="I4:I5"/>
    <mergeCell ref="J4:J5"/>
    <mergeCell ref="K4:K5"/>
    <mergeCell ref="L4:L5"/>
    <mergeCell ref="M4:M5"/>
    <mergeCell ref="V4:V5"/>
  </mergeCells>
  <conditionalFormatting sqref="I7:I10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11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4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15:I20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I21:I22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3:I24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5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54"/>
  <sheetViews>
    <sheetView topLeftCell="A6" zoomScale="80" zoomScaleNormal="80" workbookViewId="0">
      <pane xSplit="1" topLeftCell="BJ1" activePane="topRight" state="frozen"/>
      <selection pane="topRight" activeCell="BP29" sqref="BP2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'16'!BV1:CC1+1</f>
        <v>46190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33"/>
      <c r="C6" s="33"/>
      <c r="D6" s="33"/>
      <c r="E6" s="33"/>
      <c r="F6" s="33"/>
      <c r="G6" s="33"/>
      <c r="H6" s="33"/>
      <c r="I6" s="33"/>
      <c r="J6" s="32"/>
      <c r="K6" s="32"/>
      <c r="L6" s="32"/>
      <c r="M6" s="109"/>
      <c r="N6" s="76"/>
      <c r="O6" s="76"/>
      <c r="P6" s="76"/>
      <c r="Q6" s="76"/>
      <c r="R6" s="76"/>
      <c r="S6" s="76"/>
      <c r="T6" s="80"/>
      <c r="U6" s="76"/>
      <c r="V6" s="76"/>
      <c r="W6" s="82"/>
      <c r="X6" s="76"/>
      <c r="Y6" s="76"/>
      <c r="Z6" s="80"/>
      <c r="AA6" s="76"/>
      <c r="AB6" s="76"/>
      <c r="AC6" s="85"/>
      <c r="AD6" s="76"/>
      <c r="AE6" s="76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3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33"/>
      <c r="BZ6" s="33"/>
      <c r="CA6" s="33"/>
      <c r="CB6" s="33"/>
      <c r="CC6" s="33"/>
    </row>
    <row r="7" spans="1:81" x14ac:dyDescent="0.35">
      <c r="A7" s="32">
        <v>4.1666666666666664E-2</v>
      </c>
      <c r="B7" s="33"/>
      <c r="C7" s="33"/>
      <c r="D7" s="33"/>
      <c r="E7" s="33"/>
      <c r="F7" s="33"/>
      <c r="G7" s="33"/>
      <c r="H7" s="33"/>
      <c r="I7" s="33"/>
      <c r="J7" s="32"/>
      <c r="K7" s="32"/>
      <c r="L7" s="32"/>
      <c r="M7" s="109"/>
      <c r="N7" s="76"/>
      <c r="O7" s="76"/>
      <c r="P7" s="76"/>
      <c r="Q7" s="76"/>
      <c r="R7" s="76"/>
      <c r="S7" s="76"/>
      <c r="T7" s="80"/>
      <c r="U7" s="76"/>
      <c r="V7" s="76"/>
      <c r="W7" s="82"/>
      <c r="X7" s="76"/>
      <c r="Y7" s="76"/>
      <c r="Z7" s="80"/>
      <c r="AA7" s="76"/>
      <c r="AB7" s="76"/>
      <c r="AC7" s="85"/>
      <c r="AD7" s="76"/>
      <c r="AE7" s="76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3"/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33"/>
      <c r="BZ7" s="33"/>
      <c r="CA7" s="33"/>
      <c r="CB7" s="33"/>
      <c r="CC7" s="33"/>
    </row>
    <row r="8" spans="1:81" x14ac:dyDescent="0.35">
      <c r="A8" s="32">
        <v>8.3333333333333329E-2</v>
      </c>
      <c r="B8" s="33"/>
      <c r="C8" s="33"/>
      <c r="D8" s="33"/>
      <c r="E8" s="33"/>
      <c r="F8" s="33"/>
      <c r="G8" s="33"/>
      <c r="H8" s="33"/>
      <c r="I8" s="33"/>
      <c r="J8" s="32"/>
      <c r="K8" s="32"/>
      <c r="L8" s="32"/>
      <c r="M8" s="109"/>
      <c r="N8" s="76"/>
      <c r="O8" s="76"/>
      <c r="P8" s="76"/>
      <c r="Q8" s="76"/>
      <c r="R8" s="76"/>
      <c r="S8" s="76"/>
      <c r="T8" s="80"/>
      <c r="U8" s="76"/>
      <c r="V8" s="76"/>
      <c r="W8" s="82"/>
      <c r="X8" s="76"/>
      <c r="Y8" s="76"/>
      <c r="Z8" s="80"/>
      <c r="AA8" s="76"/>
      <c r="AB8" s="76"/>
      <c r="AC8" s="85"/>
      <c r="AD8" s="76"/>
      <c r="AE8" s="76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3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33"/>
      <c r="BZ8" s="33"/>
      <c r="CA8" s="33"/>
      <c r="CB8" s="33"/>
      <c r="CC8" s="33"/>
    </row>
    <row r="9" spans="1:81" x14ac:dyDescent="0.35">
      <c r="A9" s="32">
        <v>0.125</v>
      </c>
      <c r="B9" s="33"/>
      <c r="C9" s="33"/>
      <c r="D9" s="33"/>
      <c r="E9" s="33"/>
      <c r="F9" s="33"/>
      <c r="G9" s="33"/>
      <c r="H9" s="33"/>
      <c r="I9" s="33"/>
      <c r="J9" s="32"/>
      <c r="K9" s="32"/>
      <c r="L9" s="32"/>
      <c r="M9" s="109"/>
      <c r="N9" s="76"/>
      <c r="O9" s="76"/>
      <c r="P9" s="76"/>
      <c r="Q9" s="76"/>
      <c r="R9" s="76"/>
      <c r="S9" s="76"/>
      <c r="T9" s="80"/>
      <c r="U9" s="76"/>
      <c r="V9" s="76"/>
      <c r="W9" s="82"/>
      <c r="X9" s="76"/>
      <c r="Y9" s="76"/>
      <c r="Z9" s="80"/>
      <c r="AA9" s="76"/>
      <c r="AB9" s="76"/>
      <c r="AC9" s="85"/>
      <c r="AD9" s="76"/>
      <c r="AE9" s="76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33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33"/>
      <c r="BZ9" s="33"/>
      <c r="CA9" s="33"/>
      <c r="CB9" s="33"/>
      <c r="CC9" s="33"/>
    </row>
    <row r="10" spans="1:81" x14ac:dyDescent="0.35">
      <c r="A10" s="32">
        <v>0.16666666666666699</v>
      </c>
      <c r="B10" s="33"/>
      <c r="C10" s="33"/>
      <c r="D10" s="33"/>
      <c r="E10" s="33"/>
      <c r="F10" s="33"/>
      <c r="G10" s="33"/>
      <c r="H10" s="33"/>
      <c r="I10" s="33"/>
      <c r="J10" s="32"/>
      <c r="K10" s="32"/>
      <c r="L10" s="32"/>
      <c r="M10" s="109"/>
      <c r="N10" s="76"/>
      <c r="O10" s="76"/>
      <c r="P10" s="76"/>
      <c r="Q10" s="76"/>
      <c r="R10" s="76"/>
      <c r="S10" s="76"/>
      <c r="T10" s="80"/>
      <c r="U10" s="76"/>
      <c r="V10" s="76"/>
      <c r="W10" s="82"/>
      <c r="X10" s="76"/>
      <c r="Y10" s="76"/>
      <c r="Z10" s="80"/>
      <c r="AA10" s="76"/>
      <c r="AB10" s="76"/>
      <c r="AC10" s="85"/>
      <c r="AD10" s="76"/>
      <c r="AE10" s="76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3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33"/>
      <c r="BZ10" s="33"/>
      <c r="CA10" s="33"/>
      <c r="CB10" s="33"/>
      <c r="CC10" s="33"/>
    </row>
    <row r="11" spans="1:81" x14ac:dyDescent="0.35">
      <c r="A11" s="32">
        <v>0.20833333333333301</v>
      </c>
      <c r="B11" s="33"/>
      <c r="C11" s="33"/>
      <c r="D11" s="33"/>
      <c r="E11" s="33"/>
      <c r="F11" s="33"/>
      <c r="G11" s="33"/>
      <c r="H11" s="33"/>
      <c r="I11" s="33"/>
      <c r="J11" s="32"/>
      <c r="K11" s="32"/>
      <c r="L11" s="32"/>
      <c r="M11" s="109"/>
      <c r="N11" s="76"/>
      <c r="O11" s="76"/>
      <c r="P11" s="76"/>
      <c r="Q11" s="76"/>
      <c r="R11" s="76"/>
      <c r="S11" s="76"/>
      <c r="T11" s="80"/>
      <c r="U11" s="76"/>
      <c r="V11" s="76"/>
      <c r="W11" s="82"/>
      <c r="X11" s="76"/>
      <c r="Y11" s="76"/>
      <c r="Z11" s="80"/>
      <c r="AA11" s="76"/>
      <c r="AB11" s="76"/>
      <c r="AC11" s="85"/>
      <c r="AD11" s="76"/>
      <c r="AE11" s="76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33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33"/>
      <c r="BZ11" s="33"/>
      <c r="CA11" s="33"/>
      <c r="CB11" s="33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33"/>
      <c r="I12" s="33"/>
      <c r="J12" s="32"/>
      <c r="K12" s="32"/>
      <c r="L12" s="32"/>
      <c r="M12" s="109"/>
      <c r="N12" s="76"/>
      <c r="O12" s="76"/>
      <c r="P12" s="76"/>
      <c r="Q12" s="76"/>
      <c r="R12" s="76"/>
      <c r="S12" s="76"/>
      <c r="T12" s="80"/>
      <c r="U12" s="76"/>
      <c r="V12" s="76"/>
      <c r="W12" s="82"/>
      <c r="X12" s="76"/>
      <c r="Y12" s="76"/>
      <c r="Z12" s="80"/>
      <c r="AA12" s="76"/>
      <c r="AB12" s="76"/>
      <c r="AC12" s="85"/>
      <c r="AD12" s="76"/>
      <c r="AE12" s="76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33"/>
      <c r="BG12" s="33"/>
      <c r="BH12" s="33"/>
      <c r="BI12" s="33"/>
      <c r="BJ12" s="115"/>
      <c r="BK12" s="33"/>
      <c r="BL12" s="33"/>
      <c r="BM12" s="33"/>
      <c r="BN12" s="84"/>
      <c r="BO12" s="84"/>
      <c r="BP12" s="115"/>
      <c r="BQ12" s="115"/>
      <c r="BR12" s="33"/>
      <c r="BS12" s="33"/>
      <c r="BT12" s="84"/>
      <c r="BU12" s="33"/>
      <c r="BV12" s="84"/>
      <c r="BW12" s="33"/>
      <c r="BX12" s="84"/>
      <c r="BY12" s="33"/>
      <c r="BZ12" s="33"/>
      <c r="CA12" s="33"/>
      <c r="CB12" s="33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6"/>
      <c r="I13" s="33"/>
      <c r="J13" s="32"/>
      <c r="K13" s="32"/>
      <c r="L13" s="32"/>
      <c r="M13" s="33"/>
      <c r="N13" s="76"/>
      <c r="O13" s="76"/>
      <c r="P13" s="76"/>
      <c r="Q13" s="76"/>
      <c r="R13" s="76"/>
      <c r="S13" s="76"/>
      <c r="T13" s="80"/>
      <c r="U13" s="76"/>
      <c r="V13" s="76"/>
      <c r="W13" s="82"/>
      <c r="X13" s="76"/>
      <c r="Y13" s="76"/>
      <c r="Z13" s="80"/>
      <c r="AA13" s="76"/>
      <c r="AB13" s="76"/>
      <c r="AC13" s="85"/>
      <c r="AD13" s="76"/>
      <c r="AE13" s="76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33"/>
      <c r="BG13" s="33"/>
      <c r="BH13" s="33"/>
      <c r="BI13" s="33"/>
      <c r="BJ13" s="115"/>
      <c r="BK13" s="33"/>
      <c r="BL13" s="33"/>
      <c r="BM13" s="33"/>
      <c r="BN13" s="84"/>
      <c r="BO13" s="84"/>
      <c r="BP13" s="115"/>
      <c r="BQ13" s="115"/>
      <c r="BR13" s="33"/>
      <c r="BS13" s="33"/>
      <c r="BT13" s="84"/>
      <c r="BU13" s="33"/>
      <c r="BV13" s="84"/>
      <c r="BW13" s="33"/>
      <c r="BX13" s="84"/>
      <c r="BY13" s="33"/>
      <c r="BZ13" s="33"/>
      <c r="CA13" s="33"/>
      <c r="CB13" s="33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33"/>
      <c r="I14" s="33"/>
      <c r="J14" s="32"/>
      <c r="K14" s="32"/>
      <c r="L14" s="32"/>
      <c r="M14" s="33"/>
      <c r="N14" s="76"/>
      <c r="O14" s="76"/>
      <c r="P14" s="76"/>
      <c r="Q14" s="76"/>
      <c r="R14" s="76"/>
      <c r="S14" s="76"/>
      <c r="T14" s="80"/>
      <c r="U14" s="76"/>
      <c r="V14" s="76"/>
      <c r="W14" s="82"/>
      <c r="X14" s="76"/>
      <c r="Y14" s="76"/>
      <c r="Z14" s="80"/>
      <c r="AA14" s="76"/>
      <c r="AB14" s="76"/>
      <c r="AC14" s="85"/>
      <c r="AD14" s="76"/>
      <c r="AE14" s="76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3"/>
      <c r="BG14" s="33"/>
      <c r="BH14" s="33"/>
      <c r="BI14" s="33"/>
      <c r="BJ14" s="115"/>
      <c r="BK14" s="33"/>
      <c r="BL14" s="33"/>
      <c r="BM14" s="33"/>
      <c r="BN14" s="84"/>
      <c r="BO14" s="84"/>
      <c r="BP14" s="115"/>
      <c r="BQ14" s="115"/>
      <c r="BR14" s="33"/>
      <c r="BS14" s="33"/>
      <c r="BT14" s="84"/>
      <c r="BU14" s="33"/>
      <c r="BV14" s="84"/>
      <c r="BW14" s="33"/>
      <c r="BX14" s="84"/>
      <c r="BY14" s="33"/>
      <c r="BZ14" s="33"/>
      <c r="CA14" s="33"/>
      <c r="CB14" s="33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115"/>
      <c r="BK15" s="77"/>
      <c r="BL15" s="77"/>
      <c r="BM15" s="77"/>
      <c r="BN15" s="84"/>
      <c r="BO15" s="84"/>
      <c r="BP15" s="115"/>
      <c r="BQ15" s="115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115"/>
      <c r="BK16" s="77"/>
      <c r="BL16" s="77"/>
      <c r="BM16" s="77"/>
      <c r="BN16" s="84"/>
      <c r="BO16" s="84"/>
      <c r="BP16" s="115"/>
      <c r="BQ16" s="115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3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115"/>
      <c r="BK17" s="77"/>
      <c r="BL17" s="77"/>
      <c r="BM17" s="77"/>
      <c r="BN17" s="84"/>
      <c r="BO17" s="84"/>
      <c r="BP17" s="115"/>
      <c r="BQ17" s="115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3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115"/>
      <c r="BK18" s="77"/>
      <c r="BL18" s="77"/>
      <c r="BM18" s="77"/>
      <c r="BN18" s="84"/>
      <c r="BO18" s="84"/>
      <c r="BP18" s="115"/>
      <c r="BQ18" s="115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3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115"/>
      <c r="BK19" s="77"/>
      <c r="BL19" s="77"/>
      <c r="BM19" s="77"/>
      <c r="BN19" s="84"/>
      <c r="BO19" s="84"/>
      <c r="BP19" s="115"/>
      <c r="BQ19" s="115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3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115"/>
      <c r="BQ20" s="115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3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115"/>
      <c r="BQ21" s="115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3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115"/>
      <c r="BQ22" s="115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3" x14ac:dyDescent="0.35">
      <c r="A23" s="34">
        <v>0.70833333333333337</v>
      </c>
      <c r="B23" s="76"/>
      <c r="C23" s="76"/>
      <c r="D23" s="76"/>
      <c r="E23" s="76"/>
      <c r="F23" s="76"/>
      <c r="G23" s="76"/>
      <c r="H23" s="76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115"/>
      <c r="BQ23" s="115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3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115"/>
      <c r="BQ24" s="115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  <c r="CE24" s="22" t="s">
        <v>238</v>
      </c>
    </row>
    <row r="25" spans="1:83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115"/>
      <c r="BQ25" s="115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3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3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3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3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3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3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2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ht="15" x14ac:dyDescent="0.2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ht="15" x14ac:dyDescent="0.2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ht="15" x14ac:dyDescent="0.2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ht="15" x14ac:dyDescent="0.2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ht="15" x14ac:dyDescent="0.2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ht="15" x14ac:dyDescent="0.2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ht="15" x14ac:dyDescent="0.2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R40:AA40"/>
    <mergeCell ref="BV4:BW4"/>
    <mergeCell ref="BX4:BY4"/>
    <mergeCell ref="BZ4:BZ5"/>
    <mergeCell ref="CA4:CA5"/>
    <mergeCell ref="A35:AA35"/>
    <mergeCell ref="A37:AA37"/>
    <mergeCell ref="R38:AA38"/>
    <mergeCell ref="R39:AA39"/>
    <mergeCell ref="X4:X5"/>
    <mergeCell ref="Y4:Y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50:M50"/>
    <mergeCell ref="C51:M51"/>
    <mergeCell ref="C52:M52"/>
    <mergeCell ref="C53:M53"/>
    <mergeCell ref="C54:M54"/>
    <mergeCell ref="C49:M49"/>
    <mergeCell ref="A38:H38"/>
    <mergeCell ref="A39:H39"/>
    <mergeCell ref="A40:H40"/>
    <mergeCell ref="A44:M44"/>
    <mergeCell ref="C45:M45"/>
    <mergeCell ref="C46:M46"/>
    <mergeCell ref="C47:M47"/>
    <mergeCell ref="C48:M48"/>
    <mergeCell ref="BT4:BU4"/>
    <mergeCell ref="W4:W5"/>
    <mergeCell ref="N4:P4"/>
    <mergeCell ref="Q4:S4"/>
    <mergeCell ref="T4:T5"/>
    <mergeCell ref="U4:U5"/>
    <mergeCell ref="BJ4:BL4"/>
    <mergeCell ref="BP4:BQ4"/>
    <mergeCell ref="BR4:BS4"/>
    <mergeCell ref="BN4:BO4"/>
    <mergeCell ref="BM4:BM5"/>
    <mergeCell ref="A36:AA36"/>
    <mergeCell ref="A2:L3"/>
    <mergeCell ref="A4:A5"/>
    <mergeCell ref="B4:D4"/>
    <mergeCell ref="E4:G4"/>
    <mergeCell ref="I4:I5"/>
    <mergeCell ref="J4:J5"/>
    <mergeCell ref="K4:K5"/>
    <mergeCell ref="L4:L5"/>
    <mergeCell ref="M4:M5"/>
    <mergeCell ref="V4:V5"/>
  </mergeCells>
  <conditionalFormatting sqref="I8:I11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12:I14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I15:I19">
    <cfRule type="iconSet" priority="12">
      <iconSet iconSet="3Symbols">
        <cfvo type="percent" val="0"/>
        <cfvo type="percent" val="33"/>
        <cfvo type="percent" val="67"/>
      </iconSet>
    </cfRule>
  </conditionalFormatting>
  <conditionalFormatting sqref="I20:I22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23:I24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25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26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6" zoomScale="80" zoomScaleNormal="80" workbookViewId="0">
      <pane xSplit="1" topLeftCell="BJ1" activePane="topRight" state="frozen"/>
      <selection activeCell="A3" sqref="A3"/>
      <selection pane="topRight" activeCell="BS23" sqref="BS23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'17'!BV1:CC1+1</f>
        <v>46191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33"/>
      <c r="C6" s="33"/>
      <c r="D6" s="33"/>
      <c r="E6" s="33"/>
      <c r="F6" s="33"/>
      <c r="G6" s="33"/>
      <c r="H6" s="33"/>
      <c r="I6" s="33"/>
      <c r="J6" s="32"/>
      <c r="K6" s="32"/>
      <c r="L6" s="32"/>
      <c r="M6" s="109"/>
      <c r="N6" s="76"/>
      <c r="O6" s="76"/>
      <c r="P6" s="76"/>
      <c r="Q6" s="76"/>
      <c r="R6" s="76"/>
      <c r="S6" s="76"/>
      <c r="T6" s="80"/>
      <c r="U6" s="76"/>
      <c r="V6" s="76"/>
      <c r="W6" s="82"/>
      <c r="X6" s="76"/>
      <c r="Y6" s="76"/>
      <c r="Z6" s="80"/>
      <c r="AA6" s="76"/>
      <c r="AB6" s="76"/>
      <c r="AC6" s="85"/>
      <c r="AD6" s="76"/>
      <c r="AE6" s="76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3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33"/>
      <c r="BZ6" s="33"/>
      <c r="CA6" s="33"/>
      <c r="CB6" s="33"/>
      <c r="CC6" s="33"/>
    </row>
    <row r="7" spans="1:81" x14ac:dyDescent="0.35">
      <c r="A7" s="32">
        <v>4.1666666666666664E-2</v>
      </c>
      <c r="B7" s="33"/>
      <c r="C7" s="33"/>
      <c r="D7" s="33"/>
      <c r="E7" s="33"/>
      <c r="F7" s="33"/>
      <c r="G7" s="33"/>
      <c r="H7" s="33"/>
      <c r="I7" s="33"/>
      <c r="J7" s="32"/>
      <c r="K7" s="32"/>
      <c r="L7" s="32"/>
      <c r="M7" s="109"/>
      <c r="N7" s="76"/>
      <c r="O7" s="76"/>
      <c r="P7" s="76"/>
      <c r="Q7" s="76"/>
      <c r="R7" s="76"/>
      <c r="S7" s="76"/>
      <c r="T7" s="80"/>
      <c r="U7" s="76"/>
      <c r="V7" s="76"/>
      <c r="W7" s="82"/>
      <c r="X7" s="76"/>
      <c r="Y7" s="76"/>
      <c r="Z7" s="80"/>
      <c r="AA7" s="76"/>
      <c r="AB7" s="76"/>
      <c r="AC7" s="85"/>
      <c r="AD7" s="76"/>
      <c r="AE7" s="76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3"/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33"/>
      <c r="BZ7" s="33"/>
      <c r="CA7" s="33"/>
      <c r="CB7" s="33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33"/>
      <c r="I8" s="33"/>
      <c r="J8" s="32"/>
      <c r="K8" s="32"/>
      <c r="L8" s="32"/>
      <c r="M8" s="109"/>
      <c r="N8" s="76"/>
      <c r="O8" s="76"/>
      <c r="P8" s="76"/>
      <c r="Q8" s="76"/>
      <c r="R8" s="76"/>
      <c r="S8" s="76"/>
      <c r="T8" s="80"/>
      <c r="U8" s="76"/>
      <c r="V8" s="76"/>
      <c r="W8" s="82"/>
      <c r="X8" s="76"/>
      <c r="Y8" s="76"/>
      <c r="Z8" s="80"/>
      <c r="AA8" s="76"/>
      <c r="AB8" s="76"/>
      <c r="AC8" s="85"/>
      <c r="AD8" s="76"/>
      <c r="AE8" s="76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3"/>
      <c r="BG8" s="33"/>
      <c r="BH8" s="33"/>
      <c r="BI8" s="33"/>
      <c r="BJ8" s="115"/>
      <c r="BK8" s="33"/>
      <c r="BL8" s="33"/>
      <c r="BM8" s="33"/>
      <c r="BN8" s="84"/>
      <c r="BO8" s="84"/>
      <c r="BP8" s="115"/>
      <c r="BQ8" s="115"/>
      <c r="BR8" s="33"/>
      <c r="BS8" s="33"/>
      <c r="BT8" s="84"/>
      <c r="BU8" s="33"/>
      <c r="BV8" s="84"/>
      <c r="BW8" s="33"/>
      <c r="BX8" s="84"/>
      <c r="BY8" s="33"/>
      <c r="BZ8" s="33"/>
      <c r="CA8" s="33"/>
      <c r="CB8" s="33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33"/>
      <c r="J9" s="32"/>
      <c r="K9" s="32"/>
      <c r="L9" s="32"/>
      <c r="M9" s="33"/>
      <c r="N9" s="76"/>
      <c r="O9" s="76"/>
      <c r="P9" s="76"/>
      <c r="Q9" s="76"/>
      <c r="R9" s="76"/>
      <c r="S9" s="76"/>
      <c r="T9" s="80"/>
      <c r="U9" s="76"/>
      <c r="V9" s="76"/>
      <c r="W9" s="82"/>
      <c r="X9" s="76"/>
      <c r="Y9" s="76"/>
      <c r="Z9" s="80"/>
      <c r="AA9" s="76"/>
      <c r="AB9" s="76"/>
      <c r="AC9" s="85"/>
      <c r="AD9" s="76"/>
      <c r="AE9" s="76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33"/>
      <c r="BG9" s="33"/>
      <c r="BH9" s="33"/>
      <c r="BI9" s="33"/>
      <c r="BJ9" s="115"/>
      <c r="BK9" s="33"/>
      <c r="BL9" s="33"/>
      <c r="BM9" s="33"/>
      <c r="BN9" s="84"/>
      <c r="BO9" s="84"/>
      <c r="BP9" s="115"/>
      <c r="BQ9" s="115"/>
      <c r="BR9" s="33"/>
      <c r="BS9" s="33"/>
      <c r="BT9" s="84"/>
      <c r="BU9" s="33"/>
      <c r="BV9" s="84"/>
      <c r="BW9" s="33"/>
      <c r="BX9" s="84"/>
      <c r="BY9" s="33"/>
      <c r="BZ9" s="33"/>
      <c r="CA9" s="33"/>
      <c r="CB9" s="33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33"/>
      <c r="I10" s="33"/>
      <c r="J10" s="32"/>
      <c r="K10" s="32"/>
      <c r="L10" s="32"/>
      <c r="M10" s="33"/>
      <c r="N10" s="76"/>
      <c r="O10" s="76"/>
      <c r="P10" s="76"/>
      <c r="Q10" s="76"/>
      <c r="R10" s="76"/>
      <c r="S10" s="76"/>
      <c r="T10" s="80"/>
      <c r="U10" s="76"/>
      <c r="V10" s="76"/>
      <c r="W10" s="82"/>
      <c r="X10" s="76"/>
      <c r="Y10" s="76"/>
      <c r="Z10" s="80"/>
      <c r="AA10" s="76"/>
      <c r="AB10" s="76"/>
      <c r="AC10" s="85"/>
      <c r="AD10" s="76"/>
      <c r="AE10" s="76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3"/>
      <c r="BG10" s="33"/>
      <c r="BH10" s="33"/>
      <c r="BI10" s="33"/>
      <c r="BJ10" s="115"/>
      <c r="BK10" s="33"/>
      <c r="BL10" s="33"/>
      <c r="BM10" s="33"/>
      <c r="BN10" s="84"/>
      <c r="BO10" s="84"/>
      <c r="BP10" s="115"/>
      <c r="BQ10" s="115"/>
      <c r="BR10" s="33"/>
      <c r="BS10" s="33"/>
      <c r="BT10" s="84"/>
      <c r="BU10" s="33"/>
      <c r="BV10" s="84"/>
      <c r="BW10" s="33"/>
      <c r="BX10" s="84"/>
      <c r="BY10" s="33"/>
      <c r="BZ10" s="33"/>
      <c r="CA10" s="33"/>
      <c r="CB10" s="33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115"/>
      <c r="BK11" s="77"/>
      <c r="BL11" s="77"/>
      <c r="BM11" s="77"/>
      <c r="BN11" s="84"/>
      <c r="BO11" s="84"/>
      <c r="BP11" s="115"/>
      <c r="BQ11" s="115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6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115"/>
      <c r="BK12" s="77"/>
      <c r="BL12" s="77"/>
      <c r="BM12" s="77"/>
      <c r="BN12" s="84"/>
      <c r="BO12" s="84"/>
      <c r="BP12" s="115"/>
      <c r="BQ12" s="115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115"/>
      <c r="BK13" s="77"/>
      <c r="BL13" s="77"/>
      <c r="BM13" s="77"/>
      <c r="BN13" s="84"/>
      <c r="BO13" s="84"/>
      <c r="BP13" s="115"/>
      <c r="BQ13" s="115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115"/>
      <c r="BK14" s="77"/>
      <c r="BL14" s="77"/>
      <c r="BM14" s="77"/>
      <c r="BN14" s="84"/>
      <c r="BO14" s="84"/>
      <c r="BP14" s="115"/>
      <c r="BQ14" s="115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115"/>
      <c r="BQ25" s="115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x14ac:dyDescent="0.3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x14ac:dyDescent="0.3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x14ac:dyDescent="0.3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3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x14ac:dyDescent="0.3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R40:AA40"/>
    <mergeCell ref="BV4:BW4"/>
    <mergeCell ref="BX4:BY4"/>
    <mergeCell ref="BZ4:BZ5"/>
    <mergeCell ref="CA4:CA5"/>
    <mergeCell ref="A35:AA35"/>
    <mergeCell ref="A37:AA37"/>
    <mergeCell ref="R38:AA38"/>
    <mergeCell ref="R39:AA39"/>
    <mergeCell ref="X4:X5"/>
    <mergeCell ref="Y4:Y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50:M50"/>
    <mergeCell ref="C51:M51"/>
    <mergeCell ref="C52:M52"/>
    <mergeCell ref="C53:M53"/>
    <mergeCell ref="C54:M54"/>
    <mergeCell ref="C49:M49"/>
    <mergeCell ref="A38:H38"/>
    <mergeCell ref="A39:H39"/>
    <mergeCell ref="A40:H40"/>
    <mergeCell ref="A44:M44"/>
    <mergeCell ref="C45:M45"/>
    <mergeCell ref="C46:M46"/>
    <mergeCell ref="C47:M47"/>
    <mergeCell ref="C48:M48"/>
    <mergeCell ref="BT4:BU4"/>
    <mergeCell ref="W4:W5"/>
    <mergeCell ref="N4:P4"/>
    <mergeCell ref="Q4:S4"/>
    <mergeCell ref="T4:T5"/>
    <mergeCell ref="U4:U5"/>
    <mergeCell ref="BJ4:BL4"/>
    <mergeCell ref="BP4:BQ4"/>
    <mergeCell ref="BR4:BS4"/>
    <mergeCell ref="BN4:BO4"/>
    <mergeCell ref="BM4:BM5"/>
    <mergeCell ref="A36:AA36"/>
    <mergeCell ref="A2:L3"/>
    <mergeCell ref="A4:A5"/>
    <mergeCell ref="B4:D4"/>
    <mergeCell ref="E4:G4"/>
    <mergeCell ref="I4:I5"/>
    <mergeCell ref="J4:J5"/>
    <mergeCell ref="K4:K5"/>
    <mergeCell ref="L4:L5"/>
    <mergeCell ref="M4:M5"/>
    <mergeCell ref="V4:V5"/>
  </mergeCells>
  <conditionalFormatting sqref="I6:I7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8:I10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I15:I22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23:I24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5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6:I27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8: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6"/>
  <sheetViews>
    <sheetView topLeftCell="A6" zoomScale="80" zoomScaleNormal="80" workbookViewId="0">
      <pane xSplit="1" topLeftCell="BJ1" activePane="topRight" state="frozen"/>
      <selection activeCell="A2" sqref="A2"/>
      <selection pane="topRight" activeCell="BQ25" sqref="BQ25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'18'!BV1:CC1+1</f>
        <v>46192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33"/>
      <c r="C6" s="33"/>
      <c r="D6" s="33"/>
      <c r="E6" s="33"/>
      <c r="F6" s="33"/>
      <c r="G6" s="33"/>
      <c r="H6" s="33"/>
      <c r="I6" s="33"/>
      <c r="J6" s="32"/>
      <c r="K6" s="32"/>
      <c r="L6" s="32"/>
      <c r="M6" s="109"/>
      <c r="N6" s="76"/>
      <c r="O6" s="76"/>
      <c r="P6" s="76"/>
      <c r="Q6" s="76"/>
      <c r="R6" s="76"/>
      <c r="S6" s="76"/>
      <c r="T6" s="80"/>
      <c r="U6" s="76"/>
      <c r="V6" s="76"/>
      <c r="W6" s="82"/>
      <c r="X6" s="76"/>
      <c r="Y6" s="76"/>
      <c r="Z6" s="80"/>
      <c r="AA6" s="76"/>
      <c r="AB6" s="76"/>
      <c r="AC6" s="85"/>
      <c r="AD6" s="76"/>
      <c r="AE6" s="76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3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33"/>
      <c r="BZ6" s="33"/>
      <c r="CA6" s="33"/>
      <c r="CB6" s="33"/>
      <c r="CC6" s="33"/>
    </row>
    <row r="7" spans="1:81" x14ac:dyDescent="0.35">
      <c r="A7" s="32">
        <v>4.1666666666666664E-2</v>
      </c>
      <c r="B7" s="33"/>
      <c r="C7" s="33"/>
      <c r="D7" s="33"/>
      <c r="E7" s="33"/>
      <c r="F7" s="33"/>
      <c r="G7" s="33"/>
      <c r="H7" s="33"/>
      <c r="I7" s="33"/>
      <c r="J7" s="32"/>
      <c r="K7" s="32"/>
      <c r="L7" s="32"/>
      <c r="M7" s="109"/>
      <c r="N7" s="76"/>
      <c r="O7" s="76"/>
      <c r="P7" s="76"/>
      <c r="Q7" s="76"/>
      <c r="R7" s="76"/>
      <c r="S7" s="76"/>
      <c r="T7" s="80"/>
      <c r="U7" s="76"/>
      <c r="V7" s="76"/>
      <c r="W7" s="82"/>
      <c r="X7" s="76"/>
      <c r="Y7" s="76"/>
      <c r="Z7" s="80"/>
      <c r="AA7" s="76"/>
      <c r="AB7" s="76"/>
      <c r="AC7" s="85"/>
      <c r="AD7" s="76"/>
      <c r="AE7" s="76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3"/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33"/>
      <c r="BZ7" s="33"/>
      <c r="CA7" s="33"/>
      <c r="CB7" s="33"/>
      <c r="CC7" s="33"/>
    </row>
    <row r="8" spans="1:81" x14ac:dyDescent="0.35">
      <c r="A8" s="32">
        <v>8.3333333333333329E-2</v>
      </c>
      <c r="B8" s="33"/>
      <c r="C8" s="33"/>
      <c r="D8" s="33"/>
      <c r="E8" s="33"/>
      <c r="F8" s="33"/>
      <c r="G8" s="33"/>
      <c r="H8" s="33"/>
      <c r="I8" s="33"/>
      <c r="J8" s="32"/>
      <c r="K8" s="32"/>
      <c r="L8" s="32"/>
      <c r="M8" s="109"/>
      <c r="N8" s="76"/>
      <c r="O8" s="76"/>
      <c r="P8" s="76"/>
      <c r="Q8" s="76"/>
      <c r="R8" s="76"/>
      <c r="S8" s="76"/>
      <c r="T8" s="80"/>
      <c r="U8" s="76"/>
      <c r="V8" s="76"/>
      <c r="W8" s="82"/>
      <c r="X8" s="76"/>
      <c r="Y8" s="76"/>
      <c r="Z8" s="80"/>
      <c r="AA8" s="76"/>
      <c r="AB8" s="76"/>
      <c r="AC8" s="85"/>
      <c r="AD8" s="76"/>
      <c r="AE8" s="76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3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33"/>
      <c r="BZ8" s="33"/>
      <c r="CA8" s="33"/>
      <c r="CB8" s="33"/>
      <c r="CC8" s="33"/>
    </row>
    <row r="9" spans="1:81" x14ac:dyDescent="0.35">
      <c r="A9" s="32">
        <v>0.125</v>
      </c>
      <c r="B9" s="33"/>
      <c r="C9" s="33"/>
      <c r="D9" s="33"/>
      <c r="E9" s="33"/>
      <c r="F9" s="33"/>
      <c r="G9" s="33"/>
      <c r="H9" s="33"/>
      <c r="I9" s="33"/>
      <c r="J9" s="32"/>
      <c r="K9" s="32"/>
      <c r="L9" s="32"/>
      <c r="M9" s="109"/>
      <c r="N9" s="76"/>
      <c r="O9" s="76"/>
      <c r="P9" s="76"/>
      <c r="Q9" s="76"/>
      <c r="R9" s="76"/>
      <c r="S9" s="76"/>
      <c r="T9" s="80"/>
      <c r="U9" s="76"/>
      <c r="V9" s="76"/>
      <c r="W9" s="82"/>
      <c r="X9" s="76"/>
      <c r="Y9" s="76"/>
      <c r="Z9" s="80"/>
      <c r="AA9" s="76"/>
      <c r="AB9" s="76"/>
      <c r="AC9" s="85"/>
      <c r="AD9" s="76"/>
      <c r="AE9" s="76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33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33"/>
      <c r="BZ9" s="33"/>
      <c r="CA9" s="33"/>
      <c r="CB9" s="33"/>
      <c r="CC9" s="33"/>
    </row>
    <row r="10" spans="1:81" x14ac:dyDescent="0.35">
      <c r="A10" s="32">
        <v>0.16666666666666699</v>
      </c>
      <c r="B10" s="33"/>
      <c r="C10" s="33"/>
      <c r="D10" s="33"/>
      <c r="E10" s="33"/>
      <c r="F10" s="33"/>
      <c r="G10" s="33"/>
      <c r="H10" s="33"/>
      <c r="I10" s="33"/>
      <c r="J10" s="32"/>
      <c r="K10" s="32"/>
      <c r="L10" s="32"/>
      <c r="M10" s="109"/>
      <c r="N10" s="76"/>
      <c r="O10" s="76"/>
      <c r="P10" s="76"/>
      <c r="Q10" s="76"/>
      <c r="R10" s="76"/>
      <c r="S10" s="76"/>
      <c r="T10" s="80"/>
      <c r="U10" s="76"/>
      <c r="V10" s="76"/>
      <c r="W10" s="82"/>
      <c r="X10" s="76"/>
      <c r="Y10" s="76"/>
      <c r="Z10" s="80"/>
      <c r="AA10" s="76"/>
      <c r="AB10" s="76"/>
      <c r="AC10" s="85"/>
      <c r="AD10" s="76"/>
      <c r="AE10" s="76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3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33"/>
      <c r="BZ10" s="33"/>
      <c r="CA10" s="33"/>
      <c r="CB10" s="33"/>
      <c r="CC10" s="33"/>
    </row>
    <row r="11" spans="1:81" x14ac:dyDescent="0.35">
      <c r="A11" s="32">
        <v>0.20833333333333301</v>
      </c>
      <c r="B11" s="33"/>
      <c r="C11" s="33"/>
      <c r="D11" s="33"/>
      <c r="E11" s="33"/>
      <c r="F11" s="33"/>
      <c r="G11" s="33"/>
      <c r="H11" s="33"/>
      <c r="I11" s="33"/>
      <c r="J11" s="32"/>
      <c r="K11" s="32"/>
      <c r="L11" s="32"/>
      <c r="M11" s="109"/>
      <c r="N11" s="76"/>
      <c r="O11" s="76"/>
      <c r="P11" s="76"/>
      <c r="Q11" s="76"/>
      <c r="R11" s="76"/>
      <c r="S11" s="76"/>
      <c r="T11" s="80"/>
      <c r="U11" s="76"/>
      <c r="V11" s="76"/>
      <c r="W11" s="82"/>
      <c r="X11" s="76"/>
      <c r="Y11" s="76"/>
      <c r="Z11" s="80"/>
      <c r="AA11" s="76"/>
      <c r="AB11" s="76"/>
      <c r="AC11" s="85"/>
      <c r="AD11" s="76"/>
      <c r="AE11" s="76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33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33"/>
      <c r="BZ11" s="33"/>
      <c r="CA11" s="33"/>
      <c r="CB11" s="33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33"/>
      <c r="I12" s="33"/>
      <c r="J12" s="32"/>
      <c r="K12" s="32"/>
      <c r="L12" s="32"/>
      <c r="M12" s="109"/>
      <c r="N12" s="76"/>
      <c r="O12" s="76"/>
      <c r="P12" s="76"/>
      <c r="Q12" s="76"/>
      <c r="R12" s="76"/>
      <c r="S12" s="76"/>
      <c r="T12" s="80"/>
      <c r="U12" s="76"/>
      <c r="V12" s="76"/>
      <c r="W12" s="82"/>
      <c r="X12" s="76"/>
      <c r="Y12" s="76"/>
      <c r="Z12" s="80"/>
      <c r="AA12" s="76"/>
      <c r="AB12" s="76"/>
      <c r="AC12" s="85"/>
      <c r="AD12" s="76"/>
      <c r="AE12" s="76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33"/>
      <c r="BG12" s="33"/>
      <c r="BH12" s="33"/>
      <c r="BI12" s="33"/>
      <c r="BJ12" s="115"/>
      <c r="BK12" s="33"/>
      <c r="BL12" s="33"/>
      <c r="BM12" s="33"/>
      <c r="BN12" s="84"/>
      <c r="BO12" s="84"/>
      <c r="BP12" s="115"/>
      <c r="BQ12" s="115"/>
      <c r="BR12" s="33"/>
      <c r="BS12" s="33"/>
      <c r="BT12" s="84"/>
      <c r="BU12" s="33"/>
      <c r="BV12" s="84"/>
      <c r="BW12" s="33"/>
      <c r="BX12" s="84"/>
      <c r="BY12" s="33"/>
      <c r="BZ12" s="33"/>
      <c r="CA12" s="33"/>
      <c r="CB12" s="33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6"/>
      <c r="I13" s="33"/>
      <c r="J13" s="32"/>
      <c r="K13" s="32"/>
      <c r="L13" s="32"/>
      <c r="M13" s="33"/>
      <c r="N13" s="76"/>
      <c r="O13" s="76"/>
      <c r="P13" s="76"/>
      <c r="Q13" s="76"/>
      <c r="R13" s="76"/>
      <c r="S13" s="76"/>
      <c r="T13" s="80"/>
      <c r="U13" s="76"/>
      <c r="V13" s="76"/>
      <c r="W13" s="82"/>
      <c r="X13" s="76"/>
      <c r="Y13" s="76"/>
      <c r="Z13" s="80"/>
      <c r="AA13" s="76"/>
      <c r="AB13" s="76"/>
      <c r="AC13" s="85"/>
      <c r="AD13" s="76"/>
      <c r="AE13" s="76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33"/>
      <c r="BG13" s="33"/>
      <c r="BH13" s="33"/>
      <c r="BI13" s="33"/>
      <c r="BJ13" s="115"/>
      <c r="BK13" s="33"/>
      <c r="BL13" s="33"/>
      <c r="BM13" s="33"/>
      <c r="BN13" s="84"/>
      <c r="BO13" s="84"/>
      <c r="BP13" s="115"/>
      <c r="BQ13" s="115"/>
      <c r="BR13" s="33"/>
      <c r="BS13" s="33"/>
      <c r="BT13" s="84"/>
      <c r="BU13" s="33"/>
      <c r="BV13" s="84"/>
      <c r="BW13" s="33"/>
      <c r="BX13" s="84"/>
      <c r="BY13" s="33"/>
      <c r="BZ13" s="33"/>
      <c r="CA13" s="33"/>
      <c r="CB13" s="33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33"/>
      <c r="I14" s="33"/>
      <c r="J14" s="32"/>
      <c r="K14" s="32"/>
      <c r="L14" s="32"/>
      <c r="M14" s="33"/>
      <c r="N14" s="76"/>
      <c r="O14" s="76"/>
      <c r="P14" s="76"/>
      <c r="Q14" s="76"/>
      <c r="R14" s="76"/>
      <c r="S14" s="76"/>
      <c r="T14" s="80"/>
      <c r="U14" s="76"/>
      <c r="V14" s="76"/>
      <c r="W14" s="82"/>
      <c r="X14" s="76"/>
      <c r="Y14" s="76"/>
      <c r="Z14" s="80"/>
      <c r="AA14" s="76"/>
      <c r="AB14" s="76"/>
      <c r="AC14" s="85"/>
      <c r="AD14" s="76"/>
      <c r="AE14" s="76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3"/>
      <c r="BG14" s="33"/>
      <c r="BH14" s="33"/>
      <c r="BI14" s="33"/>
      <c r="BJ14" s="115"/>
      <c r="BK14" s="33"/>
      <c r="BL14" s="33"/>
      <c r="BM14" s="33"/>
      <c r="BN14" s="84"/>
      <c r="BO14" s="84"/>
      <c r="BP14" s="115"/>
      <c r="BQ14" s="115"/>
      <c r="BR14" s="33"/>
      <c r="BS14" s="33"/>
      <c r="BT14" s="84"/>
      <c r="BU14" s="33"/>
      <c r="BV14" s="84"/>
      <c r="BW14" s="33"/>
      <c r="BX14" s="84"/>
      <c r="BY14" s="33"/>
      <c r="BZ14" s="33"/>
      <c r="CA14" s="33"/>
      <c r="CB14" s="33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115"/>
      <c r="BQ15" s="115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115"/>
      <c r="BQ16" s="115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115"/>
      <c r="BQ17" s="115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115"/>
      <c r="BQ18" s="115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115"/>
      <c r="BQ19" s="115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115"/>
      <c r="BQ20" s="115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115"/>
      <c r="BQ21" s="115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115"/>
      <c r="BQ22" s="115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115"/>
      <c r="BQ23" s="115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115"/>
      <c r="BQ24" s="115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115"/>
      <c r="BQ25" s="115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115"/>
      <c r="BQ26" s="115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6"/>
      <c r="I27" s="77"/>
      <c r="J27" s="78"/>
      <c r="K27" s="78"/>
      <c r="L27" s="78"/>
      <c r="M27" s="77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115"/>
      <c r="BQ27" s="115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7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115"/>
      <c r="BQ28" s="115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6"/>
      <c r="I29" s="77"/>
      <c r="J29" s="78"/>
      <c r="K29" s="78"/>
      <c r="L29" s="78"/>
      <c r="M29" s="77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115"/>
      <c r="BQ29" s="115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x14ac:dyDescent="0.3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x14ac:dyDescent="0.3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x14ac:dyDescent="0.3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3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x14ac:dyDescent="0.3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22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  <c r="Q49" s="116">
        <v>1000</v>
      </c>
      <c r="R49" s="116">
        <v>525</v>
      </c>
      <c r="S49" s="22" t="s">
        <v>239</v>
      </c>
      <c r="U49" s="116">
        <v>55</v>
      </c>
      <c r="V49" s="22" t="s">
        <v>244</v>
      </c>
    </row>
    <row r="50" spans="1:22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  <c r="R50" s="116">
        <v>53</v>
      </c>
      <c r="S50" s="22" t="s">
        <v>240</v>
      </c>
    </row>
    <row r="51" spans="1:22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  <c r="R51" s="116">
        <v>200</v>
      </c>
      <c r="S51" s="22" t="s">
        <v>241</v>
      </c>
    </row>
    <row r="52" spans="1:22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  <c r="R52" s="116">
        <v>185</v>
      </c>
      <c r="S52" s="22" t="s">
        <v>242</v>
      </c>
    </row>
    <row r="53" spans="1:22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  <c r="R53" s="116">
        <v>270</v>
      </c>
      <c r="S53" s="22" t="s">
        <v>243</v>
      </c>
      <c r="U53" s="116">
        <v>45</v>
      </c>
      <c r="V53" s="22" t="s">
        <v>244</v>
      </c>
    </row>
    <row r="54" spans="1:22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  <c r="R54" s="116">
        <v>200</v>
      </c>
      <c r="S54" s="22" t="s">
        <v>241</v>
      </c>
    </row>
    <row r="55" spans="1:22" x14ac:dyDescent="0.35">
      <c r="R55" s="116">
        <v>50</v>
      </c>
      <c r="S55" s="22" t="s">
        <v>241</v>
      </c>
      <c r="T55" s="22" t="s">
        <v>245</v>
      </c>
    </row>
    <row r="56" spans="1:22" x14ac:dyDescent="0.35">
      <c r="R56" s="117">
        <f>SUM(R49:R55)</f>
        <v>1483</v>
      </c>
    </row>
  </sheetData>
  <mergeCells count="68">
    <mergeCell ref="BV4:BW4"/>
    <mergeCell ref="BX4:BY4"/>
    <mergeCell ref="BZ4:BZ5"/>
    <mergeCell ref="CA4:CA5"/>
    <mergeCell ref="A35:AA35"/>
    <mergeCell ref="W4:W5"/>
    <mergeCell ref="N4:P4"/>
    <mergeCell ref="Q4:S4"/>
    <mergeCell ref="T4:T5"/>
    <mergeCell ref="U4:U5"/>
    <mergeCell ref="M4:M5"/>
    <mergeCell ref="V4:V5"/>
    <mergeCell ref="BP4:BQ4"/>
    <mergeCell ref="BR4:BS4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2:L3"/>
    <mergeCell ref="A4:A5"/>
    <mergeCell ref="B4:D4"/>
    <mergeCell ref="E4:G4"/>
    <mergeCell ref="I4:I5"/>
    <mergeCell ref="J4:J5"/>
    <mergeCell ref="K4:K5"/>
    <mergeCell ref="L4:L5"/>
    <mergeCell ref="C48:M48"/>
    <mergeCell ref="BN4:BO4"/>
    <mergeCell ref="BJ4:BL4"/>
    <mergeCell ref="BM4:BM5"/>
    <mergeCell ref="BT4:BU4"/>
    <mergeCell ref="X4:X5"/>
    <mergeCell ref="Y4:Y5"/>
    <mergeCell ref="AE4:AE5"/>
    <mergeCell ref="AF4:AR4"/>
    <mergeCell ref="AS4:BE4"/>
    <mergeCell ref="BF4:BH4"/>
    <mergeCell ref="BI4:BI5"/>
    <mergeCell ref="R40:AA40"/>
    <mergeCell ref="A36:AA36"/>
    <mergeCell ref="C52:M52"/>
    <mergeCell ref="C53:M53"/>
    <mergeCell ref="C54:M54"/>
    <mergeCell ref="A37:AA37"/>
    <mergeCell ref="R38:AA38"/>
    <mergeCell ref="R39:AA39"/>
    <mergeCell ref="C50:M50"/>
    <mergeCell ref="C51:M51"/>
    <mergeCell ref="C49:M49"/>
    <mergeCell ref="A38:H38"/>
    <mergeCell ref="A39:H39"/>
    <mergeCell ref="A40:H40"/>
    <mergeCell ref="A44:M44"/>
    <mergeCell ref="C45:M45"/>
    <mergeCell ref="C46:M46"/>
    <mergeCell ref="C47:M47"/>
  </mergeCells>
  <conditionalFormatting sqref="I8:I11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12:I14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15:I19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20:I24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25:I26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27:I2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9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6" zoomScale="92" zoomScaleNormal="92" workbookViewId="0">
      <pane xSplit="1" topLeftCell="BM1" activePane="topRight" state="frozen"/>
      <selection pane="topRight" activeCell="BT27" sqref="BT27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'19'!BV1:CC1+1</f>
        <v>46193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33"/>
      <c r="I6" s="33"/>
      <c r="J6" s="32"/>
      <c r="K6" s="32"/>
      <c r="L6" s="32"/>
      <c r="M6" s="109"/>
      <c r="N6" s="76"/>
      <c r="O6" s="76"/>
      <c r="P6" s="76"/>
      <c r="Q6" s="76"/>
      <c r="R6" s="76"/>
      <c r="S6" s="76"/>
      <c r="T6" s="80"/>
      <c r="U6" s="76"/>
      <c r="V6" s="76"/>
      <c r="W6" s="82"/>
      <c r="X6" s="76"/>
      <c r="Y6" s="76"/>
      <c r="Z6" s="80"/>
      <c r="AA6" s="76"/>
      <c r="AB6" s="76"/>
      <c r="AC6" s="85"/>
      <c r="AD6" s="76"/>
      <c r="AE6" s="76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3"/>
      <c r="BG6" s="33"/>
      <c r="BH6" s="33"/>
      <c r="BI6" s="33"/>
      <c r="BJ6" s="115"/>
      <c r="BK6" s="33"/>
      <c r="BL6" s="33"/>
      <c r="BM6" s="33"/>
      <c r="BN6" s="84"/>
      <c r="BO6" s="84"/>
      <c r="BP6" s="115"/>
      <c r="BQ6" s="115"/>
      <c r="BR6" s="33"/>
      <c r="BS6" s="33"/>
      <c r="BT6" s="84"/>
      <c r="BU6" s="33"/>
      <c r="BV6" s="84"/>
      <c r="BW6" s="33"/>
      <c r="BX6" s="84"/>
      <c r="BY6" s="33"/>
      <c r="BZ6" s="33"/>
      <c r="CA6" s="33"/>
      <c r="CB6" s="33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33"/>
      <c r="J7" s="32"/>
      <c r="K7" s="32"/>
      <c r="L7" s="32"/>
      <c r="M7" s="33"/>
      <c r="N7" s="76"/>
      <c r="O7" s="76"/>
      <c r="P7" s="76"/>
      <c r="Q7" s="76"/>
      <c r="R7" s="76"/>
      <c r="S7" s="76"/>
      <c r="T7" s="80"/>
      <c r="U7" s="76"/>
      <c r="V7" s="76"/>
      <c r="W7" s="82"/>
      <c r="X7" s="76"/>
      <c r="Y7" s="76"/>
      <c r="Z7" s="80"/>
      <c r="AA7" s="76"/>
      <c r="AB7" s="76"/>
      <c r="AC7" s="85"/>
      <c r="AD7" s="76"/>
      <c r="AE7" s="76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3"/>
      <c r="BG7" s="33"/>
      <c r="BH7" s="33"/>
      <c r="BI7" s="33"/>
      <c r="BJ7" s="115"/>
      <c r="BK7" s="33"/>
      <c r="BL7" s="33"/>
      <c r="BM7" s="33"/>
      <c r="BN7" s="84"/>
      <c r="BO7" s="84"/>
      <c r="BP7" s="115"/>
      <c r="BQ7" s="115"/>
      <c r="BR7" s="33"/>
      <c r="BS7" s="33"/>
      <c r="BT7" s="84"/>
      <c r="BU7" s="33"/>
      <c r="BV7" s="84"/>
      <c r="BW7" s="33"/>
      <c r="BX7" s="84"/>
      <c r="BY7" s="33"/>
      <c r="BZ7" s="33"/>
      <c r="CA7" s="33"/>
      <c r="CB7" s="33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33"/>
      <c r="I8" s="33"/>
      <c r="J8" s="32"/>
      <c r="K8" s="32"/>
      <c r="L8" s="32"/>
      <c r="M8" s="33"/>
      <c r="N8" s="76"/>
      <c r="O8" s="76"/>
      <c r="P8" s="76"/>
      <c r="Q8" s="76"/>
      <c r="R8" s="76"/>
      <c r="S8" s="76"/>
      <c r="T8" s="80"/>
      <c r="U8" s="76"/>
      <c r="V8" s="76"/>
      <c r="W8" s="82"/>
      <c r="X8" s="76"/>
      <c r="Y8" s="76"/>
      <c r="Z8" s="80"/>
      <c r="AA8" s="76"/>
      <c r="AB8" s="76"/>
      <c r="AC8" s="85"/>
      <c r="AD8" s="76"/>
      <c r="AE8" s="76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3"/>
      <c r="BG8" s="33"/>
      <c r="BH8" s="33"/>
      <c r="BI8" s="33"/>
      <c r="BJ8" s="115"/>
      <c r="BK8" s="33"/>
      <c r="BL8" s="33"/>
      <c r="BM8" s="33"/>
      <c r="BN8" s="84"/>
      <c r="BO8" s="84"/>
      <c r="BP8" s="115"/>
      <c r="BQ8" s="115"/>
      <c r="BR8" s="33"/>
      <c r="BS8" s="33"/>
      <c r="BT8" s="84"/>
      <c r="BU8" s="33"/>
      <c r="BV8" s="84"/>
      <c r="BW8" s="33"/>
      <c r="BX8" s="84"/>
      <c r="BY8" s="33"/>
      <c r="BZ8" s="33"/>
      <c r="CA8" s="33"/>
      <c r="CB8" s="33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7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115"/>
      <c r="BK9" s="77"/>
      <c r="BL9" s="77"/>
      <c r="BM9" s="77"/>
      <c r="BN9" s="84"/>
      <c r="BO9" s="84"/>
      <c r="BP9" s="115"/>
      <c r="BQ9" s="115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7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115"/>
      <c r="BK10" s="77"/>
      <c r="BL10" s="77"/>
      <c r="BM10" s="77"/>
      <c r="BN10" s="84"/>
      <c r="BO10" s="84"/>
      <c r="BP10" s="115"/>
      <c r="BQ10" s="115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7"/>
      <c r="I11" s="77"/>
      <c r="J11" s="78"/>
      <c r="K11" s="78"/>
      <c r="L11" s="78"/>
      <c r="M11" s="77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115"/>
      <c r="BK11" s="77"/>
      <c r="BL11" s="77"/>
      <c r="BM11" s="77"/>
      <c r="BN11" s="84"/>
      <c r="BO11" s="84"/>
      <c r="BP11" s="115"/>
      <c r="BQ11" s="115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115"/>
      <c r="BK12" s="77"/>
      <c r="BL12" s="77"/>
      <c r="BM12" s="77"/>
      <c r="BN12" s="84"/>
      <c r="BO12" s="84"/>
      <c r="BP12" s="115"/>
      <c r="BQ12" s="115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6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6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BV4:BW4"/>
    <mergeCell ref="BX4:BY4"/>
    <mergeCell ref="BZ4:BZ5"/>
    <mergeCell ref="CA4:CA5"/>
    <mergeCell ref="A35:AA35"/>
    <mergeCell ref="W4:W5"/>
    <mergeCell ref="N4:P4"/>
    <mergeCell ref="Q4:S4"/>
    <mergeCell ref="T4:T5"/>
    <mergeCell ref="U4:U5"/>
    <mergeCell ref="M4:M5"/>
    <mergeCell ref="V4:V5"/>
    <mergeCell ref="BP4:BQ4"/>
    <mergeCell ref="BR4:BS4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A2:L3"/>
    <mergeCell ref="A4:A5"/>
    <mergeCell ref="B4:D4"/>
    <mergeCell ref="E4:G4"/>
    <mergeCell ref="I4:I5"/>
    <mergeCell ref="J4:J5"/>
    <mergeCell ref="K4:K5"/>
    <mergeCell ref="L4:L5"/>
    <mergeCell ref="C48:M48"/>
    <mergeCell ref="BN4:BO4"/>
    <mergeCell ref="BJ4:BL4"/>
    <mergeCell ref="BM4:BM5"/>
    <mergeCell ref="BT4:BU4"/>
    <mergeCell ref="X4:X5"/>
    <mergeCell ref="Y4:Y5"/>
    <mergeCell ref="AE4:AE5"/>
    <mergeCell ref="AF4:AR4"/>
    <mergeCell ref="AS4:BE4"/>
    <mergeCell ref="BF4:BH4"/>
    <mergeCell ref="BI4:BI5"/>
    <mergeCell ref="R40:AA40"/>
    <mergeCell ref="A36:AA36"/>
    <mergeCell ref="C52:M52"/>
    <mergeCell ref="C53:M53"/>
    <mergeCell ref="C54:M54"/>
    <mergeCell ref="A37:AA37"/>
    <mergeCell ref="R38:AA38"/>
    <mergeCell ref="R39:AA39"/>
    <mergeCell ref="C50:M50"/>
    <mergeCell ref="C51:M51"/>
    <mergeCell ref="C49:M49"/>
    <mergeCell ref="A38:H38"/>
    <mergeCell ref="A39:H39"/>
    <mergeCell ref="A40:H40"/>
    <mergeCell ref="A44:M44"/>
    <mergeCell ref="C45:M45"/>
    <mergeCell ref="C46:M46"/>
    <mergeCell ref="C47:M47"/>
  </mergeCells>
  <conditionalFormatting sqref="I6:I8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9:I12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3:I1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15:I22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3:I2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25:I29">
    <cfRule type="iconSet" priority="8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6" zoomScale="83" zoomScaleNormal="83" workbookViewId="0">
      <pane xSplit="1" topLeftCell="BK1" activePane="topRight" state="frozen"/>
      <selection pane="topRight" activeCell="BT26" sqref="BT26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'20'!BV1:CC1+1</f>
        <v>46194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6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6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7"/>
      <c r="I26" s="77"/>
      <c r="J26" s="78"/>
      <c r="K26" s="78"/>
      <c r="L26" s="78"/>
      <c r="M26" s="77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6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6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ht="15" x14ac:dyDescent="0.2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ht="15" x14ac:dyDescent="0.2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R40:AA40"/>
    <mergeCell ref="BV4:BW4"/>
    <mergeCell ref="BX4:BY4"/>
    <mergeCell ref="BZ4:BZ5"/>
    <mergeCell ref="CA4:CA5"/>
    <mergeCell ref="A35:AA35"/>
    <mergeCell ref="A37:AA37"/>
    <mergeCell ref="R38:AA38"/>
    <mergeCell ref="R39:AA39"/>
    <mergeCell ref="X4:X5"/>
    <mergeCell ref="Y4:Y5"/>
    <mergeCell ref="AE4:AE5"/>
    <mergeCell ref="AF4:AR4"/>
    <mergeCell ref="AS4:BE4"/>
    <mergeCell ref="BF4:BH4"/>
    <mergeCell ref="BI4:BI5"/>
    <mergeCell ref="A1:BT1"/>
    <mergeCell ref="BV1:CC1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Z4:Z5"/>
    <mergeCell ref="AA4:AA5"/>
    <mergeCell ref="AB4:AB5"/>
    <mergeCell ref="AC4:AC5"/>
    <mergeCell ref="AD4:AD5"/>
    <mergeCell ref="C50:M50"/>
    <mergeCell ref="C51:M51"/>
    <mergeCell ref="C52:M52"/>
    <mergeCell ref="C53:M53"/>
    <mergeCell ref="C54:M54"/>
    <mergeCell ref="C49:M49"/>
    <mergeCell ref="A38:H38"/>
    <mergeCell ref="A39:H39"/>
    <mergeCell ref="A40:H40"/>
    <mergeCell ref="A44:M44"/>
    <mergeCell ref="C45:M45"/>
    <mergeCell ref="C46:M46"/>
    <mergeCell ref="C47:M47"/>
    <mergeCell ref="C48:M48"/>
    <mergeCell ref="BT4:BU4"/>
    <mergeCell ref="W4:W5"/>
    <mergeCell ref="N4:P4"/>
    <mergeCell ref="Q4:S4"/>
    <mergeCell ref="T4:T5"/>
    <mergeCell ref="U4:U5"/>
    <mergeCell ref="BJ4:BL4"/>
    <mergeCell ref="BP4:BQ4"/>
    <mergeCell ref="BR4:BS4"/>
    <mergeCell ref="BN4:BO4"/>
    <mergeCell ref="BM4:BM5"/>
    <mergeCell ref="A36:AA36"/>
    <mergeCell ref="A2:L3"/>
    <mergeCell ref="A4:A5"/>
    <mergeCell ref="B4:D4"/>
    <mergeCell ref="E4:G4"/>
    <mergeCell ref="I4:I5"/>
    <mergeCell ref="J4:J5"/>
    <mergeCell ref="K4:K5"/>
    <mergeCell ref="L4:L5"/>
    <mergeCell ref="M4:M5"/>
    <mergeCell ref="V4:V5"/>
  </mergeCells>
  <conditionalFormatting sqref="I6:I8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15:I16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17:I24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25:I26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27:I29">
    <cfRule type="iconSet" priority="4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5"/>
  <sheetViews>
    <sheetView zoomScale="90" zoomScaleNormal="90" workbookViewId="0">
      <pane xSplit="1" topLeftCell="G1" activePane="topRight" state="frozen"/>
      <selection pane="topRight" activeCell="F12" sqref="F12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'21'!BV1:CC1+1</f>
        <v>46195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252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x14ac:dyDescent="0.35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15" thickBot="1" x14ac:dyDescent="0.4">
      <c r="B4" s="22" t="s">
        <v>253</v>
      </c>
      <c r="C4" s="22" t="s">
        <v>253</v>
      </c>
      <c r="D4" s="22" t="s">
        <v>253</v>
      </c>
      <c r="E4" s="22" t="s">
        <v>253</v>
      </c>
      <c r="F4" s="22" t="s">
        <v>253</v>
      </c>
      <c r="G4" s="22" t="s">
        <v>253</v>
      </c>
      <c r="H4" s="22" t="s">
        <v>253</v>
      </c>
      <c r="J4" s="22" t="s">
        <v>253</v>
      </c>
      <c r="K4" s="22" t="s">
        <v>253</v>
      </c>
      <c r="L4" s="22" t="s">
        <v>253</v>
      </c>
      <c r="M4" s="22" t="s">
        <v>253</v>
      </c>
      <c r="N4" s="22" t="s">
        <v>253</v>
      </c>
      <c r="O4" s="22" t="s">
        <v>253</v>
      </c>
      <c r="P4" s="22" t="s">
        <v>253</v>
      </c>
      <c r="Q4" s="22" t="s">
        <v>253</v>
      </c>
      <c r="R4" s="22" t="s">
        <v>253</v>
      </c>
      <c r="S4" s="22" t="s">
        <v>253</v>
      </c>
      <c r="T4" s="22" t="s">
        <v>253</v>
      </c>
      <c r="U4" s="22" t="s">
        <v>254</v>
      </c>
      <c r="V4" s="22" t="s">
        <v>254</v>
      </c>
      <c r="W4" s="22" t="s">
        <v>253</v>
      </c>
      <c r="X4" s="22" t="s">
        <v>254</v>
      </c>
      <c r="Y4" s="22" t="s">
        <v>254</v>
      </c>
      <c r="Z4" s="22" t="s">
        <v>253</v>
      </c>
      <c r="AA4" s="22" t="s">
        <v>254</v>
      </c>
      <c r="AB4" s="22" t="s">
        <v>254</v>
      </c>
      <c r="AC4" s="22" t="s">
        <v>253</v>
      </c>
      <c r="AD4" s="22" t="s">
        <v>254</v>
      </c>
      <c r="AE4" s="22" t="s">
        <v>254</v>
      </c>
      <c r="AF4" s="22" t="s">
        <v>253</v>
      </c>
      <c r="AG4" s="22" t="s">
        <v>253</v>
      </c>
      <c r="AH4" s="22" t="s">
        <v>254</v>
      </c>
      <c r="AI4" s="22" t="s">
        <v>253</v>
      </c>
      <c r="AJ4" s="22" t="s">
        <v>253</v>
      </c>
      <c r="AK4" s="22" t="s">
        <v>253</v>
      </c>
      <c r="AL4" s="22" t="s">
        <v>253</v>
      </c>
      <c r="AM4" s="22" t="s">
        <v>253</v>
      </c>
      <c r="AN4" s="22" t="s">
        <v>253</v>
      </c>
      <c r="AO4" s="22" t="s">
        <v>253</v>
      </c>
      <c r="AP4" s="22" t="s">
        <v>254</v>
      </c>
      <c r="AQ4" s="22" t="s">
        <v>254</v>
      </c>
      <c r="AR4" s="22" t="s">
        <v>254</v>
      </c>
      <c r="AS4" s="22" t="s">
        <v>253</v>
      </c>
      <c r="AT4" s="22" t="s">
        <v>253</v>
      </c>
      <c r="AU4" s="22" t="s">
        <v>253</v>
      </c>
      <c r="AV4" s="22" t="s">
        <v>253</v>
      </c>
      <c r="AW4" s="22" t="s">
        <v>253</v>
      </c>
      <c r="AX4" s="22" t="s">
        <v>253</v>
      </c>
      <c r="AY4" s="22" t="s">
        <v>253</v>
      </c>
      <c r="AZ4" s="22" t="s">
        <v>253</v>
      </c>
      <c r="BA4" s="22" t="s">
        <v>253</v>
      </c>
      <c r="BB4" s="22" t="s">
        <v>253</v>
      </c>
      <c r="BC4" s="22" t="s">
        <v>254</v>
      </c>
      <c r="BD4" s="22" t="s">
        <v>254</v>
      </c>
      <c r="BE4" s="22" t="s">
        <v>254</v>
      </c>
      <c r="BF4" s="22" t="s">
        <v>254</v>
      </c>
      <c r="BG4" s="22" t="s">
        <v>253</v>
      </c>
      <c r="BH4" s="22" t="s">
        <v>254</v>
      </c>
      <c r="BI4" s="22" t="s">
        <v>253</v>
      </c>
      <c r="BJ4" s="22" t="s">
        <v>254</v>
      </c>
      <c r="BK4" s="22" t="s">
        <v>253</v>
      </c>
      <c r="BL4" s="22" t="s">
        <v>254</v>
      </c>
      <c r="BM4" s="22" t="s">
        <v>253</v>
      </c>
      <c r="BN4" s="22" t="s">
        <v>253</v>
      </c>
      <c r="BO4" s="22" t="s">
        <v>253</v>
      </c>
      <c r="BP4" s="22" t="s">
        <v>253</v>
      </c>
      <c r="BQ4" s="22" t="s">
        <v>253</v>
      </c>
      <c r="BR4" s="22" t="s">
        <v>253</v>
      </c>
      <c r="BS4" s="22" t="s">
        <v>253</v>
      </c>
      <c r="BT4" s="22" t="s">
        <v>253</v>
      </c>
      <c r="BU4" s="22" t="s">
        <v>253</v>
      </c>
      <c r="BV4" s="22" t="s">
        <v>253</v>
      </c>
      <c r="BW4" s="22" t="s">
        <v>253</v>
      </c>
      <c r="BX4" s="22" t="s">
        <v>253</v>
      </c>
      <c r="BY4" s="22" t="s">
        <v>253</v>
      </c>
      <c r="BZ4" s="22" t="s">
        <v>254</v>
      </c>
      <c r="CA4" s="22" t="s">
        <v>254</v>
      </c>
      <c r="CB4" s="182"/>
      <c r="CC4" s="185"/>
    </row>
    <row r="5" spans="1:81" ht="54.65" customHeight="1" thickBot="1" x14ac:dyDescent="0.4">
      <c r="A5" s="148" t="s">
        <v>12</v>
      </c>
      <c r="B5" s="145" t="s">
        <v>13</v>
      </c>
      <c r="C5" s="146"/>
      <c r="D5" s="147"/>
      <c r="E5" s="145" t="s">
        <v>14</v>
      </c>
      <c r="F5" s="146"/>
      <c r="G5" s="147"/>
      <c r="H5" s="27" t="s">
        <v>140</v>
      </c>
      <c r="I5" s="143" t="s">
        <v>15</v>
      </c>
      <c r="J5" s="143" t="s">
        <v>16</v>
      </c>
      <c r="K5" s="143" t="s">
        <v>17</v>
      </c>
      <c r="L5" s="143" t="s">
        <v>18</v>
      </c>
      <c r="M5" s="143" t="s">
        <v>171</v>
      </c>
      <c r="N5" s="145" t="s">
        <v>19</v>
      </c>
      <c r="O5" s="146"/>
      <c r="P5" s="147"/>
      <c r="Q5" s="145" t="s">
        <v>20</v>
      </c>
      <c r="R5" s="146"/>
      <c r="S5" s="147"/>
      <c r="T5" s="143" t="s">
        <v>21</v>
      </c>
      <c r="U5" s="143" t="s">
        <v>22</v>
      </c>
      <c r="V5" s="143" t="s">
        <v>23</v>
      </c>
      <c r="W5" s="143" t="s">
        <v>24</v>
      </c>
      <c r="X5" s="143" t="s">
        <v>25</v>
      </c>
      <c r="Y5" s="143" t="s">
        <v>23</v>
      </c>
      <c r="Z5" s="143" t="s">
        <v>232</v>
      </c>
      <c r="AA5" s="143" t="s">
        <v>233</v>
      </c>
      <c r="AB5" s="143" t="s">
        <v>23</v>
      </c>
      <c r="AC5" s="143" t="s">
        <v>230</v>
      </c>
      <c r="AD5" s="143" t="s">
        <v>231</v>
      </c>
      <c r="AE5" s="143" t="s">
        <v>23</v>
      </c>
      <c r="AF5" s="200" t="s">
        <v>183</v>
      </c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2"/>
      <c r="AS5" s="200" t="s">
        <v>184</v>
      </c>
      <c r="AT5" s="201"/>
      <c r="AU5" s="201"/>
      <c r="AV5" s="201"/>
      <c r="AW5" s="201"/>
      <c r="AX5" s="201"/>
      <c r="AY5" s="201"/>
      <c r="AZ5" s="201"/>
      <c r="BA5" s="201"/>
      <c r="BB5" s="201"/>
      <c r="BC5" s="201"/>
      <c r="BD5" s="201"/>
      <c r="BE5" s="202"/>
      <c r="BF5" s="203" t="s">
        <v>188</v>
      </c>
      <c r="BG5" s="204"/>
      <c r="BH5" s="205"/>
      <c r="BI5" s="150" t="s">
        <v>178</v>
      </c>
      <c r="BJ5" s="198" t="s">
        <v>191</v>
      </c>
      <c r="BK5" s="199"/>
      <c r="BL5" s="149"/>
      <c r="BM5" s="150" t="s">
        <v>178</v>
      </c>
      <c r="BN5" s="150" t="s">
        <v>246</v>
      </c>
      <c r="BO5" s="151"/>
      <c r="BP5" s="152" t="s">
        <v>247</v>
      </c>
      <c r="BQ5" s="153"/>
      <c r="BR5" s="152" t="s">
        <v>248</v>
      </c>
      <c r="BS5" s="153"/>
      <c r="BT5" s="152" t="s">
        <v>249</v>
      </c>
      <c r="BU5" s="153"/>
      <c r="BV5" s="152" t="s">
        <v>250</v>
      </c>
      <c r="BW5" s="153"/>
      <c r="BX5" s="145" t="s">
        <v>251</v>
      </c>
      <c r="BY5" s="147"/>
      <c r="BZ5" s="191" t="s">
        <v>32</v>
      </c>
      <c r="CA5" s="143" t="s">
        <v>33</v>
      </c>
      <c r="CB5" s="182"/>
      <c r="CC5" s="185"/>
    </row>
    <row r="6" spans="1:81" ht="75.5" x14ac:dyDescent="0.35">
      <c r="A6" s="149"/>
      <c r="B6" s="28" t="s">
        <v>43</v>
      </c>
      <c r="C6" s="28" t="s">
        <v>42</v>
      </c>
      <c r="D6" s="28" t="s">
        <v>41</v>
      </c>
      <c r="E6" s="28" t="s">
        <v>43</v>
      </c>
      <c r="F6" s="28" t="s">
        <v>42</v>
      </c>
      <c r="G6" s="28" t="s">
        <v>41</v>
      </c>
      <c r="H6" s="28" t="s">
        <v>141</v>
      </c>
      <c r="I6" s="144"/>
      <c r="J6" s="144"/>
      <c r="K6" s="144"/>
      <c r="L6" s="144"/>
      <c r="M6" s="144"/>
      <c r="N6" s="28" t="s">
        <v>43</v>
      </c>
      <c r="O6" s="28" t="s">
        <v>42</v>
      </c>
      <c r="P6" s="28" t="s">
        <v>41</v>
      </c>
      <c r="Q6" s="28" t="s">
        <v>43</v>
      </c>
      <c r="R6" s="28" t="s">
        <v>42</v>
      </c>
      <c r="S6" s="28" t="s">
        <v>41</v>
      </c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29" t="s">
        <v>177</v>
      </c>
      <c r="AG6" s="29" t="s">
        <v>178</v>
      </c>
      <c r="AH6" s="29" t="s">
        <v>179</v>
      </c>
      <c r="AI6" s="29" t="s">
        <v>213</v>
      </c>
      <c r="AJ6" s="29" t="s">
        <v>187</v>
      </c>
      <c r="AK6" s="29" t="s">
        <v>189</v>
      </c>
      <c r="AL6" s="29" t="s">
        <v>190</v>
      </c>
      <c r="AM6" s="29" t="s">
        <v>214</v>
      </c>
      <c r="AN6" s="29" t="s">
        <v>215</v>
      </c>
      <c r="AO6" s="29" t="s">
        <v>216</v>
      </c>
      <c r="AP6" s="29" t="s">
        <v>180</v>
      </c>
      <c r="AQ6" s="29" t="s">
        <v>181</v>
      </c>
      <c r="AR6" s="29" t="s">
        <v>182</v>
      </c>
      <c r="AS6" s="29" t="s">
        <v>177</v>
      </c>
      <c r="AT6" s="29" t="s">
        <v>178</v>
      </c>
      <c r="AU6" s="29" t="s">
        <v>179</v>
      </c>
      <c r="AV6" s="29" t="s">
        <v>213</v>
      </c>
      <c r="AW6" s="29" t="s">
        <v>187</v>
      </c>
      <c r="AX6" s="29" t="s">
        <v>189</v>
      </c>
      <c r="AY6" s="29" t="s">
        <v>190</v>
      </c>
      <c r="AZ6" s="29" t="s">
        <v>214</v>
      </c>
      <c r="BA6" s="29" t="s">
        <v>215</v>
      </c>
      <c r="BB6" s="29" t="s">
        <v>216</v>
      </c>
      <c r="BC6" s="29" t="s">
        <v>180</v>
      </c>
      <c r="BD6" s="29" t="s">
        <v>181</v>
      </c>
      <c r="BE6" s="29" t="s">
        <v>182</v>
      </c>
      <c r="BF6" s="28" t="s">
        <v>145</v>
      </c>
      <c r="BG6" s="28" t="s">
        <v>67</v>
      </c>
      <c r="BH6" s="28" t="s">
        <v>157</v>
      </c>
      <c r="BI6" s="206"/>
      <c r="BJ6" s="28" t="s">
        <v>145</v>
      </c>
      <c r="BK6" s="28" t="s">
        <v>67</v>
      </c>
      <c r="BL6" s="28" t="s">
        <v>139</v>
      </c>
      <c r="BM6" s="206"/>
      <c r="BN6" s="30" t="s">
        <v>64</v>
      </c>
      <c r="BO6" s="28" t="s">
        <v>65</v>
      </c>
      <c r="BP6" s="28" t="s">
        <v>64</v>
      </c>
      <c r="BQ6" s="28" t="s">
        <v>65</v>
      </c>
      <c r="BR6" s="28" t="s">
        <v>64</v>
      </c>
      <c r="BS6" s="28" t="s">
        <v>65</v>
      </c>
      <c r="BT6" s="28" t="s">
        <v>64</v>
      </c>
      <c r="BU6" s="28" t="s">
        <v>65</v>
      </c>
      <c r="BV6" s="28" t="s">
        <v>64</v>
      </c>
      <c r="BW6" s="28" t="s">
        <v>65</v>
      </c>
      <c r="BX6" s="31" t="s">
        <v>64</v>
      </c>
      <c r="BY6" s="31" t="s">
        <v>65</v>
      </c>
      <c r="BZ6" s="144"/>
      <c r="CA6" s="144"/>
      <c r="CB6" s="183"/>
      <c r="CC6" s="186"/>
    </row>
    <row r="7" spans="1:81" x14ac:dyDescent="0.35">
      <c r="A7" s="32">
        <v>0</v>
      </c>
      <c r="B7" s="33"/>
      <c r="C7" s="33"/>
      <c r="D7" s="33"/>
      <c r="E7" s="33"/>
      <c r="F7" s="33"/>
      <c r="G7" s="33"/>
      <c r="H7" s="33"/>
      <c r="I7" s="33"/>
      <c r="J7" s="32"/>
      <c r="K7" s="32"/>
      <c r="L7" s="32"/>
      <c r="M7" s="109"/>
      <c r="N7" s="76"/>
      <c r="O7" s="76"/>
      <c r="P7" s="76"/>
      <c r="Q7" s="76"/>
      <c r="R7" s="76"/>
      <c r="S7" s="76"/>
      <c r="T7" s="80"/>
      <c r="U7" s="76"/>
      <c r="V7" s="76"/>
      <c r="W7" s="82"/>
      <c r="X7" s="76"/>
      <c r="Y7" s="76"/>
      <c r="Z7" s="80"/>
      <c r="AA7" s="76"/>
      <c r="AB7" s="76"/>
      <c r="AC7" s="85"/>
      <c r="AD7" s="76"/>
      <c r="AE7" s="76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3"/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33"/>
      <c r="BZ7" s="33"/>
      <c r="CA7" s="33"/>
      <c r="CB7" s="33"/>
      <c r="CC7" s="33"/>
    </row>
    <row r="8" spans="1:81" x14ac:dyDescent="0.35">
      <c r="A8" s="32">
        <v>4.1666666666666664E-2</v>
      </c>
      <c r="B8" s="33"/>
      <c r="C8" s="33"/>
      <c r="D8" s="33"/>
      <c r="E8" s="33"/>
      <c r="F8" s="33"/>
      <c r="G8" s="33"/>
      <c r="H8" s="33"/>
      <c r="I8" s="33"/>
      <c r="J8" s="32"/>
      <c r="K8" s="32"/>
      <c r="L8" s="32"/>
      <c r="M8" s="109"/>
      <c r="N8" s="76"/>
      <c r="O8" s="76"/>
      <c r="P8" s="76"/>
      <c r="Q8" s="76"/>
      <c r="R8" s="76"/>
      <c r="S8" s="76"/>
      <c r="T8" s="80"/>
      <c r="U8" s="76"/>
      <c r="V8" s="76"/>
      <c r="W8" s="82"/>
      <c r="X8" s="76"/>
      <c r="Y8" s="76"/>
      <c r="Z8" s="80"/>
      <c r="AA8" s="76"/>
      <c r="AB8" s="76"/>
      <c r="AC8" s="85"/>
      <c r="AD8" s="76"/>
      <c r="AE8" s="76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3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33"/>
      <c r="BZ8" s="33"/>
      <c r="CA8" s="33"/>
      <c r="CB8" s="33"/>
      <c r="CC8" s="33"/>
    </row>
    <row r="9" spans="1:81" x14ac:dyDescent="0.35">
      <c r="A9" s="32">
        <v>8.3333333333333329E-2</v>
      </c>
      <c r="B9" s="76"/>
      <c r="C9" s="76"/>
      <c r="D9" s="76"/>
      <c r="E9" s="76"/>
      <c r="F9" s="76"/>
      <c r="G9" s="76"/>
      <c r="H9" s="33"/>
      <c r="I9" s="33"/>
      <c r="J9" s="32"/>
      <c r="K9" s="32"/>
      <c r="L9" s="32"/>
      <c r="M9" s="109"/>
      <c r="N9" s="76"/>
      <c r="O9" s="76"/>
      <c r="P9" s="76"/>
      <c r="Q9" s="76"/>
      <c r="R9" s="76"/>
      <c r="S9" s="76"/>
      <c r="T9" s="80"/>
      <c r="U9" s="76"/>
      <c r="V9" s="76"/>
      <c r="W9" s="82"/>
      <c r="X9" s="76"/>
      <c r="Y9" s="76"/>
      <c r="Z9" s="80"/>
      <c r="AA9" s="76"/>
      <c r="AB9" s="76"/>
      <c r="AC9" s="85"/>
      <c r="AD9" s="76"/>
      <c r="AE9" s="76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33"/>
      <c r="BG9" s="33"/>
      <c r="BH9" s="33"/>
      <c r="BI9" s="33"/>
      <c r="BJ9" s="115"/>
      <c r="BK9" s="33"/>
      <c r="BL9" s="33"/>
      <c r="BM9" s="33"/>
      <c r="BN9" s="84"/>
      <c r="BO9" s="84"/>
      <c r="BP9" s="115"/>
      <c r="BQ9" s="115"/>
      <c r="BR9" s="33"/>
      <c r="BS9" s="33"/>
      <c r="BT9" s="84"/>
      <c r="BU9" s="33"/>
      <c r="BV9" s="84"/>
      <c r="BW9" s="33"/>
      <c r="BX9" s="84"/>
      <c r="BY9" s="33"/>
      <c r="BZ9" s="33"/>
      <c r="CA9" s="33"/>
      <c r="CB9" s="33"/>
      <c r="CC9" s="33"/>
    </row>
    <row r="10" spans="1:81" x14ac:dyDescent="0.35">
      <c r="A10" s="32">
        <v>0.125</v>
      </c>
      <c r="B10" s="76"/>
      <c r="C10" s="76"/>
      <c r="D10" s="76"/>
      <c r="E10" s="76"/>
      <c r="F10" s="76"/>
      <c r="G10" s="76"/>
      <c r="H10" s="76"/>
      <c r="I10" s="33"/>
      <c r="J10" s="32"/>
      <c r="K10" s="32"/>
      <c r="L10" s="32"/>
      <c r="M10" s="33"/>
      <c r="N10" s="76"/>
      <c r="O10" s="76"/>
      <c r="P10" s="76"/>
      <c r="Q10" s="76"/>
      <c r="R10" s="76"/>
      <c r="S10" s="76"/>
      <c r="T10" s="80"/>
      <c r="U10" s="76"/>
      <c r="V10" s="76"/>
      <c r="W10" s="82"/>
      <c r="X10" s="76"/>
      <c r="Y10" s="76"/>
      <c r="Z10" s="80"/>
      <c r="AA10" s="76"/>
      <c r="AB10" s="76"/>
      <c r="AC10" s="85"/>
      <c r="AD10" s="76"/>
      <c r="AE10" s="76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3"/>
      <c r="BG10" s="33"/>
      <c r="BH10" s="33"/>
      <c r="BI10" s="33"/>
      <c r="BJ10" s="115"/>
      <c r="BK10" s="33"/>
      <c r="BL10" s="33"/>
      <c r="BM10" s="33"/>
      <c r="BN10" s="84"/>
      <c r="BO10" s="84"/>
      <c r="BP10" s="115"/>
      <c r="BQ10" s="115"/>
      <c r="BR10" s="33"/>
      <c r="BS10" s="33"/>
      <c r="BT10" s="84"/>
      <c r="BU10" s="33"/>
      <c r="BV10" s="84"/>
      <c r="BW10" s="33"/>
      <c r="BX10" s="84"/>
      <c r="BY10" s="33"/>
      <c r="BZ10" s="33"/>
      <c r="CA10" s="33"/>
      <c r="CB10" s="33"/>
      <c r="CC10" s="33"/>
    </row>
    <row r="11" spans="1:81" x14ac:dyDescent="0.35">
      <c r="A11" s="32">
        <v>0.16666666666666699</v>
      </c>
      <c r="B11" s="76"/>
      <c r="C11" s="76"/>
      <c r="D11" s="76"/>
      <c r="E11" s="76"/>
      <c r="F11" s="76"/>
      <c r="G11" s="76"/>
      <c r="H11" s="33"/>
      <c r="I11" s="33"/>
      <c r="J11" s="32"/>
      <c r="K11" s="32"/>
      <c r="L11" s="32"/>
      <c r="M11" s="33"/>
      <c r="N11" s="76"/>
      <c r="O11" s="76"/>
      <c r="P11" s="76"/>
      <c r="Q11" s="76"/>
      <c r="R11" s="76"/>
      <c r="S11" s="76"/>
      <c r="T11" s="80"/>
      <c r="U11" s="76"/>
      <c r="V11" s="76"/>
      <c r="W11" s="82"/>
      <c r="X11" s="76"/>
      <c r="Y11" s="76"/>
      <c r="Z11" s="80"/>
      <c r="AA11" s="76"/>
      <c r="AB11" s="76"/>
      <c r="AC11" s="85"/>
      <c r="AD11" s="76"/>
      <c r="AE11" s="76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33"/>
      <c r="BG11" s="33"/>
      <c r="BH11" s="33"/>
      <c r="BI11" s="33"/>
      <c r="BJ11" s="115"/>
      <c r="BK11" s="33"/>
      <c r="BL11" s="33"/>
      <c r="BM11" s="33"/>
      <c r="BN11" s="84"/>
      <c r="BO11" s="84"/>
      <c r="BP11" s="115"/>
      <c r="BQ11" s="115"/>
      <c r="BR11" s="33"/>
      <c r="BS11" s="33"/>
      <c r="BT11" s="84"/>
      <c r="BU11" s="33"/>
      <c r="BV11" s="84"/>
      <c r="BW11" s="33"/>
      <c r="BX11" s="84"/>
      <c r="BY11" s="33"/>
      <c r="BZ11" s="33"/>
      <c r="CA11" s="33"/>
      <c r="CB11" s="33"/>
      <c r="CC11" s="33"/>
    </row>
    <row r="12" spans="1:81" x14ac:dyDescent="0.35">
      <c r="A12" s="32">
        <v>0.20833333333333301</v>
      </c>
      <c r="B12" s="76"/>
      <c r="C12" s="76"/>
      <c r="D12" s="76"/>
      <c r="E12" s="76"/>
      <c r="F12" s="76"/>
      <c r="G12" s="76"/>
      <c r="H12" s="76"/>
      <c r="I12" s="77"/>
      <c r="J12" s="78"/>
      <c r="K12" s="78"/>
      <c r="L12" s="78"/>
      <c r="M12" s="77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115"/>
      <c r="BQ12" s="115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0.25</v>
      </c>
      <c r="B13" s="76"/>
      <c r="C13" s="76"/>
      <c r="D13" s="76"/>
      <c r="E13" s="76"/>
      <c r="F13" s="76"/>
      <c r="G13" s="76"/>
      <c r="H13" s="76"/>
      <c r="I13" s="77"/>
      <c r="J13" s="78"/>
      <c r="K13" s="78"/>
      <c r="L13" s="78"/>
      <c r="M13" s="77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115"/>
      <c r="BQ13" s="115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0.29166666666666702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7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115"/>
      <c r="BQ14" s="115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0.33333333333333331</v>
      </c>
      <c r="B15" s="76"/>
      <c r="C15" s="76"/>
      <c r="D15" s="76"/>
      <c r="E15" s="76"/>
      <c r="F15" s="76"/>
      <c r="G15" s="76"/>
      <c r="H15" s="77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115"/>
      <c r="BQ15" s="115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2">
        <v>0.375</v>
      </c>
      <c r="B16" s="76"/>
      <c r="C16" s="76"/>
      <c r="D16" s="76"/>
      <c r="E16" s="76"/>
      <c r="F16" s="76"/>
      <c r="G16" s="76"/>
      <c r="H16" s="77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115"/>
      <c r="BQ16" s="115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0.41666666666666669</v>
      </c>
      <c r="B17" s="76"/>
      <c r="C17" s="76"/>
      <c r="D17" s="76"/>
      <c r="E17" s="76"/>
      <c r="F17" s="76"/>
      <c r="G17" s="76"/>
      <c r="H17" s="76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0.45833333333333331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0.54166666666666663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0.58333333333333337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0.625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0.66666666666666663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0.70833333333333337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0.75</v>
      </c>
      <c r="B25" s="76"/>
      <c r="C25" s="76"/>
      <c r="D25" s="76"/>
      <c r="E25" s="76"/>
      <c r="F25" s="76"/>
      <c r="G25" s="76"/>
      <c r="H25" s="77"/>
      <c r="I25" s="77"/>
      <c r="J25" s="78"/>
      <c r="K25" s="78"/>
      <c r="L25" s="78"/>
      <c r="M25" s="77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0.79166666666666663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0.83333333333333337</v>
      </c>
      <c r="B27" s="76"/>
      <c r="C27" s="76"/>
      <c r="D27" s="76"/>
      <c r="E27" s="76"/>
      <c r="F27" s="76"/>
      <c r="G27" s="76"/>
      <c r="H27" s="76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0.875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0.91666666666666663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0" spans="1:81" x14ac:dyDescent="0.35">
      <c r="A30" s="34">
        <v>0.95833333333333337</v>
      </c>
      <c r="B30" s="76"/>
      <c r="C30" s="76"/>
      <c r="D30" s="76"/>
      <c r="E30" s="76"/>
      <c r="F30" s="76"/>
      <c r="G30" s="76"/>
      <c r="H30" s="77"/>
      <c r="I30" s="77"/>
      <c r="J30" s="78"/>
      <c r="K30" s="78"/>
      <c r="L30" s="78"/>
      <c r="M30" s="79"/>
      <c r="N30" s="76"/>
      <c r="O30" s="76"/>
      <c r="P30" s="76"/>
      <c r="Q30" s="76"/>
      <c r="R30" s="76"/>
      <c r="S30" s="76"/>
      <c r="T30" s="80"/>
      <c r="U30" s="81"/>
      <c r="V30" s="81"/>
      <c r="W30" s="82"/>
      <c r="X30" s="81"/>
      <c r="Y30" s="81"/>
      <c r="Z30" s="80"/>
      <c r="AA30" s="81"/>
      <c r="AB30" s="81"/>
      <c r="AC30" s="85"/>
      <c r="AD30" s="81"/>
      <c r="AE30" s="81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77"/>
      <c r="BG30" s="77"/>
      <c r="BH30" s="77"/>
      <c r="BI30" s="77"/>
      <c r="BJ30" s="77"/>
      <c r="BK30" s="77"/>
      <c r="BL30" s="77"/>
      <c r="BM30" s="77"/>
      <c r="BN30" s="84"/>
      <c r="BO30" s="84"/>
      <c r="BP30" s="84"/>
      <c r="BQ30" s="84"/>
      <c r="BR30" s="77"/>
      <c r="BS30" s="77"/>
      <c r="BT30" s="84"/>
      <c r="BU30" s="77"/>
      <c r="BV30" s="84"/>
      <c r="BW30" s="77"/>
      <c r="BX30" s="84"/>
      <c r="BY30" s="77"/>
      <c r="BZ30" s="77"/>
      <c r="CA30" s="77"/>
      <c r="CB30" s="77"/>
      <c r="CC30" s="33"/>
    </row>
    <row r="32" spans="1:81" customFormat="1" x14ac:dyDescent="0.35">
      <c r="A32" s="22"/>
      <c r="B32" s="73" t="s">
        <v>168</v>
      </c>
      <c r="C32" s="73" t="s">
        <v>221</v>
      </c>
      <c r="L32" t="s">
        <v>168</v>
      </c>
      <c r="M32" t="e">
        <f>AVERAGE(M7:M30)</f>
        <v>#DIV/0!</v>
      </c>
      <c r="BD32" s="41"/>
      <c r="BE32" t="s">
        <v>168</v>
      </c>
      <c r="BF32" t="e">
        <f>AVERAGE(BF7:BF30)</f>
        <v>#DIV/0!</v>
      </c>
      <c r="BG32" t="e">
        <f t="shared" ref="BG32:BK32" si="0">AVERAGE(BG7:BG30)</f>
        <v>#DIV/0!</v>
      </c>
      <c r="BJ32" t="e">
        <f t="shared" si="0"/>
        <v>#DIV/0!</v>
      </c>
      <c r="BK32" t="e">
        <f t="shared" si="0"/>
        <v>#DIV/0!</v>
      </c>
      <c r="BN32" t="e">
        <f>AVERAGE(BN7:BN30)</f>
        <v>#DIV/0!</v>
      </c>
      <c r="BO32">
        <f>MAX(BN7:BN30)</f>
        <v>0</v>
      </c>
      <c r="BP32">
        <f>MIN(BN7:BN30)</f>
        <v>0</v>
      </c>
      <c r="BQ32" s="40" t="e">
        <f>AVERAGE(BO7:BO30)</f>
        <v>#DIV/0!</v>
      </c>
      <c r="BR32">
        <f>MAX(BO7:BO30)</f>
        <v>0</v>
      </c>
      <c r="BS32">
        <f>MIN(BO7:BO30)</f>
        <v>0</v>
      </c>
    </row>
    <row r="33" spans="1:64" customFormat="1" x14ac:dyDescent="0.35">
      <c r="A33" s="72" t="s">
        <v>219</v>
      </c>
      <c r="B33" s="22" t="e">
        <f>AF33+AS33</f>
        <v>#DIV/0!</v>
      </c>
      <c r="C33" s="22">
        <f>AF34+AS34</f>
        <v>0</v>
      </c>
      <c r="L33" t="s">
        <v>169</v>
      </c>
      <c r="M33">
        <f>MAX(M7:M30)</f>
        <v>0</v>
      </c>
      <c r="AE33" t="s">
        <v>170</v>
      </c>
      <c r="AF33" t="e">
        <f>AVERAGE(AF7:AF30)</f>
        <v>#DIV/0!</v>
      </c>
      <c r="AR33" t="s">
        <v>170</v>
      </c>
      <c r="AS33" t="e">
        <f>AVERAGE(AS7:AS30)</f>
        <v>#DIV/0!</v>
      </c>
      <c r="BD33" s="41"/>
      <c r="BE33" t="s">
        <v>169</v>
      </c>
      <c r="BF33">
        <f>MAX(BF7:BF30)</f>
        <v>0</v>
      </c>
      <c r="BG33">
        <f>MAX(BG7:BG30)</f>
        <v>0</v>
      </c>
      <c r="BH33" t="e">
        <f>BF32*BG32</f>
        <v>#DIV/0!</v>
      </c>
      <c r="BJ33">
        <f>MAX(BJ7:BJ30)</f>
        <v>0</v>
      </c>
      <c r="BK33">
        <f>MAX(BK7:BK30)</f>
        <v>0</v>
      </c>
      <c r="BL33" t="e">
        <f>BJ32*BK32</f>
        <v>#DIV/0!</v>
      </c>
    </row>
    <row r="34" spans="1:64" customFormat="1" x14ac:dyDescent="0.35">
      <c r="A34" s="72" t="s">
        <v>220</v>
      </c>
      <c r="B34" s="22" t="e">
        <f>(BH33+BL33)/1000</f>
        <v>#DIV/0!</v>
      </c>
      <c r="C34" s="22">
        <f>(BH34+BL34)/1000</f>
        <v>0</v>
      </c>
      <c r="AE34" t="s">
        <v>169</v>
      </c>
      <c r="AF34">
        <f>MAX(AF7:AF30)</f>
        <v>0</v>
      </c>
      <c r="AR34" t="s">
        <v>169</v>
      </c>
      <c r="AS34">
        <f>MAX(AS7:AS30)</f>
        <v>0</v>
      </c>
      <c r="BH34">
        <f>BF33*BG33</f>
        <v>0</v>
      </c>
      <c r="BL34">
        <f>BJ33*BK33</f>
        <v>0</v>
      </c>
    </row>
    <row r="35" spans="1:64" customFormat="1" x14ac:dyDescent="0.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spans="1:64" x14ac:dyDescent="0.35">
      <c r="A36" s="192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4"/>
      <c r="AE36" s="35"/>
      <c r="AF36" s="35"/>
    </row>
    <row r="37" spans="1:64" x14ac:dyDescent="0.3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x14ac:dyDescent="0.35">
      <c r="A38" s="195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7"/>
      <c r="AE38" s="35"/>
      <c r="AF38" s="35"/>
    </row>
    <row r="39" spans="1:64" x14ac:dyDescent="0.35">
      <c r="A39" s="154"/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/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4.5" customHeight="1" x14ac:dyDescent="0.35">
      <c r="A40" s="154" t="s">
        <v>37</v>
      </c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 t="s">
        <v>176</v>
      </c>
      <c r="S40" s="155"/>
      <c r="T40" s="155"/>
      <c r="U40" s="155"/>
      <c r="V40" s="155"/>
      <c r="W40" s="155"/>
      <c r="X40" s="155"/>
      <c r="Y40" s="155"/>
      <c r="Z40" s="155"/>
      <c r="AA40" s="156"/>
    </row>
    <row r="41" spans="1:64" x14ac:dyDescent="0.35">
      <c r="A41" s="154"/>
      <c r="B41" s="155"/>
      <c r="C41" s="155"/>
      <c r="D41" s="155"/>
      <c r="E41" s="155"/>
      <c r="F41" s="155"/>
      <c r="G41" s="155"/>
      <c r="H41" s="156"/>
      <c r="I41" s="33"/>
      <c r="J41" s="33"/>
      <c r="K41" s="33"/>
      <c r="L41" s="33"/>
      <c r="M41" s="33"/>
      <c r="N41" s="33"/>
      <c r="O41" s="33"/>
      <c r="P41" s="33"/>
      <c r="Q41" s="33"/>
      <c r="R41" s="154"/>
      <c r="S41" s="155"/>
      <c r="T41" s="155"/>
      <c r="U41" s="155"/>
      <c r="V41" s="155"/>
      <c r="W41" s="155"/>
      <c r="X41" s="155"/>
      <c r="Y41" s="155"/>
      <c r="Z41" s="155"/>
      <c r="AA41" s="156"/>
    </row>
    <row r="45" spans="1:64" x14ac:dyDescent="0.35">
      <c r="A45" s="157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9"/>
    </row>
    <row r="46" spans="1:64" x14ac:dyDescent="0.35">
      <c r="A46" s="36" t="s">
        <v>35</v>
      </c>
      <c r="B46" s="37"/>
      <c r="C46" s="160"/>
      <c r="D46" s="161"/>
      <c r="E46" s="161"/>
      <c r="F46" s="161"/>
      <c r="G46" s="161"/>
      <c r="H46" s="161"/>
      <c r="I46" s="161"/>
      <c r="J46" s="161"/>
      <c r="K46" s="161"/>
      <c r="L46" s="161"/>
      <c r="M46" s="162"/>
    </row>
    <row r="47" spans="1:64" ht="14.5" customHeight="1" x14ac:dyDescent="0.35">
      <c r="A47" s="38" t="s">
        <v>34</v>
      </c>
      <c r="B47" s="39" t="s">
        <v>12</v>
      </c>
      <c r="C47" s="163" t="s">
        <v>36</v>
      </c>
      <c r="D47" s="164"/>
      <c r="E47" s="164"/>
      <c r="F47" s="164"/>
      <c r="G47" s="164"/>
      <c r="H47" s="164"/>
      <c r="I47" s="164"/>
      <c r="J47" s="164"/>
      <c r="K47" s="164"/>
      <c r="L47" s="164"/>
      <c r="M47" s="165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  <row r="55" spans="1:13" x14ac:dyDescent="0.35">
      <c r="A55" s="38"/>
      <c r="B55" s="39"/>
      <c r="C55" s="166"/>
      <c r="D55" s="167"/>
      <c r="E55" s="167"/>
      <c r="F55" s="167"/>
      <c r="G55" s="167"/>
      <c r="H55" s="167"/>
      <c r="I55" s="167"/>
      <c r="J55" s="167"/>
      <c r="K55" s="167"/>
      <c r="L55" s="167"/>
      <c r="M55" s="168"/>
    </row>
  </sheetData>
  <mergeCells count="68">
    <mergeCell ref="BV5:BW5"/>
    <mergeCell ref="BX5:BY5"/>
    <mergeCell ref="BZ5:BZ6"/>
    <mergeCell ref="CA5:CA6"/>
    <mergeCell ref="A36:AA36"/>
    <mergeCell ref="W5:W6"/>
    <mergeCell ref="N5:P5"/>
    <mergeCell ref="Q5:S5"/>
    <mergeCell ref="T5:T6"/>
    <mergeCell ref="U5:U6"/>
    <mergeCell ref="M5:M6"/>
    <mergeCell ref="V5:V6"/>
    <mergeCell ref="BP5:BQ5"/>
    <mergeCell ref="BR5:BS5"/>
    <mergeCell ref="A1:BT1"/>
    <mergeCell ref="BV1:CC1"/>
    <mergeCell ref="N2:AE3"/>
    <mergeCell ref="AF2:BT2"/>
    <mergeCell ref="BV2:BZ2"/>
    <mergeCell ref="CB2:CB6"/>
    <mergeCell ref="CC2:CC6"/>
    <mergeCell ref="AF3:BE3"/>
    <mergeCell ref="BF3:BM3"/>
    <mergeCell ref="BN3:BX3"/>
    <mergeCell ref="BZ3:CA3"/>
    <mergeCell ref="Z5:Z6"/>
    <mergeCell ref="AA5:AA6"/>
    <mergeCell ref="AB5:AB6"/>
    <mergeCell ref="AC5:AC6"/>
    <mergeCell ref="AD5:AD6"/>
    <mergeCell ref="A2:L3"/>
    <mergeCell ref="A5:A6"/>
    <mergeCell ref="B5:D5"/>
    <mergeCell ref="E5:G5"/>
    <mergeCell ref="I5:I6"/>
    <mergeCell ref="J5:J6"/>
    <mergeCell ref="K5:K6"/>
    <mergeCell ref="L5:L6"/>
    <mergeCell ref="C49:M49"/>
    <mergeCell ref="BN5:BO5"/>
    <mergeCell ref="BJ5:BL5"/>
    <mergeCell ref="BM5:BM6"/>
    <mergeCell ref="BT5:BU5"/>
    <mergeCell ref="X5:X6"/>
    <mergeCell ref="Y5:Y6"/>
    <mergeCell ref="AE5:AE6"/>
    <mergeCell ref="AF5:AR5"/>
    <mergeCell ref="AS5:BE5"/>
    <mergeCell ref="BF5:BH5"/>
    <mergeCell ref="BI5:BI6"/>
    <mergeCell ref="R41:AA41"/>
    <mergeCell ref="A37:AA37"/>
    <mergeCell ref="C53:M53"/>
    <mergeCell ref="C54:M54"/>
    <mergeCell ref="C55:M55"/>
    <mergeCell ref="A38:AA38"/>
    <mergeCell ref="R39:AA39"/>
    <mergeCell ref="R40:AA40"/>
    <mergeCell ref="C51:M51"/>
    <mergeCell ref="C52:M52"/>
    <mergeCell ref="C50:M50"/>
    <mergeCell ref="A39:H39"/>
    <mergeCell ref="A40:H40"/>
    <mergeCell ref="A41:H41"/>
    <mergeCell ref="A45:M45"/>
    <mergeCell ref="C46:M46"/>
    <mergeCell ref="C47:M47"/>
    <mergeCell ref="C48:M48"/>
  </mergeCells>
  <conditionalFormatting sqref="I17:I30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I7:I8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I9:I11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I12:I15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6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6" zoomScale="88" zoomScaleNormal="88" workbookViewId="0">
      <pane xSplit="1" topLeftCell="BL1" activePane="topRight" state="frozen"/>
      <selection pane="topRight" activeCell="BU28" sqref="BU28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'22'!BV1:CC1+1</f>
        <v>46196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x14ac:dyDescent="0.3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x14ac:dyDescent="0.3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x14ac:dyDescent="0.3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x14ac:dyDescent="0.3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3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x14ac:dyDescent="0.3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19" zoomScale="96" zoomScaleNormal="96" workbookViewId="0">
      <pane xSplit="1" topLeftCell="BN1" activePane="topRight" state="frozen"/>
      <selection pane="topRight" activeCell="BW27" sqref="BW27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'23'!BV1:CC1+1</f>
        <v>46197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23" zoomScale="93" zoomScaleNormal="93" workbookViewId="0">
      <pane xSplit="1" topLeftCell="BM1" activePane="topRight" state="frozen"/>
      <selection activeCell="A8" sqref="A8"/>
      <selection pane="topRight" activeCell="BU40" sqref="BU40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'24'!BV1:CC1+1</f>
        <v>46198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76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76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76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76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76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76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76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76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76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76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76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76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76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76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76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76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76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76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76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76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76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76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76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76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ht="15" x14ac:dyDescent="0.2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7" zoomScale="95" zoomScaleNormal="95" workbookViewId="0">
      <pane xSplit="1" topLeftCell="BN1" activePane="topRight" state="frozen"/>
      <selection pane="topRight" activeCell="BW31" sqref="BW31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'25'!BV1:CC1+1</f>
        <v>46199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 t="s">
        <v>234</v>
      </c>
      <c r="J6" s="78">
        <v>0</v>
      </c>
      <c r="K6" s="78">
        <v>0</v>
      </c>
      <c r="L6" s="78">
        <v>0</v>
      </c>
      <c r="M6" s="79"/>
      <c r="N6" s="76">
        <v>0</v>
      </c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 t="s">
        <v>234</v>
      </c>
      <c r="J7" s="78">
        <v>0</v>
      </c>
      <c r="K7" s="78">
        <v>0</v>
      </c>
      <c r="L7" s="78">
        <v>0</v>
      </c>
      <c r="M7" s="79"/>
      <c r="N7" s="76">
        <v>0</v>
      </c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 t="s">
        <v>234</v>
      </c>
      <c r="J8" s="78">
        <v>0</v>
      </c>
      <c r="K8" s="78">
        <v>0</v>
      </c>
      <c r="L8" s="78">
        <v>0</v>
      </c>
      <c r="M8" s="79"/>
      <c r="N8" s="76">
        <v>0</v>
      </c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 t="s">
        <v>234</v>
      </c>
      <c r="J9" s="78">
        <v>0</v>
      </c>
      <c r="K9" s="78">
        <v>0</v>
      </c>
      <c r="L9" s="78">
        <v>0</v>
      </c>
      <c r="M9" s="79"/>
      <c r="N9" s="76">
        <v>0</v>
      </c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 t="s">
        <v>234</v>
      </c>
      <c r="J10" s="78">
        <v>0</v>
      </c>
      <c r="K10" s="78">
        <v>0</v>
      </c>
      <c r="L10" s="78">
        <v>0</v>
      </c>
      <c r="M10" s="79"/>
      <c r="N10" s="76">
        <v>0</v>
      </c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 t="s">
        <v>234</v>
      </c>
      <c r="J11" s="78">
        <v>0</v>
      </c>
      <c r="K11" s="78">
        <v>0</v>
      </c>
      <c r="L11" s="78">
        <v>0</v>
      </c>
      <c r="M11" s="79"/>
      <c r="N11" s="76">
        <v>0</v>
      </c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 t="s">
        <v>234</v>
      </c>
      <c r="J12" s="78">
        <v>0</v>
      </c>
      <c r="K12" s="78">
        <v>0</v>
      </c>
      <c r="L12" s="78">
        <v>0</v>
      </c>
      <c r="M12" s="79"/>
      <c r="N12" s="76">
        <v>0</v>
      </c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 t="s">
        <v>234</v>
      </c>
      <c r="J13" s="78">
        <v>0</v>
      </c>
      <c r="K13" s="78">
        <v>0</v>
      </c>
      <c r="L13" s="78">
        <v>0</v>
      </c>
      <c r="M13" s="79"/>
      <c r="N13" s="76">
        <v>0</v>
      </c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 t="s">
        <v>234</v>
      </c>
      <c r="J14" s="78">
        <v>0</v>
      </c>
      <c r="K14" s="78">
        <v>0</v>
      </c>
      <c r="L14" s="78">
        <v>0</v>
      </c>
      <c r="M14" s="79"/>
      <c r="N14" s="76">
        <v>0</v>
      </c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 t="s">
        <v>234</v>
      </c>
      <c r="J15" s="78">
        <v>0</v>
      </c>
      <c r="K15" s="78">
        <v>0</v>
      </c>
      <c r="L15" s="78">
        <v>0</v>
      </c>
      <c r="M15" s="77"/>
      <c r="N15" s="76">
        <v>0</v>
      </c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 t="s">
        <v>234</v>
      </c>
      <c r="J16" s="78">
        <v>0</v>
      </c>
      <c r="K16" s="78">
        <v>0</v>
      </c>
      <c r="L16" s="78">
        <v>0</v>
      </c>
      <c r="M16" s="77"/>
      <c r="N16" s="76">
        <v>0</v>
      </c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 t="s">
        <v>234</v>
      </c>
      <c r="J17" s="78">
        <v>0</v>
      </c>
      <c r="K17" s="78">
        <v>0</v>
      </c>
      <c r="L17" s="78">
        <v>0</v>
      </c>
      <c r="M17" s="77"/>
      <c r="N17" s="76">
        <v>0</v>
      </c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 t="s">
        <v>234</v>
      </c>
      <c r="J18" s="78">
        <v>0</v>
      </c>
      <c r="K18" s="78">
        <v>0</v>
      </c>
      <c r="L18" s="78">
        <v>0</v>
      </c>
      <c r="M18" s="77"/>
      <c r="N18" s="76">
        <v>0</v>
      </c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 t="s">
        <v>234</v>
      </c>
      <c r="J19" s="78">
        <v>0</v>
      </c>
      <c r="K19" s="78">
        <v>0</v>
      </c>
      <c r="L19" s="78">
        <v>0</v>
      </c>
      <c r="M19" s="77"/>
      <c r="N19" s="76">
        <v>0</v>
      </c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 t="s">
        <v>234</v>
      </c>
      <c r="J20" s="78">
        <v>0</v>
      </c>
      <c r="K20" s="78">
        <v>0</v>
      </c>
      <c r="L20" s="78">
        <v>0</v>
      </c>
      <c r="M20" s="77"/>
      <c r="N20" s="76">
        <v>0</v>
      </c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 t="s">
        <v>234</v>
      </c>
      <c r="J21" s="78">
        <v>0</v>
      </c>
      <c r="K21" s="78">
        <v>0</v>
      </c>
      <c r="L21" s="78">
        <v>0</v>
      </c>
      <c r="M21" s="77"/>
      <c r="N21" s="76">
        <v>0</v>
      </c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 t="s">
        <v>234</v>
      </c>
      <c r="J22" s="78">
        <v>0</v>
      </c>
      <c r="K22" s="78">
        <v>0</v>
      </c>
      <c r="L22" s="78">
        <v>0</v>
      </c>
      <c r="M22" s="77"/>
      <c r="N22" s="76">
        <v>0</v>
      </c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 t="s">
        <v>234</v>
      </c>
      <c r="J23" s="78">
        <v>0</v>
      </c>
      <c r="K23" s="78">
        <v>0</v>
      </c>
      <c r="L23" s="78">
        <v>0</v>
      </c>
      <c r="M23" s="77"/>
      <c r="N23" s="76">
        <v>0</v>
      </c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 t="s">
        <v>234</v>
      </c>
      <c r="J24" s="78">
        <v>0</v>
      </c>
      <c r="K24" s="78">
        <v>0</v>
      </c>
      <c r="L24" s="78">
        <v>0</v>
      </c>
      <c r="M24" s="77"/>
      <c r="N24" s="76">
        <v>0</v>
      </c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 t="s">
        <v>234</v>
      </c>
      <c r="J25" s="78">
        <v>0</v>
      </c>
      <c r="K25" s="78">
        <v>0</v>
      </c>
      <c r="L25" s="78">
        <v>0</v>
      </c>
      <c r="M25" s="79"/>
      <c r="N25" s="76">
        <v>0</v>
      </c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 t="s">
        <v>234</v>
      </c>
      <c r="J26" s="78">
        <v>0</v>
      </c>
      <c r="K26" s="78">
        <v>0</v>
      </c>
      <c r="L26" s="78">
        <v>0</v>
      </c>
      <c r="M26" s="79"/>
      <c r="N26" s="76">
        <v>0</v>
      </c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 t="s">
        <v>234</v>
      </c>
      <c r="J27" s="78">
        <v>0</v>
      </c>
      <c r="K27" s="78">
        <v>0</v>
      </c>
      <c r="L27" s="78">
        <v>0</v>
      </c>
      <c r="M27" s="79"/>
      <c r="N27" s="76">
        <v>0</v>
      </c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 t="s">
        <v>234</v>
      </c>
      <c r="J28" s="78">
        <v>0</v>
      </c>
      <c r="K28" s="78">
        <v>0</v>
      </c>
      <c r="L28" s="78">
        <v>0</v>
      </c>
      <c r="M28" s="79"/>
      <c r="N28" s="76">
        <v>0</v>
      </c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 t="s">
        <v>234</v>
      </c>
      <c r="J29" s="78">
        <v>0</v>
      </c>
      <c r="K29" s="78">
        <v>0</v>
      </c>
      <c r="L29" s="78">
        <v>0</v>
      </c>
      <c r="M29" s="79"/>
      <c r="N29" s="76">
        <v>0</v>
      </c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x14ac:dyDescent="0.3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x14ac:dyDescent="0.3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x14ac:dyDescent="0.3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x14ac:dyDescent="0.3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x14ac:dyDescent="0.3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3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x14ac:dyDescent="0.3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topLeftCell="A11" zoomScaleNormal="100" workbookViewId="0">
      <pane xSplit="1" topLeftCell="B1" activePane="topRight" state="frozen"/>
      <selection pane="topRight" activeCell="L27" sqref="L27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'26'!BV1:CC1+1</f>
        <v>46200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x14ac:dyDescent="0.3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x14ac:dyDescent="0.3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x14ac:dyDescent="0.3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x14ac:dyDescent="0.3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x14ac:dyDescent="0.3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3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x14ac:dyDescent="0.3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zoomScale="80" zoomScaleNormal="80" workbookViewId="0">
      <pane xSplit="1" topLeftCell="B1" activePane="topRight" state="frozen"/>
      <selection pane="topRight" activeCell="AH8" sqref="AH8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'27'!BV1:CC1+1</f>
        <v>46201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x14ac:dyDescent="0.3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x14ac:dyDescent="0.3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x14ac:dyDescent="0.3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4.5" customHeight="1" x14ac:dyDescent="0.3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x14ac:dyDescent="0.3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ht="14.5" customHeight="1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sheetProtection selectLockedCells="1" selectUnlockedCells="1"/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BV4:BW4"/>
    <mergeCell ref="BX4:BY4"/>
    <mergeCell ref="BZ4:BZ5"/>
    <mergeCell ref="A36:AA36"/>
    <mergeCell ref="N4:P4"/>
    <mergeCell ref="Q4:S4"/>
    <mergeCell ref="Z4:Z5"/>
    <mergeCell ref="AA4:AA5"/>
    <mergeCell ref="A35:AA35"/>
    <mergeCell ref="J4:J5"/>
    <mergeCell ref="K4:K5"/>
    <mergeCell ref="L4:L5"/>
    <mergeCell ref="M4:M5"/>
    <mergeCell ref="T4:T5"/>
    <mergeCell ref="U4:U5"/>
    <mergeCell ref="X4:X5"/>
    <mergeCell ref="Y4:Y5"/>
    <mergeCell ref="E4:G4"/>
    <mergeCell ref="I4:I5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BF4:BH4"/>
    <mergeCell ref="BI4:BI5"/>
    <mergeCell ref="AC4:AC5"/>
    <mergeCell ref="V4:V5"/>
    <mergeCell ref="W4:W5"/>
    <mergeCell ref="A1:BT1"/>
    <mergeCell ref="AB4:AB5"/>
    <mergeCell ref="AD4:AD5"/>
    <mergeCell ref="AE4:AE5"/>
    <mergeCell ref="AF4:AR4"/>
    <mergeCell ref="AS4:BE4"/>
  </mergeCells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"/>
  <sheetViews>
    <sheetView workbookViewId="0">
      <selection activeCell="G25" sqref="G25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'28'!BV1:CC1+1</f>
        <v>46202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x14ac:dyDescent="0.3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x14ac:dyDescent="0.3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x14ac:dyDescent="0.3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x14ac:dyDescent="0.3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x14ac:dyDescent="0.3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x14ac:dyDescent="0.3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x14ac:dyDescent="0.3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AB4:AB5"/>
    <mergeCell ref="BV4:BW4"/>
    <mergeCell ref="BX4:BY4"/>
    <mergeCell ref="BZ4:BZ5"/>
    <mergeCell ref="AD4:AD5"/>
    <mergeCell ref="AE4:AE5"/>
    <mergeCell ref="AF4:AR4"/>
    <mergeCell ref="AS4:BE4"/>
    <mergeCell ref="BF4:BH4"/>
    <mergeCell ref="BI4:BI5"/>
    <mergeCell ref="AC4:AC5"/>
    <mergeCell ref="A36:AA36"/>
    <mergeCell ref="X4:X5"/>
    <mergeCell ref="Y4:Y5"/>
    <mergeCell ref="Z4:Z5"/>
    <mergeCell ref="AA4:AA5"/>
    <mergeCell ref="A35:AA35"/>
    <mergeCell ref="N4:P4"/>
    <mergeCell ref="Q4:S4"/>
    <mergeCell ref="T4:T5"/>
    <mergeCell ref="U4:U5"/>
    <mergeCell ref="V4:V5"/>
    <mergeCell ref="W4:W5"/>
    <mergeCell ref="J4:J5"/>
    <mergeCell ref="K4:K5"/>
    <mergeCell ref="L4:L5"/>
    <mergeCell ref="M4:M5"/>
    <mergeCell ref="A1:BT1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E4:G4"/>
    <mergeCell ref="I4:I5"/>
  </mergeCells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C54"/>
  <sheetViews>
    <sheetView zoomScale="87" zoomScaleNormal="87" workbookViewId="0">
      <pane xSplit="1" topLeftCell="B1" activePane="topRight" state="frozen"/>
      <selection activeCell="A6" sqref="A6"/>
      <selection pane="topRight" activeCell="L9" sqref="L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'29'!BV1:CC1+1</f>
        <v>46203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>
        <v>0</v>
      </c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>
        <v>4.1666666666666664E-2</v>
      </c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>
        <v>8.3333333333333329E-2</v>
      </c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>
        <v>0.125</v>
      </c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>
        <v>0.16666666666666699</v>
      </c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>
        <v>0.20833333333333301</v>
      </c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>
        <v>0.25</v>
      </c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>
        <v>0.29166666666666702</v>
      </c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>
        <v>0.33333333333333331</v>
      </c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>
        <v>0.375</v>
      </c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>
        <v>0.41666666666666669</v>
      </c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>
        <v>0.45833333333333331</v>
      </c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>
        <v>0.5</v>
      </c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>
        <v>0.54166666666666663</v>
      </c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>
        <v>0.58333333333333337</v>
      </c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>
        <v>0.625</v>
      </c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>
        <v>0.66666666666666663</v>
      </c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>
        <v>0.70833333333333337</v>
      </c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>
        <v>0.75</v>
      </c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>
        <v>0.79166666666666663</v>
      </c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>
        <v>0.83333333333333337</v>
      </c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>
        <v>0.875</v>
      </c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>
        <v>0.91666666666666663</v>
      </c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>
        <v>0.95833333333333337</v>
      </c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x14ac:dyDescent="0.3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x14ac:dyDescent="0.3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x14ac:dyDescent="0.3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x14ac:dyDescent="0.3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x14ac:dyDescent="0.3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x14ac:dyDescent="0.3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x14ac:dyDescent="0.3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x14ac:dyDescent="0.3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AB4:AB5"/>
    <mergeCell ref="BV4:BW4"/>
    <mergeCell ref="BX4:BY4"/>
    <mergeCell ref="BZ4:BZ5"/>
    <mergeCell ref="AD4:AD5"/>
    <mergeCell ref="AE4:AE5"/>
    <mergeCell ref="AF4:AR4"/>
    <mergeCell ref="AS4:BE4"/>
    <mergeCell ref="BF4:BH4"/>
    <mergeCell ref="BI4:BI5"/>
    <mergeCell ref="AC4:AC5"/>
    <mergeCell ref="A36:AA36"/>
    <mergeCell ref="X4:X5"/>
    <mergeCell ref="Y4:Y5"/>
    <mergeCell ref="Z4:Z5"/>
    <mergeCell ref="AA4:AA5"/>
    <mergeCell ref="A35:AA35"/>
    <mergeCell ref="N4:P4"/>
    <mergeCell ref="Q4:S4"/>
    <mergeCell ref="T4:T5"/>
    <mergeCell ref="U4:U5"/>
    <mergeCell ref="V4:V5"/>
    <mergeCell ref="W4:W5"/>
    <mergeCell ref="J4:J5"/>
    <mergeCell ref="K4:K5"/>
    <mergeCell ref="L4:L5"/>
    <mergeCell ref="M4:M5"/>
    <mergeCell ref="A1:BT1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E4:G4"/>
    <mergeCell ref="I4:I5"/>
  </mergeCells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C54"/>
  <sheetViews>
    <sheetView zoomScale="85" zoomScaleNormal="85" workbookViewId="0">
      <selection activeCell="J19" sqref="J19"/>
    </sheetView>
  </sheetViews>
  <sheetFormatPr defaultColWidth="8.7265625" defaultRowHeight="14.5" x14ac:dyDescent="0.35"/>
  <cols>
    <col min="1" max="1" width="10.453125" style="22" customWidth="1"/>
    <col min="2" max="12" width="8.7265625" style="22"/>
    <col min="13" max="13" width="11.453125" style="22" customWidth="1"/>
    <col min="14" max="57" width="8.7265625" style="22"/>
    <col min="58" max="58" width="11.453125" style="22" bestFit="1" customWidth="1"/>
    <col min="59" max="59" width="10.81640625" style="22" customWidth="1"/>
    <col min="60" max="60" width="11.453125" style="22" customWidth="1"/>
    <col min="61" max="61" width="8.7265625" style="22"/>
    <col min="62" max="62" width="11.453125" style="22" bestFit="1" customWidth="1"/>
    <col min="63" max="63" width="8.1796875" style="22" bestFit="1" customWidth="1"/>
    <col min="64" max="64" width="8.1796875" style="22" customWidth="1"/>
    <col min="65" max="66" width="8.7265625" style="22"/>
    <col min="67" max="67" width="10.54296875" style="22" bestFit="1" customWidth="1"/>
    <col min="68" max="79" width="8.7265625" style="22"/>
    <col min="80" max="80" width="10.54296875" style="22" customWidth="1"/>
    <col min="81" max="81" width="16.54296875" style="22" customWidth="1"/>
    <col min="82" max="16384" width="8.7265625" style="22"/>
  </cols>
  <sheetData>
    <row r="1" spans="1:81" ht="15" customHeight="1" thickBot="1" x14ac:dyDescent="0.3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21"/>
      <c r="BV1" s="172">
        <f>'30'!BV1:CC1+1</f>
        <v>46204</v>
      </c>
      <c r="BW1" s="173"/>
      <c r="BX1" s="173"/>
      <c r="BY1" s="173"/>
      <c r="BZ1" s="173"/>
      <c r="CA1" s="173"/>
      <c r="CB1" s="173"/>
      <c r="CC1" s="174"/>
    </row>
    <row r="2" spans="1:81" ht="31.5" customHeight="1" thickBot="1" x14ac:dyDescent="0.4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9"/>
      <c r="M2" s="23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9"/>
      <c r="AF2" s="175" t="s">
        <v>3</v>
      </c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7"/>
      <c r="BU2" s="24"/>
      <c r="BV2" s="178" t="s">
        <v>4</v>
      </c>
      <c r="BW2" s="179"/>
      <c r="BX2" s="179"/>
      <c r="BY2" s="179"/>
      <c r="BZ2" s="180"/>
      <c r="CA2" s="25" t="s">
        <v>5</v>
      </c>
      <c r="CB2" s="181" t="s">
        <v>6</v>
      </c>
      <c r="CC2" s="184" t="s">
        <v>7</v>
      </c>
    </row>
    <row r="3" spans="1:81" ht="16" customHeight="1" thickBot="1" x14ac:dyDescent="0.4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2"/>
      <c r="M3" s="26"/>
      <c r="N3" s="140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  <c r="AF3" s="187" t="s">
        <v>8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9"/>
      <c r="BF3" s="137" t="s">
        <v>9</v>
      </c>
      <c r="BG3" s="138"/>
      <c r="BH3" s="138"/>
      <c r="BI3" s="138"/>
      <c r="BJ3" s="138"/>
      <c r="BK3" s="138"/>
      <c r="BL3" s="138"/>
      <c r="BM3" s="139"/>
      <c r="BN3" s="137" t="s">
        <v>10</v>
      </c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23"/>
      <c r="BZ3" s="137" t="s">
        <v>11</v>
      </c>
      <c r="CA3" s="190"/>
      <c r="CB3" s="182"/>
      <c r="CC3" s="185"/>
    </row>
    <row r="4" spans="1:81" ht="54.65" customHeight="1" thickBot="1" x14ac:dyDescent="0.4">
      <c r="A4" s="148" t="s">
        <v>12</v>
      </c>
      <c r="B4" s="145" t="s">
        <v>13</v>
      </c>
      <c r="C4" s="146"/>
      <c r="D4" s="147"/>
      <c r="E4" s="145" t="s">
        <v>14</v>
      </c>
      <c r="F4" s="146"/>
      <c r="G4" s="147"/>
      <c r="H4" s="27" t="s">
        <v>140</v>
      </c>
      <c r="I4" s="143" t="s">
        <v>15</v>
      </c>
      <c r="J4" s="143" t="s">
        <v>16</v>
      </c>
      <c r="K4" s="143" t="s">
        <v>17</v>
      </c>
      <c r="L4" s="143" t="s">
        <v>18</v>
      </c>
      <c r="M4" s="143" t="s">
        <v>171</v>
      </c>
      <c r="N4" s="145" t="s">
        <v>19</v>
      </c>
      <c r="O4" s="146"/>
      <c r="P4" s="147"/>
      <c r="Q4" s="145" t="s">
        <v>20</v>
      </c>
      <c r="R4" s="146"/>
      <c r="S4" s="147"/>
      <c r="T4" s="143" t="s">
        <v>21</v>
      </c>
      <c r="U4" s="143" t="s">
        <v>22</v>
      </c>
      <c r="V4" s="143" t="s">
        <v>23</v>
      </c>
      <c r="W4" s="143" t="s">
        <v>24</v>
      </c>
      <c r="X4" s="143" t="s">
        <v>25</v>
      </c>
      <c r="Y4" s="143" t="s">
        <v>23</v>
      </c>
      <c r="Z4" s="143" t="s">
        <v>232</v>
      </c>
      <c r="AA4" s="143" t="s">
        <v>233</v>
      </c>
      <c r="AB4" s="143" t="s">
        <v>23</v>
      </c>
      <c r="AC4" s="143" t="s">
        <v>230</v>
      </c>
      <c r="AD4" s="143" t="s">
        <v>231</v>
      </c>
      <c r="AE4" s="143" t="s">
        <v>23</v>
      </c>
      <c r="AF4" s="200" t="s">
        <v>183</v>
      </c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2"/>
      <c r="AS4" s="200" t="s">
        <v>184</v>
      </c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2"/>
      <c r="BF4" s="203" t="s">
        <v>188</v>
      </c>
      <c r="BG4" s="204"/>
      <c r="BH4" s="205"/>
      <c r="BI4" s="150" t="s">
        <v>26</v>
      </c>
      <c r="BJ4" s="198" t="s">
        <v>191</v>
      </c>
      <c r="BK4" s="199"/>
      <c r="BL4" s="149"/>
      <c r="BM4" s="143" t="s">
        <v>26</v>
      </c>
      <c r="BN4" s="150" t="s">
        <v>27</v>
      </c>
      <c r="BO4" s="151"/>
      <c r="BP4" s="152" t="s">
        <v>28</v>
      </c>
      <c r="BQ4" s="153"/>
      <c r="BR4" s="152" t="s">
        <v>186</v>
      </c>
      <c r="BS4" s="153"/>
      <c r="BT4" s="152" t="s">
        <v>185</v>
      </c>
      <c r="BU4" s="153"/>
      <c r="BV4" s="152" t="s">
        <v>30</v>
      </c>
      <c r="BW4" s="153"/>
      <c r="BX4" s="145" t="s">
        <v>31</v>
      </c>
      <c r="BY4" s="147"/>
      <c r="BZ4" s="191" t="s">
        <v>32</v>
      </c>
      <c r="CA4" s="143" t="s">
        <v>33</v>
      </c>
      <c r="CB4" s="182"/>
      <c r="CC4" s="185"/>
    </row>
    <row r="5" spans="1:81" ht="75.5" x14ac:dyDescent="0.35">
      <c r="A5" s="149"/>
      <c r="B5" s="28" t="s">
        <v>43</v>
      </c>
      <c r="C5" s="28" t="s">
        <v>42</v>
      </c>
      <c r="D5" s="28" t="s">
        <v>41</v>
      </c>
      <c r="E5" s="28" t="s">
        <v>43</v>
      </c>
      <c r="F5" s="28" t="s">
        <v>42</v>
      </c>
      <c r="G5" s="28" t="s">
        <v>41</v>
      </c>
      <c r="H5" s="28" t="s">
        <v>141</v>
      </c>
      <c r="I5" s="144"/>
      <c r="J5" s="144"/>
      <c r="K5" s="144"/>
      <c r="L5" s="144"/>
      <c r="M5" s="144"/>
      <c r="N5" s="28" t="s">
        <v>43</v>
      </c>
      <c r="O5" s="28" t="s">
        <v>42</v>
      </c>
      <c r="P5" s="28" t="s">
        <v>41</v>
      </c>
      <c r="Q5" s="28" t="s">
        <v>43</v>
      </c>
      <c r="R5" s="28" t="s">
        <v>42</v>
      </c>
      <c r="S5" s="28" t="s">
        <v>41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29" t="s">
        <v>177</v>
      </c>
      <c r="AG5" s="29" t="s">
        <v>178</v>
      </c>
      <c r="AH5" s="29" t="s">
        <v>179</v>
      </c>
      <c r="AI5" s="29" t="s">
        <v>213</v>
      </c>
      <c r="AJ5" s="29" t="s">
        <v>187</v>
      </c>
      <c r="AK5" s="29" t="s">
        <v>189</v>
      </c>
      <c r="AL5" s="29" t="s">
        <v>190</v>
      </c>
      <c r="AM5" s="29" t="s">
        <v>214</v>
      </c>
      <c r="AN5" s="29" t="s">
        <v>215</v>
      </c>
      <c r="AO5" s="29" t="s">
        <v>216</v>
      </c>
      <c r="AP5" s="29" t="s">
        <v>180</v>
      </c>
      <c r="AQ5" s="29" t="s">
        <v>181</v>
      </c>
      <c r="AR5" s="29" t="s">
        <v>182</v>
      </c>
      <c r="AS5" s="29" t="s">
        <v>177</v>
      </c>
      <c r="AT5" s="29" t="s">
        <v>178</v>
      </c>
      <c r="AU5" s="29" t="s">
        <v>179</v>
      </c>
      <c r="AV5" s="29" t="s">
        <v>213</v>
      </c>
      <c r="AW5" s="29" t="s">
        <v>187</v>
      </c>
      <c r="AX5" s="29" t="s">
        <v>189</v>
      </c>
      <c r="AY5" s="29" t="s">
        <v>190</v>
      </c>
      <c r="AZ5" s="29" t="s">
        <v>214</v>
      </c>
      <c r="BA5" s="29" t="s">
        <v>215</v>
      </c>
      <c r="BB5" s="29" t="s">
        <v>216</v>
      </c>
      <c r="BC5" s="29" t="s">
        <v>180</v>
      </c>
      <c r="BD5" s="29" t="s">
        <v>181</v>
      </c>
      <c r="BE5" s="29" t="s">
        <v>182</v>
      </c>
      <c r="BF5" s="28" t="s">
        <v>66</v>
      </c>
      <c r="BG5" s="28" t="s">
        <v>67</v>
      </c>
      <c r="BH5" s="28" t="s">
        <v>157</v>
      </c>
      <c r="BI5" s="206"/>
      <c r="BJ5" s="28" t="s">
        <v>66</v>
      </c>
      <c r="BK5" s="28" t="s">
        <v>67</v>
      </c>
      <c r="BL5" s="28" t="s">
        <v>139</v>
      </c>
      <c r="BM5" s="144"/>
      <c r="BN5" s="30" t="s">
        <v>64</v>
      </c>
      <c r="BO5" s="28" t="s">
        <v>65</v>
      </c>
      <c r="BP5" s="28" t="s">
        <v>64</v>
      </c>
      <c r="BQ5" s="28" t="s">
        <v>65</v>
      </c>
      <c r="BR5" s="28" t="s">
        <v>64</v>
      </c>
      <c r="BS5" s="28" t="s">
        <v>65</v>
      </c>
      <c r="BT5" s="28" t="s">
        <v>64</v>
      </c>
      <c r="BU5" s="28" t="s">
        <v>65</v>
      </c>
      <c r="BV5" s="28" t="s">
        <v>64</v>
      </c>
      <c r="BW5" s="28" t="s">
        <v>65</v>
      </c>
      <c r="BX5" s="31" t="s">
        <v>64</v>
      </c>
      <c r="BY5" s="31" t="s">
        <v>65</v>
      </c>
      <c r="BZ5" s="144"/>
      <c r="CA5" s="144"/>
      <c r="CB5" s="183"/>
      <c r="CC5" s="186"/>
    </row>
    <row r="6" spans="1:81" x14ac:dyDescent="0.35">
      <c r="A6" s="32"/>
      <c r="B6" s="76"/>
      <c r="C6" s="76"/>
      <c r="D6" s="76"/>
      <c r="E6" s="76"/>
      <c r="F6" s="76"/>
      <c r="G6" s="76"/>
      <c r="H6" s="76"/>
      <c r="I6" s="77"/>
      <c r="J6" s="78"/>
      <c r="K6" s="78"/>
      <c r="L6" s="78"/>
      <c r="M6" s="79"/>
      <c r="N6" s="76"/>
      <c r="O6" s="76"/>
      <c r="P6" s="76"/>
      <c r="Q6" s="76"/>
      <c r="R6" s="76"/>
      <c r="S6" s="76"/>
      <c r="T6" s="80"/>
      <c r="U6" s="81"/>
      <c r="V6" s="81"/>
      <c r="W6" s="82"/>
      <c r="X6" s="81"/>
      <c r="Y6" s="81"/>
      <c r="Z6" s="80"/>
      <c r="AA6" s="81"/>
      <c r="AB6" s="81"/>
      <c r="AC6" s="85"/>
      <c r="AD6" s="81"/>
      <c r="AE6" s="81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77"/>
      <c r="BG6" s="77"/>
      <c r="BH6" s="77"/>
      <c r="BI6" s="77"/>
      <c r="BJ6" s="77"/>
      <c r="BK6" s="77"/>
      <c r="BL6" s="77"/>
      <c r="BM6" s="77"/>
      <c r="BN6" s="84"/>
      <c r="BO6" s="84"/>
      <c r="BP6" s="84"/>
      <c r="BQ6" s="84"/>
      <c r="BR6" s="77"/>
      <c r="BS6" s="77"/>
      <c r="BT6" s="84"/>
      <c r="BU6" s="77"/>
      <c r="BV6" s="84"/>
      <c r="BW6" s="77"/>
      <c r="BX6" s="84"/>
      <c r="BY6" s="77"/>
      <c r="BZ6" s="77"/>
      <c r="CA6" s="77"/>
      <c r="CB6" s="77"/>
      <c r="CC6" s="33"/>
    </row>
    <row r="7" spans="1:81" x14ac:dyDescent="0.35">
      <c r="A7" s="32"/>
      <c r="B7" s="76"/>
      <c r="C7" s="76"/>
      <c r="D7" s="76"/>
      <c r="E7" s="76"/>
      <c r="F7" s="76"/>
      <c r="G7" s="76"/>
      <c r="H7" s="76"/>
      <c r="I7" s="77"/>
      <c r="J7" s="78"/>
      <c r="K7" s="78"/>
      <c r="L7" s="78"/>
      <c r="M7" s="79"/>
      <c r="N7" s="76"/>
      <c r="O7" s="76"/>
      <c r="P7" s="76"/>
      <c r="Q7" s="76"/>
      <c r="R7" s="76"/>
      <c r="S7" s="76"/>
      <c r="T7" s="80"/>
      <c r="U7" s="81"/>
      <c r="V7" s="81"/>
      <c r="W7" s="82"/>
      <c r="X7" s="81"/>
      <c r="Y7" s="81"/>
      <c r="Z7" s="80"/>
      <c r="AA7" s="81"/>
      <c r="AB7" s="81"/>
      <c r="AC7" s="85"/>
      <c r="AD7" s="81"/>
      <c r="AE7" s="81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77"/>
      <c r="BG7" s="77"/>
      <c r="BH7" s="77"/>
      <c r="BI7" s="77"/>
      <c r="BJ7" s="77"/>
      <c r="BK7" s="77"/>
      <c r="BL7" s="77"/>
      <c r="BM7" s="77"/>
      <c r="BN7" s="84"/>
      <c r="BO7" s="84"/>
      <c r="BP7" s="84"/>
      <c r="BQ7" s="84"/>
      <c r="BR7" s="77"/>
      <c r="BS7" s="77"/>
      <c r="BT7" s="84"/>
      <c r="BU7" s="77"/>
      <c r="BV7" s="84"/>
      <c r="BW7" s="77"/>
      <c r="BX7" s="84"/>
      <c r="BY7" s="77"/>
      <c r="BZ7" s="77"/>
      <c r="CA7" s="77"/>
      <c r="CB7" s="77"/>
      <c r="CC7" s="33"/>
    </row>
    <row r="8" spans="1:81" x14ac:dyDescent="0.35">
      <c r="A8" s="32"/>
      <c r="B8" s="76"/>
      <c r="C8" s="76"/>
      <c r="D8" s="76"/>
      <c r="E8" s="76"/>
      <c r="F8" s="76"/>
      <c r="G8" s="76"/>
      <c r="H8" s="77"/>
      <c r="I8" s="77"/>
      <c r="J8" s="78"/>
      <c r="K8" s="78"/>
      <c r="L8" s="78"/>
      <c r="M8" s="79"/>
      <c r="N8" s="76"/>
      <c r="O8" s="76"/>
      <c r="P8" s="76"/>
      <c r="Q8" s="76"/>
      <c r="R8" s="76"/>
      <c r="S8" s="76"/>
      <c r="T8" s="80"/>
      <c r="U8" s="81"/>
      <c r="V8" s="81"/>
      <c r="W8" s="82"/>
      <c r="X8" s="81"/>
      <c r="Y8" s="81"/>
      <c r="Z8" s="80"/>
      <c r="AA8" s="81"/>
      <c r="AB8" s="81"/>
      <c r="AC8" s="85"/>
      <c r="AD8" s="81"/>
      <c r="AE8" s="81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77"/>
      <c r="BG8" s="77"/>
      <c r="BH8" s="77"/>
      <c r="BI8" s="77"/>
      <c r="BJ8" s="77"/>
      <c r="BK8" s="77"/>
      <c r="BL8" s="77"/>
      <c r="BM8" s="77"/>
      <c r="BN8" s="84"/>
      <c r="BO8" s="84"/>
      <c r="BP8" s="84"/>
      <c r="BQ8" s="84"/>
      <c r="BR8" s="77"/>
      <c r="BS8" s="77"/>
      <c r="BT8" s="84"/>
      <c r="BU8" s="77"/>
      <c r="BV8" s="84"/>
      <c r="BW8" s="77"/>
      <c r="BX8" s="84"/>
      <c r="BY8" s="77"/>
      <c r="BZ8" s="77"/>
      <c r="CA8" s="77"/>
      <c r="CB8" s="77"/>
      <c r="CC8" s="33"/>
    </row>
    <row r="9" spans="1:81" x14ac:dyDescent="0.35">
      <c r="A9" s="32"/>
      <c r="B9" s="76"/>
      <c r="C9" s="76"/>
      <c r="D9" s="76"/>
      <c r="E9" s="76"/>
      <c r="F9" s="76"/>
      <c r="G9" s="76"/>
      <c r="H9" s="76"/>
      <c r="I9" s="77"/>
      <c r="J9" s="78"/>
      <c r="K9" s="78"/>
      <c r="L9" s="78"/>
      <c r="M9" s="79"/>
      <c r="N9" s="76"/>
      <c r="O9" s="76"/>
      <c r="P9" s="76"/>
      <c r="Q9" s="76"/>
      <c r="R9" s="76"/>
      <c r="S9" s="76"/>
      <c r="T9" s="80"/>
      <c r="U9" s="81"/>
      <c r="V9" s="81"/>
      <c r="W9" s="82"/>
      <c r="X9" s="81"/>
      <c r="Y9" s="81"/>
      <c r="Z9" s="80"/>
      <c r="AA9" s="81"/>
      <c r="AB9" s="81"/>
      <c r="AC9" s="85"/>
      <c r="AD9" s="81"/>
      <c r="AE9" s="81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77"/>
      <c r="BG9" s="77"/>
      <c r="BH9" s="77"/>
      <c r="BI9" s="77"/>
      <c r="BJ9" s="77"/>
      <c r="BK9" s="77"/>
      <c r="BL9" s="77"/>
      <c r="BM9" s="77"/>
      <c r="BN9" s="84"/>
      <c r="BO9" s="84"/>
      <c r="BP9" s="84"/>
      <c r="BQ9" s="84"/>
      <c r="BR9" s="77"/>
      <c r="BS9" s="77"/>
      <c r="BT9" s="84"/>
      <c r="BU9" s="77"/>
      <c r="BV9" s="84"/>
      <c r="BW9" s="77"/>
      <c r="BX9" s="84"/>
      <c r="BY9" s="77"/>
      <c r="BZ9" s="77"/>
      <c r="CA9" s="77"/>
      <c r="CB9" s="77"/>
      <c r="CC9" s="33"/>
    </row>
    <row r="10" spans="1:81" x14ac:dyDescent="0.35">
      <c r="A10" s="32"/>
      <c r="B10" s="76"/>
      <c r="C10" s="76"/>
      <c r="D10" s="76"/>
      <c r="E10" s="76"/>
      <c r="F10" s="76"/>
      <c r="G10" s="76"/>
      <c r="H10" s="76"/>
      <c r="I10" s="77"/>
      <c r="J10" s="78"/>
      <c r="K10" s="78"/>
      <c r="L10" s="78"/>
      <c r="M10" s="79"/>
      <c r="N10" s="76"/>
      <c r="O10" s="76"/>
      <c r="P10" s="76"/>
      <c r="Q10" s="76"/>
      <c r="R10" s="76"/>
      <c r="S10" s="76"/>
      <c r="T10" s="80"/>
      <c r="U10" s="81"/>
      <c r="V10" s="81"/>
      <c r="W10" s="82"/>
      <c r="X10" s="81"/>
      <c r="Y10" s="81"/>
      <c r="Z10" s="80"/>
      <c r="AA10" s="81"/>
      <c r="AB10" s="81"/>
      <c r="AC10" s="85"/>
      <c r="AD10" s="81"/>
      <c r="AE10" s="81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77"/>
      <c r="BG10" s="77"/>
      <c r="BH10" s="77"/>
      <c r="BI10" s="77"/>
      <c r="BJ10" s="77"/>
      <c r="BK10" s="77"/>
      <c r="BL10" s="77"/>
      <c r="BM10" s="77"/>
      <c r="BN10" s="84"/>
      <c r="BO10" s="84"/>
      <c r="BP10" s="84"/>
      <c r="BQ10" s="84"/>
      <c r="BR10" s="77"/>
      <c r="BS10" s="77"/>
      <c r="BT10" s="84"/>
      <c r="BU10" s="77"/>
      <c r="BV10" s="84"/>
      <c r="BW10" s="77"/>
      <c r="BX10" s="84"/>
      <c r="BY10" s="77"/>
      <c r="BZ10" s="77"/>
      <c r="CA10" s="77"/>
      <c r="CB10" s="77"/>
      <c r="CC10" s="33"/>
    </row>
    <row r="11" spans="1:81" x14ac:dyDescent="0.35">
      <c r="A11" s="32"/>
      <c r="B11" s="76"/>
      <c r="C11" s="76"/>
      <c r="D11" s="76"/>
      <c r="E11" s="76"/>
      <c r="F11" s="76"/>
      <c r="G11" s="76"/>
      <c r="H11" s="76"/>
      <c r="I11" s="77"/>
      <c r="J11" s="78"/>
      <c r="K11" s="78"/>
      <c r="L11" s="78"/>
      <c r="M11" s="79"/>
      <c r="N11" s="76"/>
      <c r="O11" s="76"/>
      <c r="P11" s="76"/>
      <c r="Q11" s="76"/>
      <c r="R11" s="76"/>
      <c r="S11" s="76"/>
      <c r="T11" s="80"/>
      <c r="U11" s="81"/>
      <c r="V11" s="81"/>
      <c r="W11" s="82"/>
      <c r="X11" s="81"/>
      <c r="Y11" s="81"/>
      <c r="Z11" s="80"/>
      <c r="AA11" s="81"/>
      <c r="AB11" s="81"/>
      <c r="AC11" s="85"/>
      <c r="AD11" s="81"/>
      <c r="AE11" s="81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77"/>
      <c r="BG11" s="77"/>
      <c r="BH11" s="77"/>
      <c r="BI11" s="77"/>
      <c r="BJ11" s="77"/>
      <c r="BK11" s="77"/>
      <c r="BL11" s="77"/>
      <c r="BM11" s="77"/>
      <c r="BN11" s="84"/>
      <c r="BO11" s="84"/>
      <c r="BP11" s="84"/>
      <c r="BQ11" s="84"/>
      <c r="BR11" s="77"/>
      <c r="BS11" s="77"/>
      <c r="BT11" s="84"/>
      <c r="BU11" s="77"/>
      <c r="BV11" s="84"/>
      <c r="BW11" s="77"/>
      <c r="BX11" s="84"/>
      <c r="BY11" s="77"/>
      <c r="BZ11" s="77"/>
      <c r="CA11" s="77"/>
      <c r="CB11" s="77"/>
      <c r="CC11" s="33"/>
    </row>
    <row r="12" spans="1:81" x14ac:dyDescent="0.35">
      <c r="A12" s="32"/>
      <c r="B12" s="76"/>
      <c r="C12" s="76"/>
      <c r="D12" s="76"/>
      <c r="E12" s="76"/>
      <c r="F12" s="76"/>
      <c r="G12" s="76"/>
      <c r="H12" s="77"/>
      <c r="I12" s="77"/>
      <c r="J12" s="78"/>
      <c r="K12" s="78"/>
      <c r="L12" s="78"/>
      <c r="M12" s="79"/>
      <c r="N12" s="76"/>
      <c r="O12" s="76"/>
      <c r="P12" s="76"/>
      <c r="Q12" s="76"/>
      <c r="R12" s="76"/>
      <c r="S12" s="76"/>
      <c r="T12" s="80"/>
      <c r="U12" s="81"/>
      <c r="V12" s="81"/>
      <c r="W12" s="82"/>
      <c r="X12" s="81"/>
      <c r="Y12" s="81"/>
      <c r="Z12" s="80"/>
      <c r="AA12" s="81"/>
      <c r="AB12" s="81"/>
      <c r="AC12" s="85"/>
      <c r="AD12" s="81"/>
      <c r="AE12" s="81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77"/>
      <c r="BG12" s="77"/>
      <c r="BH12" s="77"/>
      <c r="BI12" s="77"/>
      <c r="BJ12" s="77"/>
      <c r="BK12" s="77"/>
      <c r="BL12" s="77"/>
      <c r="BM12" s="77"/>
      <c r="BN12" s="84"/>
      <c r="BO12" s="84"/>
      <c r="BP12" s="84"/>
      <c r="BQ12" s="84"/>
      <c r="BR12" s="77"/>
      <c r="BS12" s="77"/>
      <c r="BT12" s="84"/>
      <c r="BU12" s="77"/>
      <c r="BV12" s="84"/>
      <c r="BW12" s="77"/>
      <c r="BX12" s="84"/>
      <c r="BY12" s="77"/>
      <c r="BZ12" s="77"/>
      <c r="CA12" s="77"/>
      <c r="CB12" s="77"/>
      <c r="CC12" s="33"/>
    </row>
    <row r="13" spans="1:81" x14ac:dyDescent="0.35">
      <c r="A13" s="32"/>
      <c r="B13" s="76"/>
      <c r="C13" s="76"/>
      <c r="D13" s="76"/>
      <c r="E13" s="76"/>
      <c r="F13" s="76"/>
      <c r="G13" s="76"/>
      <c r="H13" s="77"/>
      <c r="I13" s="77"/>
      <c r="J13" s="78"/>
      <c r="K13" s="78"/>
      <c r="L13" s="78"/>
      <c r="M13" s="79"/>
      <c r="N13" s="76"/>
      <c r="O13" s="76"/>
      <c r="P13" s="76"/>
      <c r="Q13" s="76"/>
      <c r="R13" s="76"/>
      <c r="S13" s="76"/>
      <c r="T13" s="80"/>
      <c r="U13" s="81"/>
      <c r="V13" s="81"/>
      <c r="W13" s="82"/>
      <c r="X13" s="81"/>
      <c r="Y13" s="81"/>
      <c r="Z13" s="80"/>
      <c r="AA13" s="81"/>
      <c r="AB13" s="81"/>
      <c r="AC13" s="85"/>
      <c r="AD13" s="81"/>
      <c r="AE13" s="81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77"/>
      <c r="BG13" s="77"/>
      <c r="BH13" s="77"/>
      <c r="BI13" s="77"/>
      <c r="BJ13" s="77"/>
      <c r="BK13" s="77"/>
      <c r="BL13" s="77"/>
      <c r="BM13" s="77"/>
      <c r="BN13" s="84"/>
      <c r="BO13" s="84"/>
      <c r="BP13" s="84"/>
      <c r="BQ13" s="84"/>
      <c r="BR13" s="77"/>
      <c r="BS13" s="77"/>
      <c r="BT13" s="84"/>
      <c r="BU13" s="77"/>
      <c r="BV13" s="84"/>
      <c r="BW13" s="77"/>
      <c r="BX13" s="84"/>
      <c r="BY13" s="77"/>
      <c r="BZ13" s="77"/>
      <c r="CA13" s="77"/>
      <c r="CB13" s="77"/>
      <c r="CC13" s="33"/>
    </row>
    <row r="14" spans="1:81" x14ac:dyDescent="0.35">
      <c r="A14" s="32"/>
      <c r="B14" s="76"/>
      <c r="C14" s="76"/>
      <c r="D14" s="76"/>
      <c r="E14" s="76"/>
      <c r="F14" s="76"/>
      <c r="G14" s="76"/>
      <c r="H14" s="77"/>
      <c r="I14" s="77"/>
      <c r="J14" s="78"/>
      <c r="K14" s="78"/>
      <c r="L14" s="78"/>
      <c r="M14" s="79"/>
      <c r="N14" s="76"/>
      <c r="O14" s="76"/>
      <c r="P14" s="76"/>
      <c r="Q14" s="76"/>
      <c r="R14" s="76"/>
      <c r="S14" s="76"/>
      <c r="T14" s="80"/>
      <c r="U14" s="81"/>
      <c r="V14" s="81"/>
      <c r="W14" s="82"/>
      <c r="X14" s="81"/>
      <c r="Y14" s="81"/>
      <c r="Z14" s="80"/>
      <c r="AA14" s="81"/>
      <c r="AB14" s="81"/>
      <c r="AC14" s="85"/>
      <c r="AD14" s="81"/>
      <c r="AE14" s="81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77"/>
      <c r="BG14" s="77"/>
      <c r="BH14" s="77"/>
      <c r="BI14" s="77"/>
      <c r="BJ14" s="77"/>
      <c r="BK14" s="77"/>
      <c r="BL14" s="77"/>
      <c r="BM14" s="77"/>
      <c r="BN14" s="84"/>
      <c r="BO14" s="84"/>
      <c r="BP14" s="84"/>
      <c r="BQ14" s="84"/>
      <c r="BR14" s="77"/>
      <c r="BS14" s="77"/>
      <c r="BT14" s="84"/>
      <c r="BU14" s="77"/>
      <c r="BV14" s="84"/>
      <c r="BW14" s="77"/>
      <c r="BX14" s="84"/>
      <c r="BY14" s="77"/>
      <c r="BZ14" s="77"/>
      <c r="CA14" s="77"/>
      <c r="CB14" s="77"/>
      <c r="CC14" s="33"/>
    </row>
    <row r="15" spans="1:81" x14ac:dyDescent="0.35">
      <c r="A15" s="32"/>
      <c r="B15" s="76"/>
      <c r="C15" s="76"/>
      <c r="D15" s="76"/>
      <c r="E15" s="76"/>
      <c r="F15" s="76"/>
      <c r="G15" s="76"/>
      <c r="H15" s="76"/>
      <c r="I15" s="77"/>
      <c r="J15" s="78"/>
      <c r="K15" s="78"/>
      <c r="L15" s="78"/>
      <c r="M15" s="77"/>
      <c r="N15" s="76"/>
      <c r="O15" s="76"/>
      <c r="P15" s="76"/>
      <c r="Q15" s="76"/>
      <c r="R15" s="76"/>
      <c r="S15" s="76"/>
      <c r="T15" s="80"/>
      <c r="U15" s="81"/>
      <c r="V15" s="81"/>
      <c r="W15" s="82"/>
      <c r="X15" s="81"/>
      <c r="Y15" s="81"/>
      <c r="Z15" s="80"/>
      <c r="AA15" s="81"/>
      <c r="AB15" s="81"/>
      <c r="AC15" s="85"/>
      <c r="AD15" s="81"/>
      <c r="AE15" s="81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77"/>
      <c r="BG15" s="77"/>
      <c r="BH15" s="77"/>
      <c r="BI15" s="77"/>
      <c r="BJ15" s="77"/>
      <c r="BK15" s="77"/>
      <c r="BL15" s="77"/>
      <c r="BM15" s="77"/>
      <c r="BN15" s="84"/>
      <c r="BO15" s="84"/>
      <c r="BP15" s="84"/>
      <c r="BQ15" s="84"/>
      <c r="BR15" s="77"/>
      <c r="BS15" s="77"/>
      <c r="BT15" s="84"/>
      <c r="BU15" s="77"/>
      <c r="BV15" s="84"/>
      <c r="BW15" s="77"/>
      <c r="BX15" s="84"/>
      <c r="BY15" s="77"/>
      <c r="BZ15" s="77"/>
      <c r="CA15" s="77"/>
      <c r="CB15" s="77"/>
      <c r="CC15" s="33"/>
    </row>
    <row r="16" spans="1:81" x14ac:dyDescent="0.35">
      <c r="A16" s="34"/>
      <c r="B16" s="76"/>
      <c r="C16" s="76"/>
      <c r="D16" s="76"/>
      <c r="E16" s="76"/>
      <c r="F16" s="76"/>
      <c r="G16" s="76"/>
      <c r="H16" s="76"/>
      <c r="I16" s="77"/>
      <c r="J16" s="78"/>
      <c r="K16" s="78"/>
      <c r="L16" s="78"/>
      <c r="M16" s="77"/>
      <c r="N16" s="76"/>
      <c r="O16" s="76"/>
      <c r="P16" s="76"/>
      <c r="Q16" s="76"/>
      <c r="R16" s="76"/>
      <c r="S16" s="76"/>
      <c r="T16" s="80"/>
      <c r="U16" s="81"/>
      <c r="V16" s="81"/>
      <c r="W16" s="82"/>
      <c r="X16" s="81"/>
      <c r="Y16" s="81"/>
      <c r="Z16" s="80"/>
      <c r="AA16" s="81"/>
      <c r="AB16" s="81"/>
      <c r="AC16" s="85"/>
      <c r="AD16" s="81"/>
      <c r="AE16" s="81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77"/>
      <c r="BG16" s="77"/>
      <c r="BH16" s="77"/>
      <c r="BI16" s="77"/>
      <c r="BJ16" s="77"/>
      <c r="BK16" s="77"/>
      <c r="BL16" s="77"/>
      <c r="BM16" s="77"/>
      <c r="BN16" s="84"/>
      <c r="BO16" s="84"/>
      <c r="BP16" s="84"/>
      <c r="BQ16" s="84"/>
      <c r="BR16" s="77"/>
      <c r="BS16" s="77"/>
      <c r="BT16" s="84"/>
      <c r="BU16" s="77"/>
      <c r="BV16" s="84"/>
      <c r="BW16" s="77"/>
      <c r="BX16" s="84"/>
      <c r="BY16" s="77"/>
      <c r="BZ16" s="77"/>
      <c r="CA16" s="77"/>
      <c r="CB16" s="77"/>
      <c r="CC16" s="33"/>
    </row>
    <row r="17" spans="1:81" x14ac:dyDescent="0.35">
      <c r="A17" s="34"/>
      <c r="B17" s="76"/>
      <c r="C17" s="76"/>
      <c r="D17" s="76"/>
      <c r="E17" s="76"/>
      <c r="F17" s="76"/>
      <c r="G17" s="76"/>
      <c r="H17" s="77"/>
      <c r="I17" s="77"/>
      <c r="J17" s="78"/>
      <c r="K17" s="78"/>
      <c r="L17" s="78"/>
      <c r="M17" s="77"/>
      <c r="N17" s="76"/>
      <c r="O17" s="76"/>
      <c r="P17" s="76"/>
      <c r="Q17" s="76"/>
      <c r="R17" s="76"/>
      <c r="S17" s="76"/>
      <c r="T17" s="80"/>
      <c r="U17" s="81"/>
      <c r="V17" s="81"/>
      <c r="W17" s="82"/>
      <c r="X17" s="81"/>
      <c r="Y17" s="81"/>
      <c r="Z17" s="80"/>
      <c r="AA17" s="81"/>
      <c r="AB17" s="81"/>
      <c r="AC17" s="85"/>
      <c r="AD17" s="81"/>
      <c r="AE17" s="81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77"/>
      <c r="BG17" s="77"/>
      <c r="BH17" s="77"/>
      <c r="BI17" s="77"/>
      <c r="BJ17" s="77"/>
      <c r="BK17" s="77"/>
      <c r="BL17" s="77"/>
      <c r="BM17" s="77"/>
      <c r="BN17" s="84"/>
      <c r="BO17" s="84"/>
      <c r="BP17" s="84"/>
      <c r="BQ17" s="84"/>
      <c r="BR17" s="77"/>
      <c r="BS17" s="77"/>
      <c r="BT17" s="84"/>
      <c r="BU17" s="77"/>
      <c r="BV17" s="84"/>
      <c r="BW17" s="77"/>
      <c r="BX17" s="84"/>
      <c r="BY17" s="77"/>
      <c r="BZ17" s="77"/>
      <c r="CA17" s="77"/>
      <c r="CB17" s="77"/>
      <c r="CC17" s="33"/>
    </row>
    <row r="18" spans="1:81" x14ac:dyDescent="0.35">
      <c r="A18" s="34"/>
      <c r="B18" s="76"/>
      <c r="C18" s="76"/>
      <c r="D18" s="76"/>
      <c r="E18" s="76"/>
      <c r="F18" s="76"/>
      <c r="G18" s="76"/>
      <c r="H18" s="77"/>
      <c r="I18" s="77"/>
      <c r="J18" s="78"/>
      <c r="K18" s="78"/>
      <c r="L18" s="78"/>
      <c r="M18" s="77"/>
      <c r="N18" s="76"/>
      <c r="O18" s="76"/>
      <c r="P18" s="76"/>
      <c r="Q18" s="76"/>
      <c r="R18" s="76"/>
      <c r="S18" s="76"/>
      <c r="T18" s="80"/>
      <c r="U18" s="81"/>
      <c r="V18" s="81"/>
      <c r="W18" s="82"/>
      <c r="X18" s="81"/>
      <c r="Y18" s="81"/>
      <c r="Z18" s="80"/>
      <c r="AA18" s="81"/>
      <c r="AB18" s="81"/>
      <c r="AC18" s="85"/>
      <c r="AD18" s="81"/>
      <c r="AE18" s="81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77"/>
      <c r="BG18" s="77"/>
      <c r="BH18" s="77"/>
      <c r="BI18" s="77"/>
      <c r="BJ18" s="77"/>
      <c r="BK18" s="77"/>
      <c r="BL18" s="77"/>
      <c r="BM18" s="77"/>
      <c r="BN18" s="84"/>
      <c r="BO18" s="84"/>
      <c r="BP18" s="84"/>
      <c r="BQ18" s="84"/>
      <c r="BR18" s="77"/>
      <c r="BS18" s="77"/>
      <c r="BT18" s="84"/>
      <c r="BU18" s="77"/>
      <c r="BV18" s="84"/>
      <c r="BW18" s="77"/>
      <c r="BX18" s="84"/>
      <c r="BY18" s="77"/>
      <c r="BZ18" s="77"/>
      <c r="CA18" s="77"/>
      <c r="CB18" s="77"/>
      <c r="CC18" s="33"/>
    </row>
    <row r="19" spans="1:81" x14ac:dyDescent="0.35">
      <c r="A19" s="34"/>
      <c r="B19" s="76"/>
      <c r="C19" s="76"/>
      <c r="D19" s="76"/>
      <c r="E19" s="76"/>
      <c r="F19" s="76"/>
      <c r="G19" s="76"/>
      <c r="H19" s="77"/>
      <c r="I19" s="77"/>
      <c r="J19" s="78"/>
      <c r="K19" s="78"/>
      <c r="L19" s="78"/>
      <c r="M19" s="77"/>
      <c r="N19" s="76"/>
      <c r="O19" s="76"/>
      <c r="P19" s="76"/>
      <c r="Q19" s="76"/>
      <c r="R19" s="76"/>
      <c r="S19" s="76"/>
      <c r="T19" s="80"/>
      <c r="U19" s="81"/>
      <c r="V19" s="81"/>
      <c r="W19" s="82"/>
      <c r="X19" s="81"/>
      <c r="Y19" s="81"/>
      <c r="Z19" s="80"/>
      <c r="AA19" s="81"/>
      <c r="AB19" s="81"/>
      <c r="AC19" s="85"/>
      <c r="AD19" s="81"/>
      <c r="AE19" s="81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77"/>
      <c r="BG19" s="77"/>
      <c r="BH19" s="77"/>
      <c r="BI19" s="77"/>
      <c r="BJ19" s="77"/>
      <c r="BK19" s="77"/>
      <c r="BL19" s="77"/>
      <c r="BM19" s="77"/>
      <c r="BN19" s="84"/>
      <c r="BO19" s="84"/>
      <c r="BP19" s="84"/>
      <c r="BQ19" s="84"/>
      <c r="BR19" s="77"/>
      <c r="BS19" s="77"/>
      <c r="BT19" s="84"/>
      <c r="BU19" s="77"/>
      <c r="BV19" s="84"/>
      <c r="BW19" s="77"/>
      <c r="BX19" s="84"/>
      <c r="BY19" s="77"/>
      <c r="BZ19" s="77"/>
      <c r="CA19" s="77"/>
      <c r="CB19" s="77"/>
      <c r="CC19" s="33"/>
    </row>
    <row r="20" spans="1:81" x14ac:dyDescent="0.35">
      <c r="A20" s="34"/>
      <c r="B20" s="76"/>
      <c r="C20" s="76"/>
      <c r="D20" s="76"/>
      <c r="E20" s="76"/>
      <c r="F20" s="76"/>
      <c r="G20" s="76"/>
      <c r="H20" s="77"/>
      <c r="I20" s="77"/>
      <c r="J20" s="78"/>
      <c r="K20" s="78"/>
      <c r="L20" s="78"/>
      <c r="M20" s="77"/>
      <c r="N20" s="76"/>
      <c r="O20" s="76"/>
      <c r="P20" s="76"/>
      <c r="Q20" s="76"/>
      <c r="R20" s="76"/>
      <c r="S20" s="76"/>
      <c r="T20" s="80"/>
      <c r="U20" s="81"/>
      <c r="V20" s="81"/>
      <c r="W20" s="82"/>
      <c r="X20" s="81"/>
      <c r="Y20" s="81"/>
      <c r="Z20" s="80"/>
      <c r="AA20" s="81"/>
      <c r="AB20" s="81"/>
      <c r="AC20" s="85"/>
      <c r="AD20" s="81"/>
      <c r="AE20" s="81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77"/>
      <c r="BG20" s="77"/>
      <c r="BH20" s="77"/>
      <c r="BI20" s="77"/>
      <c r="BJ20" s="77"/>
      <c r="BK20" s="77"/>
      <c r="BL20" s="77"/>
      <c r="BM20" s="77"/>
      <c r="BN20" s="84"/>
      <c r="BO20" s="84"/>
      <c r="BP20" s="84"/>
      <c r="BQ20" s="84"/>
      <c r="BR20" s="77"/>
      <c r="BS20" s="77"/>
      <c r="BT20" s="84"/>
      <c r="BU20" s="77"/>
      <c r="BV20" s="84"/>
      <c r="BW20" s="77"/>
      <c r="BX20" s="84"/>
      <c r="BY20" s="77"/>
      <c r="BZ20" s="77"/>
      <c r="CA20" s="77"/>
      <c r="CB20" s="77"/>
      <c r="CC20" s="33"/>
    </row>
    <row r="21" spans="1:81" x14ac:dyDescent="0.35">
      <c r="A21" s="34"/>
      <c r="B21" s="76"/>
      <c r="C21" s="76"/>
      <c r="D21" s="76"/>
      <c r="E21" s="76"/>
      <c r="F21" s="76"/>
      <c r="G21" s="76"/>
      <c r="H21" s="77"/>
      <c r="I21" s="77"/>
      <c r="J21" s="78"/>
      <c r="K21" s="78"/>
      <c r="L21" s="78"/>
      <c r="M21" s="77"/>
      <c r="N21" s="76"/>
      <c r="O21" s="76"/>
      <c r="P21" s="76"/>
      <c r="Q21" s="76"/>
      <c r="R21" s="76"/>
      <c r="S21" s="76"/>
      <c r="T21" s="80"/>
      <c r="U21" s="81"/>
      <c r="V21" s="81"/>
      <c r="W21" s="82"/>
      <c r="X21" s="81"/>
      <c r="Y21" s="81"/>
      <c r="Z21" s="80"/>
      <c r="AA21" s="81"/>
      <c r="AB21" s="81"/>
      <c r="AC21" s="85"/>
      <c r="AD21" s="81"/>
      <c r="AE21" s="81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77"/>
      <c r="BG21" s="77"/>
      <c r="BH21" s="77"/>
      <c r="BI21" s="77"/>
      <c r="BJ21" s="77"/>
      <c r="BK21" s="77"/>
      <c r="BL21" s="77"/>
      <c r="BM21" s="77"/>
      <c r="BN21" s="84"/>
      <c r="BO21" s="84"/>
      <c r="BP21" s="84"/>
      <c r="BQ21" s="84"/>
      <c r="BR21" s="77"/>
      <c r="BS21" s="77"/>
      <c r="BT21" s="84"/>
      <c r="BU21" s="77"/>
      <c r="BV21" s="84"/>
      <c r="BW21" s="77"/>
      <c r="BX21" s="84"/>
      <c r="BY21" s="77"/>
      <c r="BZ21" s="77"/>
      <c r="CA21" s="77"/>
      <c r="CB21" s="77"/>
      <c r="CC21" s="33"/>
    </row>
    <row r="22" spans="1:81" x14ac:dyDescent="0.35">
      <c r="A22" s="34"/>
      <c r="B22" s="76"/>
      <c r="C22" s="76"/>
      <c r="D22" s="76"/>
      <c r="E22" s="76"/>
      <c r="F22" s="76"/>
      <c r="G22" s="76"/>
      <c r="H22" s="77"/>
      <c r="I22" s="77"/>
      <c r="J22" s="78"/>
      <c r="K22" s="78"/>
      <c r="L22" s="78"/>
      <c r="M22" s="77"/>
      <c r="N22" s="76"/>
      <c r="O22" s="76"/>
      <c r="P22" s="76"/>
      <c r="Q22" s="76"/>
      <c r="R22" s="76"/>
      <c r="S22" s="76"/>
      <c r="T22" s="80"/>
      <c r="U22" s="81"/>
      <c r="V22" s="81"/>
      <c r="W22" s="82"/>
      <c r="X22" s="81"/>
      <c r="Y22" s="81"/>
      <c r="Z22" s="80"/>
      <c r="AA22" s="81"/>
      <c r="AB22" s="81"/>
      <c r="AC22" s="85"/>
      <c r="AD22" s="81"/>
      <c r="AE22" s="81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77"/>
      <c r="BG22" s="77"/>
      <c r="BH22" s="77"/>
      <c r="BI22" s="77"/>
      <c r="BJ22" s="77"/>
      <c r="BK22" s="77"/>
      <c r="BL22" s="77"/>
      <c r="BM22" s="77"/>
      <c r="BN22" s="84"/>
      <c r="BO22" s="84"/>
      <c r="BP22" s="84"/>
      <c r="BQ22" s="84"/>
      <c r="BR22" s="77"/>
      <c r="BS22" s="77"/>
      <c r="BT22" s="84"/>
      <c r="BU22" s="77"/>
      <c r="BV22" s="84"/>
      <c r="BW22" s="77"/>
      <c r="BX22" s="84"/>
      <c r="BY22" s="77"/>
      <c r="BZ22" s="77"/>
      <c r="CA22" s="77"/>
      <c r="CB22" s="77"/>
      <c r="CC22" s="33"/>
    </row>
    <row r="23" spans="1:81" x14ac:dyDescent="0.35">
      <c r="A23" s="34"/>
      <c r="B23" s="76"/>
      <c r="C23" s="76"/>
      <c r="D23" s="76"/>
      <c r="E23" s="76"/>
      <c r="F23" s="76"/>
      <c r="G23" s="76"/>
      <c r="H23" s="77"/>
      <c r="I23" s="77"/>
      <c r="J23" s="78"/>
      <c r="K23" s="78"/>
      <c r="L23" s="78"/>
      <c r="M23" s="77"/>
      <c r="N23" s="76"/>
      <c r="O23" s="76"/>
      <c r="P23" s="76"/>
      <c r="Q23" s="76"/>
      <c r="R23" s="76"/>
      <c r="S23" s="76"/>
      <c r="T23" s="80"/>
      <c r="U23" s="81"/>
      <c r="V23" s="81"/>
      <c r="W23" s="82"/>
      <c r="X23" s="81"/>
      <c r="Y23" s="81"/>
      <c r="Z23" s="80"/>
      <c r="AA23" s="81"/>
      <c r="AB23" s="81"/>
      <c r="AC23" s="85"/>
      <c r="AD23" s="81"/>
      <c r="AE23" s="81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7"/>
      <c r="BG23" s="77"/>
      <c r="BH23" s="77"/>
      <c r="BI23" s="77"/>
      <c r="BJ23" s="77"/>
      <c r="BK23" s="77"/>
      <c r="BL23" s="77"/>
      <c r="BM23" s="77"/>
      <c r="BN23" s="84"/>
      <c r="BO23" s="84"/>
      <c r="BP23" s="84"/>
      <c r="BQ23" s="84"/>
      <c r="BR23" s="77"/>
      <c r="BS23" s="77"/>
      <c r="BT23" s="84"/>
      <c r="BU23" s="77"/>
      <c r="BV23" s="84"/>
      <c r="BW23" s="77"/>
      <c r="BX23" s="84"/>
      <c r="BY23" s="77"/>
      <c r="BZ23" s="77"/>
      <c r="CA23" s="77"/>
      <c r="CB23" s="77"/>
      <c r="CC23" s="33"/>
    </row>
    <row r="24" spans="1:81" x14ac:dyDescent="0.35">
      <c r="A24" s="34"/>
      <c r="B24" s="76"/>
      <c r="C24" s="76"/>
      <c r="D24" s="76"/>
      <c r="E24" s="76"/>
      <c r="F24" s="76"/>
      <c r="G24" s="76"/>
      <c r="H24" s="77"/>
      <c r="I24" s="77"/>
      <c r="J24" s="78"/>
      <c r="K24" s="78"/>
      <c r="L24" s="78"/>
      <c r="M24" s="77"/>
      <c r="N24" s="76"/>
      <c r="O24" s="76"/>
      <c r="P24" s="76"/>
      <c r="Q24" s="76"/>
      <c r="R24" s="76"/>
      <c r="S24" s="76"/>
      <c r="T24" s="80"/>
      <c r="U24" s="81"/>
      <c r="V24" s="81"/>
      <c r="W24" s="82"/>
      <c r="X24" s="81"/>
      <c r="Y24" s="81"/>
      <c r="Z24" s="80"/>
      <c r="AA24" s="81"/>
      <c r="AB24" s="81"/>
      <c r="AC24" s="85"/>
      <c r="AD24" s="81"/>
      <c r="AE24" s="81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7"/>
      <c r="BG24" s="77"/>
      <c r="BH24" s="77"/>
      <c r="BI24" s="77"/>
      <c r="BJ24" s="77"/>
      <c r="BK24" s="77"/>
      <c r="BL24" s="77"/>
      <c r="BM24" s="77"/>
      <c r="BN24" s="84"/>
      <c r="BO24" s="84"/>
      <c r="BP24" s="84"/>
      <c r="BQ24" s="84"/>
      <c r="BR24" s="77"/>
      <c r="BS24" s="77"/>
      <c r="BT24" s="84"/>
      <c r="BU24" s="77"/>
      <c r="BV24" s="84"/>
      <c r="BW24" s="77"/>
      <c r="BX24" s="84"/>
      <c r="BY24" s="77"/>
      <c r="BZ24" s="77"/>
      <c r="CA24" s="77"/>
      <c r="CB24" s="77"/>
      <c r="CC24" s="33"/>
    </row>
    <row r="25" spans="1:81" x14ac:dyDescent="0.35">
      <c r="A25" s="34"/>
      <c r="B25" s="76"/>
      <c r="C25" s="76"/>
      <c r="D25" s="76"/>
      <c r="E25" s="76"/>
      <c r="F25" s="76"/>
      <c r="G25" s="76"/>
      <c r="H25" s="76"/>
      <c r="I25" s="77"/>
      <c r="J25" s="78"/>
      <c r="K25" s="78"/>
      <c r="L25" s="78"/>
      <c r="M25" s="79"/>
      <c r="N25" s="76"/>
      <c r="O25" s="76"/>
      <c r="P25" s="76"/>
      <c r="Q25" s="76"/>
      <c r="R25" s="76"/>
      <c r="S25" s="76"/>
      <c r="T25" s="80"/>
      <c r="U25" s="81"/>
      <c r="V25" s="81"/>
      <c r="W25" s="82"/>
      <c r="X25" s="81"/>
      <c r="Y25" s="81"/>
      <c r="Z25" s="80"/>
      <c r="AA25" s="81"/>
      <c r="AB25" s="81"/>
      <c r="AC25" s="85"/>
      <c r="AD25" s="81"/>
      <c r="AE25" s="81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7"/>
      <c r="BG25" s="77"/>
      <c r="BH25" s="77"/>
      <c r="BI25" s="77"/>
      <c r="BJ25" s="77"/>
      <c r="BK25" s="77"/>
      <c r="BL25" s="77"/>
      <c r="BM25" s="77"/>
      <c r="BN25" s="84"/>
      <c r="BO25" s="84"/>
      <c r="BP25" s="84"/>
      <c r="BQ25" s="84"/>
      <c r="BR25" s="77"/>
      <c r="BS25" s="77"/>
      <c r="BT25" s="84"/>
      <c r="BU25" s="77"/>
      <c r="BV25" s="84"/>
      <c r="BW25" s="77"/>
      <c r="BX25" s="84"/>
      <c r="BY25" s="77"/>
      <c r="BZ25" s="77"/>
      <c r="CA25" s="77"/>
      <c r="CB25" s="77"/>
      <c r="CC25" s="33"/>
    </row>
    <row r="26" spans="1:81" x14ac:dyDescent="0.35">
      <c r="A26" s="34"/>
      <c r="B26" s="76"/>
      <c r="C26" s="76"/>
      <c r="D26" s="76"/>
      <c r="E26" s="76"/>
      <c r="F26" s="76"/>
      <c r="G26" s="76"/>
      <c r="H26" s="76"/>
      <c r="I26" s="77"/>
      <c r="J26" s="78"/>
      <c r="K26" s="78"/>
      <c r="L26" s="78"/>
      <c r="M26" s="79"/>
      <c r="N26" s="76"/>
      <c r="O26" s="76"/>
      <c r="P26" s="76"/>
      <c r="Q26" s="76"/>
      <c r="R26" s="76"/>
      <c r="S26" s="76"/>
      <c r="T26" s="80"/>
      <c r="U26" s="81"/>
      <c r="V26" s="81"/>
      <c r="W26" s="82"/>
      <c r="X26" s="81"/>
      <c r="Y26" s="81"/>
      <c r="Z26" s="80"/>
      <c r="AA26" s="81"/>
      <c r="AB26" s="81"/>
      <c r="AC26" s="85"/>
      <c r="AD26" s="81"/>
      <c r="AE26" s="81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7"/>
      <c r="BG26" s="77"/>
      <c r="BH26" s="77"/>
      <c r="BI26" s="77"/>
      <c r="BJ26" s="77"/>
      <c r="BK26" s="77"/>
      <c r="BL26" s="77"/>
      <c r="BM26" s="77"/>
      <c r="BN26" s="84"/>
      <c r="BO26" s="84"/>
      <c r="BP26" s="84"/>
      <c r="BQ26" s="84"/>
      <c r="BR26" s="77"/>
      <c r="BS26" s="77"/>
      <c r="BT26" s="84"/>
      <c r="BU26" s="77"/>
      <c r="BV26" s="84"/>
      <c r="BW26" s="77"/>
      <c r="BX26" s="84"/>
      <c r="BY26" s="77"/>
      <c r="BZ26" s="77"/>
      <c r="CA26" s="77"/>
      <c r="CB26" s="77"/>
      <c r="CC26" s="33"/>
    </row>
    <row r="27" spans="1:81" x14ac:dyDescent="0.35">
      <c r="A27" s="34"/>
      <c r="B27" s="76"/>
      <c r="C27" s="76"/>
      <c r="D27" s="76"/>
      <c r="E27" s="76"/>
      <c r="F27" s="76"/>
      <c r="G27" s="76"/>
      <c r="H27" s="77"/>
      <c r="I27" s="77"/>
      <c r="J27" s="78"/>
      <c r="K27" s="78"/>
      <c r="L27" s="78"/>
      <c r="M27" s="79"/>
      <c r="N27" s="76"/>
      <c r="O27" s="76"/>
      <c r="P27" s="76"/>
      <c r="Q27" s="76"/>
      <c r="R27" s="76"/>
      <c r="S27" s="76"/>
      <c r="T27" s="80"/>
      <c r="U27" s="81"/>
      <c r="V27" s="81"/>
      <c r="W27" s="82"/>
      <c r="X27" s="81"/>
      <c r="Y27" s="81"/>
      <c r="Z27" s="80"/>
      <c r="AA27" s="81"/>
      <c r="AB27" s="81"/>
      <c r="AC27" s="85"/>
      <c r="AD27" s="81"/>
      <c r="AE27" s="81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7"/>
      <c r="BG27" s="77"/>
      <c r="BH27" s="77"/>
      <c r="BI27" s="77"/>
      <c r="BJ27" s="77"/>
      <c r="BK27" s="77"/>
      <c r="BL27" s="77"/>
      <c r="BM27" s="77"/>
      <c r="BN27" s="84"/>
      <c r="BO27" s="84"/>
      <c r="BP27" s="84"/>
      <c r="BQ27" s="84"/>
      <c r="BR27" s="77"/>
      <c r="BS27" s="77"/>
      <c r="BT27" s="84"/>
      <c r="BU27" s="77"/>
      <c r="BV27" s="84"/>
      <c r="BW27" s="77"/>
      <c r="BX27" s="84"/>
      <c r="BY27" s="77"/>
      <c r="BZ27" s="77"/>
      <c r="CA27" s="77"/>
      <c r="CB27" s="77"/>
      <c r="CC27" s="33"/>
    </row>
    <row r="28" spans="1:81" x14ac:dyDescent="0.35">
      <c r="A28" s="34"/>
      <c r="B28" s="76"/>
      <c r="C28" s="76"/>
      <c r="D28" s="76"/>
      <c r="E28" s="76"/>
      <c r="F28" s="76"/>
      <c r="G28" s="76"/>
      <c r="H28" s="77"/>
      <c r="I28" s="77"/>
      <c r="J28" s="78"/>
      <c r="K28" s="78"/>
      <c r="L28" s="78"/>
      <c r="M28" s="79"/>
      <c r="N28" s="76"/>
      <c r="O28" s="76"/>
      <c r="P28" s="76"/>
      <c r="Q28" s="76"/>
      <c r="R28" s="76"/>
      <c r="S28" s="76"/>
      <c r="T28" s="80"/>
      <c r="U28" s="81"/>
      <c r="V28" s="81"/>
      <c r="W28" s="82"/>
      <c r="X28" s="81"/>
      <c r="Y28" s="81"/>
      <c r="Z28" s="80"/>
      <c r="AA28" s="81"/>
      <c r="AB28" s="81"/>
      <c r="AC28" s="85"/>
      <c r="AD28" s="81"/>
      <c r="AE28" s="81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77"/>
      <c r="BG28" s="77"/>
      <c r="BH28" s="77"/>
      <c r="BI28" s="77"/>
      <c r="BJ28" s="77"/>
      <c r="BK28" s="77"/>
      <c r="BL28" s="77"/>
      <c r="BM28" s="77"/>
      <c r="BN28" s="84"/>
      <c r="BO28" s="84"/>
      <c r="BP28" s="84"/>
      <c r="BQ28" s="84"/>
      <c r="BR28" s="77"/>
      <c r="BS28" s="77"/>
      <c r="BT28" s="84"/>
      <c r="BU28" s="77"/>
      <c r="BV28" s="84"/>
      <c r="BW28" s="77"/>
      <c r="BX28" s="84"/>
      <c r="BY28" s="77"/>
      <c r="BZ28" s="77"/>
      <c r="CA28" s="77"/>
      <c r="CB28" s="77"/>
      <c r="CC28" s="33"/>
    </row>
    <row r="29" spans="1:81" x14ac:dyDescent="0.35">
      <c r="A29" s="34"/>
      <c r="B29" s="76"/>
      <c r="C29" s="76"/>
      <c r="D29" s="76"/>
      <c r="E29" s="76"/>
      <c r="F29" s="76"/>
      <c r="G29" s="76"/>
      <c r="H29" s="77"/>
      <c r="I29" s="77"/>
      <c r="J29" s="78"/>
      <c r="K29" s="78"/>
      <c r="L29" s="78"/>
      <c r="M29" s="79"/>
      <c r="N29" s="76"/>
      <c r="O29" s="76"/>
      <c r="P29" s="76"/>
      <c r="Q29" s="76"/>
      <c r="R29" s="76"/>
      <c r="S29" s="76"/>
      <c r="T29" s="80"/>
      <c r="U29" s="81"/>
      <c r="V29" s="81"/>
      <c r="W29" s="82"/>
      <c r="X29" s="81"/>
      <c r="Y29" s="81"/>
      <c r="Z29" s="80"/>
      <c r="AA29" s="81"/>
      <c r="AB29" s="81"/>
      <c r="AC29" s="85"/>
      <c r="AD29" s="81"/>
      <c r="AE29" s="81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7"/>
      <c r="BG29" s="77"/>
      <c r="BH29" s="77"/>
      <c r="BI29" s="77"/>
      <c r="BJ29" s="77"/>
      <c r="BK29" s="77"/>
      <c r="BL29" s="77"/>
      <c r="BM29" s="77"/>
      <c r="BN29" s="84"/>
      <c r="BO29" s="84"/>
      <c r="BP29" s="84"/>
      <c r="BQ29" s="84"/>
      <c r="BR29" s="77"/>
      <c r="BS29" s="77"/>
      <c r="BT29" s="84"/>
      <c r="BU29" s="77"/>
      <c r="BV29" s="84"/>
      <c r="BW29" s="77"/>
      <c r="BX29" s="84"/>
      <c r="BY29" s="77"/>
      <c r="BZ29" s="77"/>
      <c r="CA29" s="77"/>
      <c r="CB29" s="77"/>
      <c r="CC29" s="33"/>
    </row>
    <row r="31" spans="1:81" customFormat="1" ht="15" x14ac:dyDescent="0.25">
      <c r="A31" s="22"/>
      <c r="B31" s="73" t="s">
        <v>168</v>
      </c>
      <c r="C31" s="73" t="s">
        <v>221</v>
      </c>
      <c r="L31" t="s">
        <v>168</v>
      </c>
      <c r="M31" t="e">
        <f>AVERAGE(M6:M29)</f>
        <v>#DIV/0!</v>
      </c>
      <c r="BD31" s="41"/>
      <c r="BE31" t="s">
        <v>168</v>
      </c>
      <c r="BF31" t="e">
        <f>AVERAGE(BF6:BF29)</f>
        <v>#DIV/0!</v>
      </c>
      <c r="BG31" t="e">
        <f t="shared" ref="BG31:BK31" si="0">AVERAGE(BG6:BG29)</f>
        <v>#DIV/0!</v>
      </c>
      <c r="BJ31" t="e">
        <f t="shared" si="0"/>
        <v>#DIV/0!</v>
      </c>
      <c r="BK31" t="e">
        <f t="shared" si="0"/>
        <v>#DIV/0!</v>
      </c>
      <c r="BN31" t="e">
        <f>AVERAGE(BN6:BN29)</f>
        <v>#DIV/0!</v>
      </c>
      <c r="BO31">
        <f>MAX(BN6:BN29)</f>
        <v>0</v>
      </c>
      <c r="BP31">
        <f>MIN(BN6:BN29)</f>
        <v>0</v>
      </c>
      <c r="BQ31" s="40" t="e">
        <f>AVERAGE(BO6:BO29)</f>
        <v>#DIV/0!</v>
      </c>
      <c r="BR31">
        <f>MAX(BO6:BO29)</f>
        <v>0</v>
      </c>
      <c r="BS31">
        <f>MIN(BO6:BO29)</f>
        <v>0</v>
      </c>
    </row>
    <row r="32" spans="1:81" customFormat="1" ht="15" x14ac:dyDescent="0.25">
      <c r="A32" s="72" t="s">
        <v>219</v>
      </c>
      <c r="B32" s="22" t="e">
        <f>AF32+AS32</f>
        <v>#DIV/0!</v>
      </c>
      <c r="C32" s="22">
        <f>AF33+AS33</f>
        <v>0</v>
      </c>
      <c r="L32" t="s">
        <v>169</v>
      </c>
      <c r="M32">
        <f>MAX(M6:M29)</f>
        <v>0</v>
      </c>
      <c r="AE32" t="s">
        <v>170</v>
      </c>
      <c r="AF32" t="e">
        <f>AVERAGE(AF6:AF29)</f>
        <v>#DIV/0!</v>
      </c>
      <c r="AR32" t="s">
        <v>170</v>
      </c>
      <c r="AS32" t="e">
        <f>AVERAGE(AS6:AS29)</f>
        <v>#DIV/0!</v>
      </c>
      <c r="BD32" s="41"/>
      <c r="BE32" t="s">
        <v>169</v>
      </c>
      <c r="BF32">
        <f>MAX(BF6:BF29)</f>
        <v>0</v>
      </c>
      <c r="BG32">
        <f>MAX(BG6:BG29)</f>
        <v>0</v>
      </c>
      <c r="BH32" t="e">
        <f>BF31*BG31</f>
        <v>#DIV/0!</v>
      </c>
      <c r="BJ32">
        <f>MAX(BJ6:BJ29)</f>
        <v>0</v>
      </c>
      <c r="BK32">
        <f>MAX(BK6:BK29)</f>
        <v>0</v>
      </c>
      <c r="BL32" t="e">
        <f>BJ31*BK31</f>
        <v>#DIV/0!</v>
      </c>
    </row>
    <row r="33" spans="1:64" customFormat="1" ht="15" x14ac:dyDescent="0.25">
      <c r="A33" s="72" t="s">
        <v>220</v>
      </c>
      <c r="B33" s="22" t="e">
        <f>(BH32+BL32)/1000</f>
        <v>#DIV/0!</v>
      </c>
      <c r="C33" s="22">
        <f>(BH33+BL33)/1000</f>
        <v>0</v>
      </c>
      <c r="AE33" t="s">
        <v>169</v>
      </c>
      <c r="AF33">
        <f>MAX(AF6:AF29)</f>
        <v>0</v>
      </c>
      <c r="AR33" t="s">
        <v>169</v>
      </c>
      <c r="AS33">
        <f>MAX(AS6:AS29)</f>
        <v>0</v>
      </c>
      <c r="BH33">
        <f>BF32*BG32</f>
        <v>0</v>
      </c>
      <c r="BL33">
        <f>BJ32*BK32</f>
        <v>0</v>
      </c>
    </row>
    <row r="34" spans="1:64" customFormat="1" ht="1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64" ht="15" x14ac:dyDescent="0.25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4"/>
      <c r="AE35" s="35"/>
      <c r="AF35" s="35"/>
    </row>
    <row r="36" spans="1:64" ht="15" x14ac:dyDescent="0.25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7"/>
      <c r="AE36" s="35"/>
      <c r="AF36" s="35"/>
    </row>
    <row r="37" spans="1:64" ht="15" x14ac:dyDescent="0.25">
      <c r="A37" s="195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7"/>
      <c r="AE37" s="35"/>
      <c r="AF37" s="35"/>
    </row>
    <row r="38" spans="1:64" ht="15" x14ac:dyDescent="0.25">
      <c r="A38" s="154"/>
      <c r="B38" s="155"/>
      <c r="C38" s="155"/>
      <c r="D38" s="155"/>
      <c r="E38" s="155"/>
      <c r="F38" s="155"/>
      <c r="G38" s="155"/>
      <c r="H38" s="156"/>
      <c r="I38" s="33"/>
      <c r="J38" s="33"/>
      <c r="K38" s="33"/>
      <c r="L38" s="33"/>
      <c r="M38" s="33"/>
      <c r="N38" s="33"/>
      <c r="O38" s="33"/>
      <c r="P38" s="33"/>
      <c r="Q38" s="33"/>
      <c r="R38" s="154"/>
      <c r="S38" s="155"/>
      <c r="T38" s="155"/>
      <c r="U38" s="155"/>
      <c r="V38" s="155"/>
      <c r="W38" s="155"/>
      <c r="X38" s="155"/>
      <c r="Y38" s="155"/>
      <c r="Z38" s="155"/>
      <c r="AA38" s="156"/>
    </row>
    <row r="39" spans="1:64" ht="15" x14ac:dyDescent="0.25">
      <c r="A39" s="154" t="s">
        <v>37</v>
      </c>
      <c r="B39" s="155"/>
      <c r="C39" s="155"/>
      <c r="D39" s="155"/>
      <c r="E39" s="155"/>
      <c r="F39" s="155"/>
      <c r="G39" s="155"/>
      <c r="H39" s="156"/>
      <c r="I39" s="33"/>
      <c r="J39" s="33"/>
      <c r="K39" s="33"/>
      <c r="L39" s="33"/>
      <c r="M39" s="33"/>
      <c r="N39" s="33"/>
      <c r="O39" s="33"/>
      <c r="P39" s="33"/>
      <c r="Q39" s="33"/>
      <c r="R39" s="154" t="s">
        <v>176</v>
      </c>
      <c r="S39" s="155"/>
      <c r="T39" s="155"/>
      <c r="U39" s="155"/>
      <c r="V39" s="155"/>
      <c r="W39" s="155"/>
      <c r="X39" s="155"/>
      <c r="Y39" s="155"/>
      <c r="Z39" s="155"/>
      <c r="AA39" s="156"/>
    </row>
    <row r="40" spans="1:64" x14ac:dyDescent="0.35">
      <c r="A40" s="154"/>
      <c r="B40" s="155"/>
      <c r="C40" s="155"/>
      <c r="D40" s="155"/>
      <c r="E40" s="155"/>
      <c r="F40" s="155"/>
      <c r="G40" s="155"/>
      <c r="H40" s="156"/>
      <c r="I40" s="33"/>
      <c r="J40" s="33"/>
      <c r="K40" s="33"/>
      <c r="L40" s="33"/>
      <c r="M40" s="33"/>
      <c r="N40" s="33"/>
      <c r="O40" s="33"/>
      <c r="P40" s="33"/>
      <c r="Q40" s="33"/>
      <c r="R40" s="154"/>
      <c r="S40" s="155"/>
      <c r="T40" s="155"/>
      <c r="U40" s="155"/>
      <c r="V40" s="155"/>
      <c r="W40" s="155"/>
      <c r="X40" s="155"/>
      <c r="Y40" s="155"/>
      <c r="Z40" s="155"/>
      <c r="AA40" s="156"/>
    </row>
    <row r="44" spans="1:64" x14ac:dyDescent="0.35">
      <c r="A44" s="157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9"/>
    </row>
    <row r="45" spans="1:64" x14ac:dyDescent="0.35">
      <c r="A45" s="36" t="s">
        <v>35</v>
      </c>
      <c r="B45" s="37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64" x14ac:dyDescent="0.35">
      <c r="A46" s="38" t="s">
        <v>34</v>
      </c>
      <c r="B46" s="39" t="s">
        <v>12</v>
      </c>
      <c r="C46" s="163" t="s">
        <v>36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</row>
    <row r="47" spans="1:64" x14ac:dyDescent="0.35">
      <c r="A47" s="38"/>
      <c r="B47" s="39"/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</row>
    <row r="48" spans="1:64" x14ac:dyDescent="0.35">
      <c r="A48" s="38"/>
      <c r="B48" s="39"/>
      <c r="C48" s="166"/>
      <c r="D48" s="167"/>
      <c r="E48" s="167"/>
      <c r="F48" s="167"/>
      <c r="G48" s="167"/>
      <c r="H48" s="167"/>
      <c r="I48" s="167"/>
      <c r="J48" s="167"/>
      <c r="K48" s="167"/>
      <c r="L48" s="167"/>
      <c r="M48" s="168"/>
    </row>
    <row r="49" spans="1:13" x14ac:dyDescent="0.35">
      <c r="A49" s="38"/>
      <c r="B49" s="39"/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</row>
    <row r="50" spans="1:13" x14ac:dyDescent="0.35">
      <c r="A50" s="38"/>
      <c r="B50" s="39"/>
      <c r="C50" s="166"/>
      <c r="D50" s="167"/>
      <c r="E50" s="167"/>
      <c r="F50" s="167"/>
      <c r="G50" s="167"/>
      <c r="H50" s="167"/>
      <c r="I50" s="167"/>
      <c r="J50" s="167"/>
      <c r="K50" s="167"/>
      <c r="L50" s="167"/>
      <c r="M50" s="168"/>
    </row>
    <row r="51" spans="1:13" x14ac:dyDescent="0.35">
      <c r="A51" s="38"/>
      <c r="B51" s="39"/>
      <c r="C51" s="166"/>
      <c r="D51" s="167"/>
      <c r="E51" s="167"/>
      <c r="F51" s="167"/>
      <c r="G51" s="167"/>
      <c r="H51" s="167"/>
      <c r="I51" s="167"/>
      <c r="J51" s="167"/>
      <c r="K51" s="167"/>
      <c r="L51" s="167"/>
      <c r="M51" s="168"/>
    </row>
    <row r="52" spans="1:13" x14ac:dyDescent="0.35">
      <c r="A52" s="38"/>
      <c r="B52" s="39"/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</row>
    <row r="53" spans="1:13" x14ac:dyDescent="0.35">
      <c r="A53" s="38"/>
      <c r="B53" s="39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8"/>
    </row>
    <row r="54" spans="1:13" x14ac:dyDescent="0.35">
      <c r="A54" s="38"/>
      <c r="B54" s="39"/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</row>
  </sheetData>
  <mergeCells count="68">
    <mergeCell ref="C50:M50"/>
    <mergeCell ref="C51:M51"/>
    <mergeCell ref="C52:M52"/>
    <mergeCell ref="C53:M53"/>
    <mergeCell ref="C54:M54"/>
    <mergeCell ref="C49:M49"/>
    <mergeCell ref="A37:AA37"/>
    <mergeCell ref="A38:H38"/>
    <mergeCell ref="R38:AA38"/>
    <mergeCell ref="A39:H39"/>
    <mergeCell ref="R39:AA39"/>
    <mergeCell ref="A40:H40"/>
    <mergeCell ref="R40:AA40"/>
    <mergeCell ref="A44:M44"/>
    <mergeCell ref="C45:M45"/>
    <mergeCell ref="C46:M46"/>
    <mergeCell ref="C47:M47"/>
    <mergeCell ref="C48:M48"/>
    <mergeCell ref="CA4:CA5"/>
    <mergeCell ref="BR4:BS4"/>
    <mergeCell ref="BT4:BU4"/>
    <mergeCell ref="BJ4:BL4"/>
    <mergeCell ref="BM4:BM5"/>
    <mergeCell ref="BN4:BO4"/>
    <mergeCell ref="BP4:BQ4"/>
    <mergeCell ref="AB4:AB5"/>
    <mergeCell ref="BV4:BW4"/>
    <mergeCell ref="BX4:BY4"/>
    <mergeCell ref="BZ4:BZ5"/>
    <mergeCell ref="AD4:AD5"/>
    <mergeCell ref="AE4:AE5"/>
    <mergeCell ref="AF4:AR4"/>
    <mergeCell ref="AS4:BE4"/>
    <mergeCell ref="BF4:BH4"/>
    <mergeCell ref="BI4:BI5"/>
    <mergeCell ref="AC4:AC5"/>
    <mergeCell ref="A36:AA36"/>
    <mergeCell ref="X4:X5"/>
    <mergeCell ref="Y4:Y5"/>
    <mergeCell ref="Z4:Z5"/>
    <mergeCell ref="AA4:AA5"/>
    <mergeCell ref="A35:AA35"/>
    <mergeCell ref="N4:P4"/>
    <mergeCell ref="Q4:S4"/>
    <mergeCell ref="T4:T5"/>
    <mergeCell ref="U4:U5"/>
    <mergeCell ref="V4:V5"/>
    <mergeCell ref="W4:W5"/>
    <mergeCell ref="J4:J5"/>
    <mergeCell ref="K4:K5"/>
    <mergeCell ref="L4:L5"/>
    <mergeCell ref="M4:M5"/>
    <mergeCell ref="A1:BT1"/>
    <mergeCell ref="BV1:CC1"/>
    <mergeCell ref="A2:L3"/>
    <mergeCell ref="N2:AE3"/>
    <mergeCell ref="AF2:BT2"/>
    <mergeCell ref="BV2:BZ2"/>
    <mergeCell ref="CB2:CB5"/>
    <mergeCell ref="CC2:CC5"/>
    <mergeCell ref="AF3:BE3"/>
    <mergeCell ref="BF3:BM3"/>
    <mergeCell ref="BN3:BX3"/>
    <mergeCell ref="BZ3:CA3"/>
    <mergeCell ref="A4:A5"/>
    <mergeCell ref="B4:D4"/>
    <mergeCell ref="E4:G4"/>
    <mergeCell ref="I4:I5"/>
  </mergeCells>
  <conditionalFormatting sqref="I6:I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I11:I1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5:I29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D61"/>
  <sheetViews>
    <sheetView topLeftCell="A15" zoomScale="90" zoomScaleNormal="90" workbookViewId="0">
      <pane xSplit="1" topLeftCell="B1" activePane="topRight" state="frozen"/>
      <selection pane="topRight" activeCell="H34" sqref="H34"/>
    </sheetView>
  </sheetViews>
  <sheetFormatPr defaultColWidth="8.81640625" defaultRowHeight="14.5" x14ac:dyDescent="0.35"/>
  <cols>
    <col min="1" max="1" width="15.453125" style="22" customWidth="1"/>
    <col min="2" max="2" width="7.54296875" style="22" customWidth="1"/>
    <col min="3" max="3" width="9.1796875" style="22" bestFit="1" customWidth="1"/>
    <col min="4" max="4" width="9.1796875" style="22" customWidth="1"/>
    <col min="5" max="5" width="13.1796875" style="22" bestFit="1" customWidth="1"/>
    <col min="6" max="6" width="13.1796875" style="22" customWidth="1"/>
    <col min="7" max="8" width="11.81640625" style="22" customWidth="1"/>
    <col min="9" max="13" width="9.453125" style="22" customWidth="1"/>
    <col min="14" max="14" width="8.81640625" style="22" bestFit="1" customWidth="1"/>
    <col min="15" max="16" width="8.81640625" style="22"/>
    <col min="17" max="17" width="8.81640625" style="22" customWidth="1"/>
    <col min="18" max="16384" width="8.81640625" style="22"/>
  </cols>
  <sheetData>
    <row r="1" spans="1:290" ht="15.75" thickBot="1" x14ac:dyDescent="0.3"/>
    <row r="2" spans="1:290" s="43" customFormat="1" ht="30" customHeight="1" thickBot="1" x14ac:dyDescent="0.3">
      <c r="A2" s="220" t="s">
        <v>156</v>
      </c>
      <c r="B2" s="221"/>
      <c r="C2" s="221"/>
      <c r="D2" s="221"/>
      <c r="E2" s="221"/>
      <c r="F2" s="221"/>
      <c r="G2" s="221"/>
      <c r="H2" s="221"/>
      <c r="I2" s="221"/>
      <c r="J2" s="222"/>
      <c r="K2" s="222"/>
      <c r="L2" s="222"/>
      <c r="M2" s="222"/>
      <c r="N2" s="223"/>
    </row>
    <row r="3" spans="1:290" ht="15.75" thickBot="1" x14ac:dyDescent="0.3">
      <c r="A3" s="44" t="s">
        <v>34</v>
      </c>
      <c r="B3" s="45" t="s">
        <v>40</v>
      </c>
      <c r="C3" s="217">
        <v>0</v>
      </c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9"/>
      <c r="O3" s="217">
        <v>4.1666666666666699E-2</v>
      </c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9"/>
      <c r="AA3" s="217">
        <v>8.3333333333333398E-2</v>
      </c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9"/>
      <c r="AM3" s="217">
        <v>0.125</v>
      </c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9"/>
      <c r="AY3" s="217">
        <v>0.16666666666666699</v>
      </c>
      <c r="AZ3" s="218"/>
      <c r="BA3" s="218"/>
      <c r="BB3" s="218"/>
      <c r="BC3" s="218"/>
      <c r="BD3" s="218"/>
      <c r="BE3" s="218"/>
      <c r="BF3" s="218"/>
      <c r="BG3" s="218"/>
      <c r="BH3" s="218"/>
      <c r="BI3" s="218"/>
      <c r="BJ3" s="219"/>
      <c r="BK3" s="217">
        <v>0.20833333333333301</v>
      </c>
      <c r="BL3" s="218"/>
      <c r="BM3" s="218"/>
      <c r="BN3" s="218"/>
      <c r="BO3" s="218"/>
      <c r="BP3" s="218"/>
      <c r="BQ3" s="218"/>
      <c r="BR3" s="218"/>
      <c r="BS3" s="218"/>
      <c r="BT3" s="218"/>
      <c r="BU3" s="218"/>
      <c r="BV3" s="219"/>
      <c r="BW3" s="217">
        <v>0.25</v>
      </c>
      <c r="BX3" s="218"/>
      <c r="BY3" s="218"/>
      <c r="BZ3" s="218"/>
      <c r="CA3" s="218"/>
      <c r="CB3" s="218"/>
      <c r="CC3" s="218"/>
      <c r="CD3" s="218"/>
      <c r="CE3" s="218"/>
      <c r="CF3" s="218"/>
      <c r="CG3" s="218"/>
      <c r="CH3" s="219"/>
      <c r="CI3" s="217">
        <v>0.29166666666666702</v>
      </c>
      <c r="CJ3" s="218"/>
      <c r="CK3" s="218"/>
      <c r="CL3" s="218"/>
      <c r="CM3" s="218"/>
      <c r="CN3" s="218"/>
      <c r="CO3" s="218"/>
      <c r="CP3" s="218"/>
      <c r="CQ3" s="218"/>
      <c r="CR3" s="218"/>
      <c r="CS3" s="218"/>
      <c r="CT3" s="219"/>
      <c r="CU3" s="217">
        <v>0.33333333333333398</v>
      </c>
      <c r="CV3" s="218"/>
      <c r="CW3" s="218"/>
      <c r="CX3" s="218"/>
      <c r="CY3" s="218"/>
      <c r="CZ3" s="218"/>
      <c r="DA3" s="218"/>
      <c r="DB3" s="218"/>
      <c r="DC3" s="218"/>
      <c r="DD3" s="218"/>
      <c r="DE3" s="218"/>
      <c r="DF3" s="219"/>
      <c r="DG3" s="217">
        <v>0.375</v>
      </c>
      <c r="DH3" s="218"/>
      <c r="DI3" s="218"/>
      <c r="DJ3" s="218"/>
      <c r="DK3" s="218"/>
      <c r="DL3" s="218"/>
      <c r="DM3" s="218"/>
      <c r="DN3" s="218"/>
      <c r="DO3" s="218"/>
      <c r="DP3" s="218"/>
      <c r="DQ3" s="218"/>
      <c r="DR3" s="219"/>
      <c r="DS3" s="217">
        <v>0.41666666666666702</v>
      </c>
      <c r="DT3" s="218"/>
      <c r="DU3" s="218"/>
      <c r="DV3" s="218"/>
      <c r="DW3" s="218"/>
      <c r="DX3" s="218"/>
      <c r="DY3" s="218"/>
      <c r="DZ3" s="218"/>
      <c r="EA3" s="218"/>
      <c r="EB3" s="218"/>
      <c r="EC3" s="218"/>
      <c r="ED3" s="219"/>
      <c r="EE3" s="217">
        <v>0.45833333333333398</v>
      </c>
      <c r="EF3" s="218"/>
      <c r="EG3" s="218"/>
      <c r="EH3" s="218"/>
      <c r="EI3" s="218"/>
      <c r="EJ3" s="218"/>
      <c r="EK3" s="218"/>
      <c r="EL3" s="218"/>
      <c r="EM3" s="218"/>
      <c r="EN3" s="218"/>
      <c r="EO3" s="218"/>
      <c r="EP3" s="219"/>
      <c r="EQ3" s="217">
        <v>0.5</v>
      </c>
      <c r="ER3" s="218"/>
      <c r="ES3" s="218"/>
      <c r="ET3" s="218"/>
      <c r="EU3" s="218"/>
      <c r="EV3" s="218"/>
      <c r="EW3" s="218"/>
      <c r="EX3" s="218"/>
      <c r="EY3" s="218"/>
      <c r="EZ3" s="218"/>
      <c r="FA3" s="218"/>
      <c r="FB3" s="219"/>
      <c r="FC3" s="217">
        <v>0.54166666666666696</v>
      </c>
      <c r="FD3" s="218"/>
      <c r="FE3" s="218"/>
      <c r="FF3" s="218"/>
      <c r="FG3" s="218"/>
      <c r="FH3" s="218"/>
      <c r="FI3" s="218"/>
      <c r="FJ3" s="218"/>
      <c r="FK3" s="218"/>
      <c r="FL3" s="218"/>
      <c r="FM3" s="218"/>
      <c r="FN3" s="219"/>
      <c r="FO3" s="217">
        <v>0.58333333333333404</v>
      </c>
      <c r="FP3" s="218"/>
      <c r="FQ3" s="218"/>
      <c r="FR3" s="218"/>
      <c r="FS3" s="218"/>
      <c r="FT3" s="218"/>
      <c r="FU3" s="218"/>
      <c r="FV3" s="218"/>
      <c r="FW3" s="218"/>
      <c r="FX3" s="218"/>
      <c r="FY3" s="218"/>
      <c r="FZ3" s="219"/>
      <c r="GA3" s="217">
        <v>0.625</v>
      </c>
      <c r="GB3" s="218"/>
      <c r="GC3" s="218"/>
      <c r="GD3" s="218"/>
      <c r="GE3" s="218"/>
      <c r="GF3" s="218"/>
      <c r="GG3" s="218"/>
      <c r="GH3" s="218"/>
      <c r="GI3" s="218"/>
      <c r="GJ3" s="218"/>
      <c r="GK3" s="218"/>
      <c r="GL3" s="219"/>
      <c r="GM3" s="217">
        <v>0.66666666666666696</v>
      </c>
      <c r="GN3" s="218"/>
      <c r="GO3" s="218"/>
      <c r="GP3" s="218"/>
      <c r="GQ3" s="218"/>
      <c r="GR3" s="218"/>
      <c r="GS3" s="218"/>
      <c r="GT3" s="218"/>
      <c r="GU3" s="218"/>
      <c r="GV3" s="218"/>
      <c r="GW3" s="218"/>
      <c r="GX3" s="219"/>
      <c r="GY3" s="217">
        <v>0.70833333333333404</v>
      </c>
      <c r="GZ3" s="218"/>
      <c r="HA3" s="218"/>
      <c r="HB3" s="218"/>
      <c r="HC3" s="218"/>
      <c r="HD3" s="218"/>
      <c r="HE3" s="218"/>
      <c r="HF3" s="218"/>
      <c r="HG3" s="218"/>
      <c r="HH3" s="218"/>
      <c r="HI3" s="218"/>
      <c r="HJ3" s="219"/>
      <c r="HK3" s="217">
        <v>0.750000000000001</v>
      </c>
      <c r="HL3" s="218"/>
      <c r="HM3" s="218"/>
      <c r="HN3" s="218"/>
      <c r="HO3" s="218"/>
      <c r="HP3" s="218"/>
      <c r="HQ3" s="218"/>
      <c r="HR3" s="218"/>
      <c r="HS3" s="218"/>
      <c r="HT3" s="218"/>
      <c r="HU3" s="218"/>
      <c r="HV3" s="219"/>
      <c r="HW3" s="217">
        <v>0.79166666666666696</v>
      </c>
      <c r="HX3" s="218"/>
      <c r="HY3" s="218"/>
      <c r="HZ3" s="218"/>
      <c r="IA3" s="218"/>
      <c r="IB3" s="218"/>
      <c r="IC3" s="218"/>
      <c r="ID3" s="218"/>
      <c r="IE3" s="218"/>
      <c r="IF3" s="218"/>
      <c r="IG3" s="218"/>
      <c r="IH3" s="219"/>
      <c r="II3" s="217">
        <v>0.83333333333333404</v>
      </c>
      <c r="IJ3" s="218"/>
      <c r="IK3" s="218"/>
      <c r="IL3" s="218"/>
      <c r="IM3" s="218"/>
      <c r="IN3" s="218"/>
      <c r="IO3" s="218"/>
      <c r="IP3" s="218"/>
      <c r="IQ3" s="218"/>
      <c r="IR3" s="218"/>
      <c r="IS3" s="218"/>
      <c r="IT3" s="219"/>
      <c r="IU3" s="217">
        <v>0.875000000000001</v>
      </c>
      <c r="IV3" s="218"/>
      <c r="IW3" s="218"/>
      <c r="IX3" s="218"/>
      <c r="IY3" s="218"/>
      <c r="IZ3" s="218"/>
      <c r="JA3" s="218"/>
      <c r="JB3" s="218"/>
      <c r="JC3" s="218"/>
      <c r="JD3" s="218"/>
      <c r="JE3" s="218"/>
      <c r="JF3" s="219"/>
      <c r="JG3" s="217">
        <v>0.91666666666666696</v>
      </c>
      <c r="JH3" s="218"/>
      <c r="JI3" s="218"/>
      <c r="JJ3" s="218"/>
      <c r="JK3" s="218"/>
      <c r="JL3" s="218"/>
      <c r="JM3" s="218"/>
      <c r="JN3" s="218"/>
      <c r="JO3" s="218"/>
      <c r="JP3" s="218"/>
      <c r="JQ3" s="218"/>
      <c r="JR3" s="219"/>
      <c r="JS3" s="217">
        <v>0.95833333333333404</v>
      </c>
      <c r="JT3" s="218"/>
      <c r="JU3" s="218"/>
      <c r="JV3" s="218"/>
      <c r="JW3" s="218"/>
      <c r="JX3" s="218"/>
      <c r="JY3" s="218"/>
      <c r="JZ3" s="218"/>
      <c r="KA3" s="218"/>
      <c r="KB3" s="218"/>
      <c r="KC3" s="218"/>
      <c r="KD3" s="219"/>
    </row>
    <row r="4" spans="1:290" s="48" customFormat="1" ht="27.65" customHeight="1" x14ac:dyDescent="0.2">
      <c r="A4" s="46"/>
      <c r="B4" s="47" t="s">
        <v>151</v>
      </c>
      <c r="C4" s="213" t="s">
        <v>155</v>
      </c>
      <c r="D4" s="214"/>
      <c r="E4" s="215" t="s">
        <v>154</v>
      </c>
      <c r="F4" s="216"/>
      <c r="G4" s="209" t="s">
        <v>186</v>
      </c>
      <c r="H4" s="210"/>
      <c r="I4" s="209" t="s">
        <v>185</v>
      </c>
      <c r="J4" s="210"/>
      <c r="K4" s="209" t="s">
        <v>153</v>
      </c>
      <c r="L4" s="210"/>
      <c r="M4" s="211" t="s">
        <v>152</v>
      </c>
      <c r="N4" s="212"/>
      <c r="O4" s="213" t="s">
        <v>155</v>
      </c>
      <c r="P4" s="214"/>
      <c r="Q4" s="215" t="s">
        <v>154</v>
      </c>
      <c r="R4" s="216"/>
      <c r="S4" s="209" t="s">
        <v>198</v>
      </c>
      <c r="T4" s="210"/>
      <c r="U4" s="209" t="s">
        <v>199</v>
      </c>
      <c r="V4" s="210"/>
      <c r="W4" s="209" t="s">
        <v>153</v>
      </c>
      <c r="X4" s="210"/>
      <c r="Y4" s="211" t="s">
        <v>152</v>
      </c>
      <c r="Z4" s="212"/>
      <c r="AA4" s="213" t="s">
        <v>155</v>
      </c>
      <c r="AB4" s="214"/>
      <c r="AC4" s="215" t="s">
        <v>154</v>
      </c>
      <c r="AD4" s="216"/>
      <c r="AE4" s="209" t="s">
        <v>198</v>
      </c>
      <c r="AF4" s="210"/>
      <c r="AG4" s="209" t="s">
        <v>199</v>
      </c>
      <c r="AH4" s="210"/>
      <c r="AI4" s="209" t="s">
        <v>153</v>
      </c>
      <c r="AJ4" s="210"/>
      <c r="AK4" s="211" t="s">
        <v>152</v>
      </c>
      <c r="AL4" s="212"/>
      <c r="AM4" s="213" t="s">
        <v>155</v>
      </c>
      <c r="AN4" s="214"/>
      <c r="AO4" s="215" t="s">
        <v>154</v>
      </c>
      <c r="AP4" s="216"/>
      <c r="AQ4" s="209" t="s">
        <v>198</v>
      </c>
      <c r="AR4" s="210"/>
      <c r="AS4" s="209" t="s">
        <v>199</v>
      </c>
      <c r="AT4" s="210"/>
      <c r="AU4" s="209" t="s">
        <v>153</v>
      </c>
      <c r="AV4" s="210"/>
      <c r="AW4" s="211" t="s">
        <v>152</v>
      </c>
      <c r="AX4" s="212"/>
      <c r="AY4" s="213" t="s">
        <v>155</v>
      </c>
      <c r="AZ4" s="214"/>
      <c r="BA4" s="215" t="s">
        <v>154</v>
      </c>
      <c r="BB4" s="216"/>
      <c r="BC4" s="209" t="s">
        <v>198</v>
      </c>
      <c r="BD4" s="210"/>
      <c r="BE4" s="209" t="s">
        <v>199</v>
      </c>
      <c r="BF4" s="210"/>
      <c r="BG4" s="209" t="s">
        <v>153</v>
      </c>
      <c r="BH4" s="210"/>
      <c r="BI4" s="211" t="s">
        <v>152</v>
      </c>
      <c r="BJ4" s="212"/>
      <c r="BK4" s="213" t="s">
        <v>155</v>
      </c>
      <c r="BL4" s="214"/>
      <c r="BM4" s="215" t="s">
        <v>154</v>
      </c>
      <c r="BN4" s="216"/>
      <c r="BO4" s="209" t="s">
        <v>198</v>
      </c>
      <c r="BP4" s="210"/>
      <c r="BQ4" s="209" t="s">
        <v>199</v>
      </c>
      <c r="BR4" s="210"/>
      <c r="BS4" s="209" t="s">
        <v>153</v>
      </c>
      <c r="BT4" s="210"/>
      <c r="BU4" s="211" t="s">
        <v>152</v>
      </c>
      <c r="BV4" s="212"/>
      <c r="BW4" s="213" t="s">
        <v>155</v>
      </c>
      <c r="BX4" s="214"/>
      <c r="BY4" s="215" t="s">
        <v>154</v>
      </c>
      <c r="BZ4" s="216"/>
      <c r="CA4" s="209" t="s">
        <v>198</v>
      </c>
      <c r="CB4" s="210"/>
      <c r="CC4" s="209" t="s">
        <v>199</v>
      </c>
      <c r="CD4" s="210"/>
      <c r="CE4" s="209" t="s">
        <v>153</v>
      </c>
      <c r="CF4" s="210"/>
      <c r="CG4" s="211" t="s">
        <v>152</v>
      </c>
      <c r="CH4" s="212"/>
      <c r="CI4" s="213" t="s">
        <v>155</v>
      </c>
      <c r="CJ4" s="214"/>
      <c r="CK4" s="215" t="s">
        <v>154</v>
      </c>
      <c r="CL4" s="216"/>
      <c r="CM4" s="209" t="s">
        <v>198</v>
      </c>
      <c r="CN4" s="210"/>
      <c r="CO4" s="209" t="s">
        <v>199</v>
      </c>
      <c r="CP4" s="210"/>
      <c r="CQ4" s="209" t="s">
        <v>153</v>
      </c>
      <c r="CR4" s="210"/>
      <c r="CS4" s="211" t="s">
        <v>152</v>
      </c>
      <c r="CT4" s="212"/>
      <c r="CU4" s="213" t="s">
        <v>155</v>
      </c>
      <c r="CV4" s="214"/>
      <c r="CW4" s="215" t="s">
        <v>154</v>
      </c>
      <c r="CX4" s="216"/>
      <c r="CY4" s="209" t="s">
        <v>198</v>
      </c>
      <c r="CZ4" s="210"/>
      <c r="DA4" s="209" t="s">
        <v>199</v>
      </c>
      <c r="DB4" s="210"/>
      <c r="DC4" s="209" t="s">
        <v>153</v>
      </c>
      <c r="DD4" s="210"/>
      <c r="DE4" s="211" t="s">
        <v>152</v>
      </c>
      <c r="DF4" s="212"/>
      <c r="DG4" s="213" t="s">
        <v>155</v>
      </c>
      <c r="DH4" s="214"/>
      <c r="DI4" s="215" t="s">
        <v>154</v>
      </c>
      <c r="DJ4" s="216"/>
      <c r="DK4" s="209" t="s">
        <v>198</v>
      </c>
      <c r="DL4" s="210"/>
      <c r="DM4" s="209" t="s">
        <v>199</v>
      </c>
      <c r="DN4" s="210"/>
      <c r="DO4" s="209" t="s">
        <v>153</v>
      </c>
      <c r="DP4" s="210"/>
      <c r="DQ4" s="211" t="s">
        <v>152</v>
      </c>
      <c r="DR4" s="212"/>
      <c r="DS4" s="213" t="s">
        <v>155</v>
      </c>
      <c r="DT4" s="214"/>
      <c r="DU4" s="215" t="s">
        <v>154</v>
      </c>
      <c r="DV4" s="216"/>
      <c r="DW4" s="209" t="s">
        <v>198</v>
      </c>
      <c r="DX4" s="210"/>
      <c r="DY4" s="209" t="s">
        <v>199</v>
      </c>
      <c r="DZ4" s="210"/>
      <c r="EA4" s="209" t="s">
        <v>153</v>
      </c>
      <c r="EB4" s="210"/>
      <c r="EC4" s="211" t="s">
        <v>152</v>
      </c>
      <c r="ED4" s="212"/>
      <c r="EE4" s="213" t="s">
        <v>155</v>
      </c>
      <c r="EF4" s="214"/>
      <c r="EG4" s="215" t="s">
        <v>154</v>
      </c>
      <c r="EH4" s="216"/>
      <c r="EI4" s="209" t="s">
        <v>198</v>
      </c>
      <c r="EJ4" s="210"/>
      <c r="EK4" s="209" t="s">
        <v>199</v>
      </c>
      <c r="EL4" s="210"/>
      <c r="EM4" s="209" t="s">
        <v>153</v>
      </c>
      <c r="EN4" s="210"/>
      <c r="EO4" s="211" t="s">
        <v>152</v>
      </c>
      <c r="EP4" s="212"/>
      <c r="EQ4" s="213" t="s">
        <v>155</v>
      </c>
      <c r="ER4" s="214"/>
      <c r="ES4" s="215" t="s">
        <v>154</v>
      </c>
      <c r="ET4" s="216"/>
      <c r="EU4" s="209" t="s">
        <v>198</v>
      </c>
      <c r="EV4" s="210"/>
      <c r="EW4" s="209" t="s">
        <v>199</v>
      </c>
      <c r="EX4" s="210"/>
      <c r="EY4" s="209" t="s">
        <v>153</v>
      </c>
      <c r="EZ4" s="210"/>
      <c r="FA4" s="211" t="s">
        <v>152</v>
      </c>
      <c r="FB4" s="212"/>
      <c r="FC4" s="213" t="s">
        <v>155</v>
      </c>
      <c r="FD4" s="214"/>
      <c r="FE4" s="215" t="s">
        <v>154</v>
      </c>
      <c r="FF4" s="216"/>
      <c r="FG4" s="209" t="s">
        <v>198</v>
      </c>
      <c r="FH4" s="210"/>
      <c r="FI4" s="209" t="s">
        <v>199</v>
      </c>
      <c r="FJ4" s="210"/>
      <c r="FK4" s="209" t="s">
        <v>153</v>
      </c>
      <c r="FL4" s="210"/>
      <c r="FM4" s="211" t="s">
        <v>152</v>
      </c>
      <c r="FN4" s="212"/>
      <c r="FO4" s="213" t="s">
        <v>155</v>
      </c>
      <c r="FP4" s="214"/>
      <c r="FQ4" s="215" t="s">
        <v>154</v>
      </c>
      <c r="FR4" s="216"/>
      <c r="FS4" s="209" t="s">
        <v>198</v>
      </c>
      <c r="FT4" s="210"/>
      <c r="FU4" s="209" t="s">
        <v>199</v>
      </c>
      <c r="FV4" s="210"/>
      <c r="FW4" s="209" t="s">
        <v>153</v>
      </c>
      <c r="FX4" s="210"/>
      <c r="FY4" s="211" t="s">
        <v>152</v>
      </c>
      <c r="FZ4" s="212"/>
      <c r="GA4" s="213" t="s">
        <v>155</v>
      </c>
      <c r="GB4" s="214"/>
      <c r="GC4" s="215" t="s">
        <v>154</v>
      </c>
      <c r="GD4" s="216"/>
      <c r="GE4" s="209" t="s">
        <v>198</v>
      </c>
      <c r="GF4" s="210"/>
      <c r="GG4" s="209" t="s">
        <v>199</v>
      </c>
      <c r="GH4" s="210"/>
      <c r="GI4" s="209" t="s">
        <v>153</v>
      </c>
      <c r="GJ4" s="210"/>
      <c r="GK4" s="211" t="s">
        <v>152</v>
      </c>
      <c r="GL4" s="212"/>
      <c r="GM4" s="213" t="s">
        <v>155</v>
      </c>
      <c r="GN4" s="214"/>
      <c r="GO4" s="215" t="s">
        <v>154</v>
      </c>
      <c r="GP4" s="216"/>
      <c r="GQ4" s="209" t="s">
        <v>198</v>
      </c>
      <c r="GR4" s="210"/>
      <c r="GS4" s="209" t="s">
        <v>199</v>
      </c>
      <c r="GT4" s="210"/>
      <c r="GU4" s="209" t="s">
        <v>153</v>
      </c>
      <c r="GV4" s="210"/>
      <c r="GW4" s="211" t="s">
        <v>152</v>
      </c>
      <c r="GX4" s="212"/>
      <c r="GY4" s="213" t="s">
        <v>155</v>
      </c>
      <c r="GZ4" s="214"/>
      <c r="HA4" s="215" t="s">
        <v>154</v>
      </c>
      <c r="HB4" s="216"/>
      <c r="HC4" s="209" t="s">
        <v>198</v>
      </c>
      <c r="HD4" s="210"/>
      <c r="HE4" s="209" t="s">
        <v>199</v>
      </c>
      <c r="HF4" s="210"/>
      <c r="HG4" s="209" t="s">
        <v>153</v>
      </c>
      <c r="HH4" s="210"/>
      <c r="HI4" s="211" t="s">
        <v>152</v>
      </c>
      <c r="HJ4" s="212"/>
      <c r="HK4" s="213" t="s">
        <v>155</v>
      </c>
      <c r="HL4" s="214"/>
      <c r="HM4" s="215" t="s">
        <v>154</v>
      </c>
      <c r="HN4" s="216"/>
      <c r="HO4" s="209" t="s">
        <v>198</v>
      </c>
      <c r="HP4" s="210"/>
      <c r="HQ4" s="209" t="s">
        <v>199</v>
      </c>
      <c r="HR4" s="210"/>
      <c r="HS4" s="209" t="s">
        <v>153</v>
      </c>
      <c r="HT4" s="210"/>
      <c r="HU4" s="211" t="s">
        <v>152</v>
      </c>
      <c r="HV4" s="212"/>
      <c r="HW4" s="213" t="s">
        <v>155</v>
      </c>
      <c r="HX4" s="214"/>
      <c r="HY4" s="215" t="s">
        <v>154</v>
      </c>
      <c r="HZ4" s="216"/>
      <c r="IA4" s="209" t="s">
        <v>198</v>
      </c>
      <c r="IB4" s="210"/>
      <c r="IC4" s="209" t="s">
        <v>199</v>
      </c>
      <c r="ID4" s="210"/>
      <c r="IE4" s="209" t="s">
        <v>153</v>
      </c>
      <c r="IF4" s="210"/>
      <c r="IG4" s="211" t="s">
        <v>152</v>
      </c>
      <c r="IH4" s="212"/>
      <c r="II4" s="213" t="s">
        <v>155</v>
      </c>
      <c r="IJ4" s="214"/>
      <c r="IK4" s="215" t="s">
        <v>154</v>
      </c>
      <c r="IL4" s="216"/>
      <c r="IM4" s="209" t="s">
        <v>198</v>
      </c>
      <c r="IN4" s="210"/>
      <c r="IO4" s="209" t="s">
        <v>199</v>
      </c>
      <c r="IP4" s="210"/>
      <c r="IQ4" s="209" t="s">
        <v>153</v>
      </c>
      <c r="IR4" s="210"/>
      <c r="IS4" s="211" t="s">
        <v>152</v>
      </c>
      <c r="IT4" s="212"/>
      <c r="IU4" s="213" t="s">
        <v>155</v>
      </c>
      <c r="IV4" s="214"/>
      <c r="IW4" s="215" t="s">
        <v>154</v>
      </c>
      <c r="IX4" s="216"/>
      <c r="IY4" s="209" t="s">
        <v>198</v>
      </c>
      <c r="IZ4" s="210"/>
      <c r="JA4" s="209" t="s">
        <v>199</v>
      </c>
      <c r="JB4" s="210"/>
      <c r="JC4" s="209" t="s">
        <v>153</v>
      </c>
      <c r="JD4" s="210"/>
      <c r="JE4" s="211" t="s">
        <v>152</v>
      </c>
      <c r="JF4" s="212"/>
      <c r="JG4" s="213" t="s">
        <v>155</v>
      </c>
      <c r="JH4" s="214"/>
      <c r="JI4" s="215" t="s">
        <v>154</v>
      </c>
      <c r="JJ4" s="216"/>
      <c r="JK4" s="209" t="s">
        <v>198</v>
      </c>
      <c r="JL4" s="210"/>
      <c r="JM4" s="209" t="s">
        <v>199</v>
      </c>
      <c r="JN4" s="210"/>
      <c r="JO4" s="209" t="s">
        <v>153</v>
      </c>
      <c r="JP4" s="210"/>
      <c r="JQ4" s="211" t="s">
        <v>152</v>
      </c>
      <c r="JR4" s="212"/>
      <c r="JS4" s="213" t="s">
        <v>155</v>
      </c>
      <c r="JT4" s="214"/>
      <c r="JU4" s="215" t="s">
        <v>154</v>
      </c>
      <c r="JV4" s="216"/>
      <c r="JW4" s="209" t="s">
        <v>198</v>
      </c>
      <c r="JX4" s="210"/>
      <c r="JY4" s="209" t="s">
        <v>199</v>
      </c>
      <c r="JZ4" s="210"/>
      <c r="KA4" s="209" t="s">
        <v>153</v>
      </c>
      <c r="KB4" s="210"/>
      <c r="KC4" s="211" t="s">
        <v>152</v>
      </c>
      <c r="KD4" s="212"/>
    </row>
    <row r="5" spans="1:290" s="48" customFormat="1" ht="17.5" customHeight="1" x14ac:dyDescent="0.2">
      <c r="A5" s="46"/>
      <c r="B5" s="49"/>
      <c r="C5" s="54" t="s">
        <v>64</v>
      </c>
      <c r="D5" s="54" t="s">
        <v>65</v>
      </c>
      <c r="E5" s="54" t="s">
        <v>64</v>
      </c>
      <c r="F5" s="54" t="s">
        <v>65</v>
      </c>
      <c r="G5" s="54" t="s">
        <v>64</v>
      </c>
      <c r="H5" s="54" t="s">
        <v>65</v>
      </c>
      <c r="I5" s="54" t="s">
        <v>64</v>
      </c>
      <c r="J5" s="54" t="s">
        <v>65</v>
      </c>
      <c r="K5" s="54" t="s">
        <v>64</v>
      </c>
      <c r="L5" s="54" t="s">
        <v>65</v>
      </c>
      <c r="M5" s="54" t="s">
        <v>64</v>
      </c>
      <c r="N5" s="54" t="s">
        <v>65</v>
      </c>
      <c r="O5" s="54" t="s">
        <v>64</v>
      </c>
      <c r="P5" s="54" t="s">
        <v>65</v>
      </c>
      <c r="Q5" s="54" t="s">
        <v>64</v>
      </c>
      <c r="R5" s="54" t="s">
        <v>65</v>
      </c>
      <c r="S5" s="54" t="s">
        <v>64</v>
      </c>
      <c r="T5" s="54" t="s">
        <v>65</v>
      </c>
      <c r="U5" s="54" t="s">
        <v>64</v>
      </c>
      <c r="V5" s="54" t="s">
        <v>65</v>
      </c>
      <c r="W5" s="54" t="s">
        <v>64</v>
      </c>
      <c r="X5" s="54" t="s">
        <v>65</v>
      </c>
      <c r="Y5" s="54" t="s">
        <v>64</v>
      </c>
      <c r="Z5" s="54" t="s">
        <v>65</v>
      </c>
      <c r="AA5" s="54" t="s">
        <v>64</v>
      </c>
      <c r="AB5" s="54" t="s">
        <v>65</v>
      </c>
      <c r="AC5" s="54" t="s">
        <v>64</v>
      </c>
      <c r="AD5" s="54" t="s">
        <v>65</v>
      </c>
      <c r="AE5" s="54" t="s">
        <v>64</v>
      </c>
      <c r="AF5" s="54" t="s">
        <v>65</v>
      </c>
      <c r="AG5" s="54" t="s">
        <v>64</v>
      </c>
      <c r="AH5" s="54" t="s">
        <v>65</v>
      </c>
      <c r="AI5" s="54" t="s">
        <v>64</v>
      </c>
      <c r="AJ5" s="54" t="s">
        <v>65</v>
      </c>
      <c r="AK5" s="54" t="s">
        <v>64</v>
      </c>
      <c r="AL5" s="54" t="s">
        <v>65</v>
      </c>
      <c r="AM5" s="54" t="s">
        <v>64</v>
      </c>
      <c r="AN5" s="54" t="s">
        <v>65</v>
      </c>
      <c r="AO5" s="54" t="s">
        <v>64</v>
      </c>
      <c r="AP5" s="54" t="s">
        <v>65</v>
      </c>
      <c r="AQ5" s="54" t="s">
        <v>64</v>
      </c>
      <c r="AR5" s="54" t="s">
        <v>65</v>
      </c>
      <c r="AS5" s="54" t="s">
        <v>64</v>
      </c>
      <c r="AT5" s="54" t="s">
        <v>65</v>
      </c>
      <c r="AU5" s="54" t="s">
        <v>64</v>
      </c>
      <c r="AV5" s="54" t="s">
        <v>65</v>
      </c>
      <c r="AW5" s="54" t="s">
        <v>64</v>
      </c>
      <c r="AX5" s="54" t="s">
        <v>65</v>
      </c>
      <c r="AY5" s="54" t="s">
        <v>64</v>
      </c>
      <c r="AZ5" s="54" t="s">
        <v>65</v>
      </c>
      <c r="BA5" s="54" t="s">
        <v>64</v>
      </c>
      <c r="BB5" s="54" t="s">
        <v>65</v>
      </c>
      <c r="BC5" s="54" t="s">
        <v>64</v>
      </c>
      <c r="BD5" s="54" t="s">
        <v>65</v>
      </c>
      <c r="BE5" s="54" t="s">
        <v>64</v>
      </c>
      <c r="BF5" s="54" t="s">
        <v>65</v>
      </c>
      <c r="BG5" s="54" t="s">
        <v>64</v>
      </c>
      <c r="BH5" s="54" t="s">
        <v>65</v>
      </c>
      <c r="BI5" s="54" t="s">
        <v>64</v>
      </c>
      <c r="BJ5" s="54" t="s">
        <v>65</v>
      </c>
      <c r="BK5" s="54" t="s">
        <v>64</v>
      </c>
      <c r="BL5" s="54" t="s">
        <v>65</v>
      </c>
      <c r="BM5" s="54" t="s">
        <v>64</v>
      </c>
      <c r="BN5" s="54" t="s">
        <v>65</v>
      </c>
      <c r="BO5" s="54" t="s">
        <v>64</v>
      </c>
      <c r="BP5" s="54" t="s">
        <v>65</v>
      </c>
      <c r="BQ5" s="54" t="s">
        <v>64</v>
      </c>
      <c r="BR5" s="54" t="s">
        <v>65</v>
      </c>
      <c r="BS5" s="54" t="s">
        <v>64</v>
      </c>
      <c r="BT5" s="54" t="s">
        <v>65</v>
      </c>
      <c r="BU5" s="54" t="s">
        <v>64</v>
      </c>
      <c r="BV5" s="54" t="s">
        <v>65</v>
      </c>
      <c r="BW5" s="54" t="s">
        <v>64</v>
      </c>
      <c r="BX5" s="54" t="s">
        <v>65</v>
      </c>
      <c r="BY5" s="54" t="s">
        <v>64</v>
      </c>
      <c r="BZ5" s="54" t="s">
        <v>65</v>
      </c>
      <c r="CA5" s="54" t="s">
        <v>64</v>
      </c>
      <c r="CB5" s="54" t="s">
        <v>65</v>
      </c>
      <c r="CC5" s="54" t="s">
        <v>64</v>
      </c>
      <c r="CD5" s="54" t="s">
        <v>65</v>
      </c>
      <c r="CE5" s="54" t="s">
        <v>64</v>
      </c>
      <c r="CF5" s="54" t="s">
        <v>65</v>
      </c>
      <c r="CG5" s="54" t="s">
        <v>64</v>
      </c>
      <c r="CH5" s="54" t="s">
        <v>65</v>
      </c>
      <c r="CI5" s="54" t="s">
        <v>64</v>
      </c>
      <c r="CJ5" s="54" t="s">
        <v>65</v>
      </c>
      <c r="CK5" s="54" t="s">
        <v>64</v>
      </c>
      <c r="CL5" s="54" t="s">
        <v>65</v>
      </c>
      <c r="CM5" s="54" t="s">
        <v>64</v>
      </c>
      <c r="CN5" s="54" t="s">
        <v>65</v>
      </c>
      <c r="CO5" s="54" t="s">
        <v>64</v>
      </c>
      <c r="CP5" s="54" t="s">
        <v>65</v>
      </c>
      <c r="CQ5" s="54" t="s">
        <v>64</v>
      </c>
      <c r="CR5" s="54" t="s">
        <v>65</v>
      </c>
      <c r="CS5" s="54" t="s">
        <v>64</v>
      </c>
      <c r="CT5" s="54" t="s">
        <v>65</v>
      </c>
      <c r="CU5" s="54" t="s">
        <v>64</v>
      </c>
      <c r="CV5" s="54" t="s">
        <v>65</v>
      </c>
      <c r="CW5" s="54" t="s">
        <v>64</v>
      </c>
      <c r="CX5" s="54" t="s">
        <v>65</v>
      </c>
      <c r="CY5" s="54" t="s">
        <v>64</v>
      </c>
      <c r="CZ5" s="54" t="s">
        <v>65</v>
      </c>
      <c r="DA5" s="54" t="s">
        <v>64</v>
      </c>
      <c r="DB5" s="54" t="s">
        <v>65</v>
      </c>
      <c r="DC5" s="54" t="s">
        <v>64</v>
      </c>
      <c r="DD5" s="54" t="s">
        <v>65</v>
      </c>
      <c r="DE5" s="54" t="s">
        <v>64</v>
      </c>
      <c r="DF5" s="54" t="s">
        <v>65</v>
      </c>
      <c r="DG5" s="54" t="s">
        <v>64</v>
      </c>
      <c r="DH5" s="54" t="s">
        <v>65</v>
      </c>
      <c r="DI5" s="54" t="s">
        <v>64</v>
      </c>
      <c r="DJ5" s="54" t="s">
        <v>65</v>
      </c>
      <c r="DK5" s="54" t="s">
        <v>64</v>
      </c>
      <c r="DL5" s="54" t="s">
        <v>65</v>
      </c>
      <c r="DM5" s="54" t="s">
        <v>64</v>
      </c>
      <c r="DN5" s="54" t="s">
        <v>65</v>
      </c>
      <c r="DO5" s="54" t="s">
        <v>64</v>
      </c>
      <c r="DP5" s="54" t="s">
        <v>65</v>
      </c>
      <c r="DQ5" s="54" t="s">
        <v>64</v>
      </c>
      <c r="DR5" s="54" t="s">
        <v>65</v>
      </c>
      <c r="DS5" s="54" t="s">
        <v>64</v>
      </c>
      <c r="DT5" s="54" t="s">
        <v>65</v>
      </c>
      <c r="DU5" s="54" t="s">
        <v>64</v>
      </c>
      <c r="DV5" s="54" t="s">
        <v>65</v>
      </c>
      <c r="DW5" s="54" t="s">
        <v>64</v>
      </c>
      <c r="DX5" s="54" t="s">
        <v>65</v>
      </c>
      <c r="DY5" s="54" t="s">
        <v>64</v>
      </c>
      <c r="DZ5" s="54" t="s">
        <v>65</v>
      </c>
      <c r="EA5" s="54" t="s">
        <v>64</v>
      </c>
      <c r="EB5" s="54" t="s">
        <v>65</v>
      </c>
      <c r="EC5" s="54" t="s">
        <v>64</v>
      </c>
      <c r="ED5" s="54" t="s">
        <v>65</v>
      </c>
      <c r="EE5" s="54" t="s">
        <v>64</v>
      </c>
      <c r="EF5" s="54" t="s">
        <v>65</v>
      </c>
      <c r="EG5" s="54" t="s">
        <v>64</v>
      </c>
      <c r="EH5" s="54" t="s">
        <v>65</v>
      </c>
      <c r="EI5" s="54" t="s">
        <v>64</v>
      </c>
      <c r="EJ5" s="54" t="s">
        <v>65</v>
      </c>
      <c r="EK5" s="54" t="s">
        <v>64</v>
      </c>
      <c r="EL5" s="54" t="s">
        <v>65</v>
      </c>
      <c r="EM5" s="54" t="s">
        <v>64</v>
      </c>
      <c r="EN5" s="54" t="s">
        <v>65</v>
      </c>
      <c r="EO5" s="54" t="s">
        <v>64</v>
      </c>
      <c r="EP5" s="54" t="s">
        <v>65</v>
      </c>
      <c r="EQ5" s="54" t="s">
        <v>64</v>
      </c>
      <c r="ER5" s="54" t="s">
        <v>65</v>
      </c>
      <c r="ES5" s="54" t="s">
        <v>64</v>
      </c>
      <c r="ET5" s="54" t="s">
        <v>65</v>
      </c>
      <c r="EU5" s="54" t="s">
        <v>64</v>
      </c>
      <c r="EV5" s="54" t="s">
        <v>65</v>
      </c>
      <c r="EW5" s="54" t="s">
        <v>64</v>
      </c>
      <c r="EX5" s="54" t="s">
        <v>65</v>
      </c>
      <c r="EY5" s="54" t="s">
        <v>64</v>
      </c>
      <c r="EZ5" s="54" t="s">
        <v>65</v>
      </c>
      <c r="FA5" s="54" t="s">
        <v>64</v>
      </c>
      <c r="FB5" s="54" t="s">
        <v>65</v>
      </c>
      <c r="FC5" s="54" t="s">
        <v>64</v>
      </c>
      <c r="FD5" s="54" t="s">
        <v>65</v>
      </c>
      <c r="FE5" s="54" t="s">
        <v>64</v>
      </c>
      <c r="FF5" s="54" t="s">
        <v>65</v>
      </c>
      <c r="FG5" s="54" t="s">
        <v>64</v>
      </c>
      <c r="FH5" s="54" t="s">
        <v>65</v>
      </c>
      <c r="FI5" s="54" t="s">
        <v>64</v>
      </c>
      <c r="FJ5" s="54" t="s">
        <v>65</v>
      </c>
      <c r="FK5" s="54" t="s">
        <v>64</v>
      </c>
      <c r="FL5" s="54" t="s">
        <v>65</v>
      </c>
      <c r="FM5" s="54" t="s">
        <v>64</v>
      </c>
      <c r="FN5" s="54" t="s">
        <v>65</v>
      </c>
      <c r="FO5" s="54" t="s">
        <v>64</v>
      </c>
      <c r="FP5" s="54" t="s">
        <v>65</v>
      </c>
      <c r="FQ5" s="54" t="s">
        <v>64</v>
      </c>
      <c r="FR5" s="54" t="s">
        <v>65</v>
      </c>
      <c r="FS5" s="54" t="s">
        <v>64</v>
      </c>
      <c r="FT5" s="54" t="s">
        <v>65</v>
      </c>
      <c r="FU5" s="54" t="s">
        <v>64</v>
      </c>
      <c r="FV5" s="54" t="s">
        <v>65</v>
      </c>
      <c r="FW5" s="54" t="s">
        <v>64</v>
      </c>
      <c r="FX5" s="54" t="s">
        <v>65</v>
      </c>
      <c r="FY5" s="54" t="s">
        <v>64</v>
      </c>
      <c r="FZ5" s="54" t="s">
        <v>65</v>
      </c>
      <c r="GA5" s="54" t="s">
        <v>64</v>
      </c>
      <c r="GB5" s="54" t="s">
        <v>65</v>
      </c>
      <c r="GC5" s="54" t="s">
        <v>64</v>
      </c>
      <c r="GD5" s="54" t="s">
        <v>65</v>
      </c>
      <c r="GE5" s="54" t="s">
        <v>64</v>
      </c>
      <c r="GF5" s="54" t="s">
        <v>65</v>
      </c>
      <c r="GG5" s="54" t="s">
        <v>64</v>
      </c>
      <c r="GH5" s="54" t="s">
        <v>65</v>
      </c>
      <c r="GI5" s="54" t="s">
        <v>64</v>
      </c>
      <c r="GJ5" s="54" t="s">
        <v>65</v>
      </c>
      <c r="GK5" s="54" t="s">
        <v>64</v>
      </c>
      <c r="GL5" s="54" t="s">
        <v>65</v>
      </c>
      <c r="GM5" s="54" t="s">
        <v>64</v>
      </c>
      <c r="GN5" s="54" t="s">
        <v>65</v>
      </c>
      <c r="GO5" s="54" t="s">
        <v>64</v>
      </c>
      <c r="GP5" s="54" t="s">
        <v>65</v>
      </c>
      <c r="GQ5" s="54" t="s">
        <v>64</v>
      </c>
      <c r="GR5" s="54" t="s">
        <v>65</v>
      </c>
      <c r="GS5" s="54" t="s">
        <v>64</v>
      </c>
      <c r="GT5" s="54" t="s">
        <v>65</v>
      </c>
      <c r="GU5" s="54" t="s">
        <v>64</v>
      </c>
      <c r="GV5" s="54" t="s">
        <v>65</v>
      </c>
      <c r="GW5" s="54" t="s">
        <v>64</v>
      </c>
      <c r="GX5" s="54" t="s">
        <v>65</v>
      </c>
      <c r="GY5" s="54" t="s">
        <v>64</v>
      </c>
      <c r="GZ5" s="54" t="s">
        <v>65</v>
      </c>
      <c r="HA5" s="54" t="s">
        <v>64</v>
      </c>
      <c r="HB5" s="54" t="s">
        <v>65</v>
      </c>
      <c r="HC5" s="54" t="s">
        <v>64</v>
      </c>
      <c r="HD5" s="54" t="s">
        <v>65</v>
      </c>
      <c r="HE5" s="54" t="s">
        <v>64</v>
      </c>
      <c r="HF5" s="54" t="s">
        <v>65</v>
      </c>
      <c r="HG5" s="54" t="s">
        <v>64</v>
      </c>
      <c r="HH5" s="54" t="s">
        <v>65</v>
      </c>
      <c r="HI5" s="54" t="s">
        <v>64</v>
      </c>
      <c r="HJ5" s="54" t="s">
        <v>65</v>
      </c>
      <c r="HK5" s="54" t="s">
        <v>64</v>
      </c>
      <c r="HL5" s="54" t="s">
        <v>65</v>
      </c>
      <c r="HM5" s="54" t="s">
        <v>64</v>
      </c>
      <c r="HN5" s="54" t="s">
        <v>65</v>
      </c>
      <c r="HO5" s="54" t="s">
        <v>64</v>
      </c>
      <c r="HP5" s="54" t="s">
        <v>65</v>
      </c>
      <c r="HQ5" s="54" t="s">
        <v>64</v>
      </c>
      <c r="HR5" s="54" t="s">
        <v>65</v>
      </c>
      <c r="HS5" s="54" t="s">
        <v>64</v>
      </c>
      <c r="HT5" s="54" t="s">
        <v>65</v>
      </c>
      <c r="HU5" s="54" t="s">
        <v>64</v>
      </c>
      <c r="HV5" s="54" t="s">
        <v>65</v>
      </c>
      <c r="HW5" s="54" t="s">
        <v>64</v>
      </c>
      <c r="HX5" s="54" t="s">
        <v>65</v>
      </c>
      <c r="HY5" s="54" t="s">
        <v>64</v>
      </c>
      <c r="HZ5" s="54" t="s">
        <v>65</v>
      </c>
      <c r="IA5" s="54" t="s">
        <v>64</v>
      </c>
      <c r="IB5" s="54" t="s">
        <v>65</v>
      </c>
      <c r="IC5" s="54" t="s">
        <v>64</v>
      </c>
      <c r="ID5" s="54" t="s">
        <v>65</v>
      </c>
      <c r="IE5" s="54" t="s">
        <v>64</v>
      </c>
      <c r="IF5" s="54" t="s">
        <v>65</v>
      </c>
      <c r="IG5" s="54" t="s">
        <v>64</v>
      </c>
      <c r="IH5" s="54" t="s">
        <v>65</v>
      </c>
      <c r="II5" s="54" t="s">
        <v>64</v>
      </c>
      <c r="IJ5" s="54" t="s">
        <v>65</v>
      </c>
      <c r="IK5" s="54" t="s">
        <v>64</v>
      </c>
      <c r="IL5" s="54" t="s">
        <v>65</v>
      </c>
      <c r="IM5" s="54" t="s">
        <v>64</v>
      </c>
      <c r="IN5" s="54" t="s">
        <v>65</v>
      </c>
      <c r="IO5" s="54" t="s">
        <v>64</v>
      </c>
      <c r="IP5" s="54" t="s">
        <v>65</v>
      </c>
      <c r="IQ5" s="54" t="s">
        <v>64</v>
      </c>
      <c r="IR5" s="54" t="s">
        <v>65</v>
      </c>
      <c r="IS5" s="54" t="s">
        <v>64</v>
      </c>
      <c r="IT5" s="54" t="s">
        <v>65</v>
      </c>
      <c r="IU5" s="54" t="s">
        <v>64</v>
      </c>
      <c r="IV5" s="54" t="s">
        <v>65</v>
      </c>
      <c r="IW5" s="54" t="s">
        <v>64</v>
      </c>
      <c r="IX5" s="54" t="s">
        <v>65</v>
      </c>
      <c r="IY5" s="54" t="s">
        <v>64</v>
      </c>
      <c r="IZ5" s="54" t="s">
        <v>65</v>
      </c>
      <c r="JA5" s="54" t="s">
        <v>64</v>
      </c>
      <c r="JB5" s="54" t="s">
        <v>65</v>
      </c>
      <c r="JC5" s="54" t="s">
        <v>64</v>
      </c>
      <c r="JD5" s="54" t="s">
        <v>65</v>
      </c>
      <c r="JE5" s="54" t="s">
        <v>64</v>
      </c>
      <c r="JF5" s="54" t="s">
        <v>65</v>
      </c>
      <c r="JG5" s="54" t="s">
        <v>64</v>
      </c>
      <c r="JH5" s="54" t="s">
        <v>65</v>
      </c>
      <c r="JI5" s="54" t="s">
        <v>64</v>
      </c>
      <c r="JJ5" s="54" t="s">
        <v>65</v>
      </c>
      <c r="JK5" s="54" t="s">
        <v>64</v>
      </c>
      <c r="JL5" s="54" t="s">
        <v>65</v>
      </c>
      <c r="JM5" s="54" t="s">
        <v>64</v>
      </c>
      <c r="JN5" s="54" t="s">
        <v>65</v>
      </c>
      <c r="JO5" s="54" t="s">
        <v>64</v>
      </c>
      <c r="JP5" s="54" t="s">
        <v>65</v>
      </c>
      <c r="JQ5" s="54" t="s">
        <v>64</v>
      </c>
      <c r="JR5" s="54" t="s">
        <v>65</v>
      </c>
      <c r="JS5" s="54" t="s">
        <v>64</v>
      </c>
      <c r="JT5" s="54" t="s">
        <v>65</v>
      </c>
      <c r="JU5" s="54" t="s">
        <v>64</v>
      </c>
      <c r="JV5" s="54" t="s">
        <v>65</v>
      </c>
      <c r="JW5" s="54" t="s">
        <v>64</v>
      </c>
      <c r="JX5" s="54" t="s">
        <v>65</v>
      </c>
      <c r="JY5" s="54" t="s">
        <v>64</v>
      </c>
      <c r="JZ5" s="54" t="s">
        <v>65</v>
      </c>
      <c r="KA5" s="54" t="s">
        <v>64</v>
      </c>
      <c r="KB5" s="54" t="s">
        <v>65</v>
      </c>
      <c r="KC5" s="54" t="s">
        <v>64</v>
      </c>
      <c r="KD5" s="54" t="s">
        <v>65</v>
      </c>
    </row>
    <row r="6" spans="1:290" ht="15" x14ac:dyDescent="0.25">
      <c r="A6" s="50">
        <v>46174</v>
      </c>
      <c r="B6" s="51"/>
      <c r="C6" s="55">
        <f>'1'!$BN$6</f>
        <v>0</v>
      </c>
      <c r="D6" s="55">
        <f>'1'!$BO$6</f>
        <v>0</v>
      </c>
      <c r="E6" s="55">
        <f>'1'!$BP$6</f>
        <v>0</v>
      </c>
      <c r="F6" s="55">
        <f>'1'!$BQ$6</f>
        <v>0</v>
      </c>
      <c r="G6" s="55">
        <f>'1'!$BR$6</f>
        <v>0</v>
      </c>
      <c r="H6" s="55">
        <f>'1'!$BS$6</f>
        <v>0</v>
      </c>
      <c r="I6" s="55">
        <f>'1'!$BT$6</f>
        <v>0</v>
      </c>
      <c r="J6" s="55">
        <f>'1'!$BU$6</f>
        <v>0</v>
      </c>
      <c r="K6" s="55">
        <f>'1'!$BV$6</f>
        <v>0</v>
      </c>
      <c r="L6" s="55">
        <f>'1'!$BW$6</f>
        <v>0</v>
      </c>
      <c r="M6" s="55">
        <f>'1'!$BX$6</f>
        <v>0</v>
      </c>
      <c r="N6" s="55">
        <f>'1'!$BY$6</f>
        <v>0</v>
      </c>
      <c r="O6" s="55">
        <f>'1'!$BN$7</f>
        <v>0</v>
      </c>
      <c r="P6" s="55">
        <f>'1'!$BO$7</f>
        <v>0</v>
      </c>
      <c r="Q6" s="55">
        <f>'1'!$BP$7</f>
        <v>0</v>
      </c>
      <c r="R6" s="55">
        <f>'1'!$BQ$7</f>
        <v>0</v>
      </c>
      <c r="S6" s="55">
        <f>'1'!$BR$7</f>
        <v>0</v>
      </c>
      <c r="T6" s="55">
        <f>'1'!$BS$7</f>
        <v>0</v>
      </c>
      <c r="U6" s="55">
        <f>'1'!$BT$7</f>
        <v>0</v>
      </c>
      <c r="V6" s="55">
        <f>'1'!$BU$7</f>
        <v>0</v>
      </c>
      <c r="W6" s="55">
        <f>'1'!$BV$7</f>
        <v>0</v>
      </c>
      <c r="X6" s="55">
        <f>'1'!$BW$7</f>
        <v>0</v>
      </c>
      <c r="Y6" s="55">
        <f>'1'!$BX$7</f>
        <v>0</v>
      </c>
      <c r="Z6" s="55">
        <f>'1'!$BY$7</f>
        <v>0</v>
      </c>
      <c r="AA6" s="55">
        <f>'1'!$BN$8</f>
        <v>0</v>
      </c>
      <c r="AB6" s="55">
        <f>'1'!$BO$8</f>
        <v>0</v>
      </c>
      <c r="AC6" s="55">
        <f>'1'!$BP$8</f>
        <v>0</v>
      </c>
      <c r="AD6" s="55">
        <f>'1'!$BQ$8</f>
        <v>0</v>
      </c>
      <c r="AE6" s="55">
        <f>'1'!$BR$8</f>
        <v>0</v>
      </c>
      <c r="AF6" s="55">
        <f>'1'!$BS$8</f>
        <v>0</v>
      </c>
      <c r="AG6" s="55">
        <f>'1'!$BT$8</f>
        <v>0</v>
      </c>
      <c r="AH6" s="55">
        <f>'1'!$BU$8</f>
        <v>0</v>
      </c>
      <c r="AI6" s="55">
        <f>'1'!$BV$8</f>
        <v>0</v>
      </c>
      <c r="AJ6" s="55">
        <f>'1'!$BW$8</f>
        <v>0</v>
      </c>
      <c r="AK6" s="55">
        <f>'1'!$BX$8</f>
        <v>0</v>
      </c>
      <c r="AL6" s="55">
        <f>'1'!$BY$8</f>
        <v>0</v>
      </c>
      <c r="AM6" s="55">
        <f>'1'!$BN$9</f>
        <v>0</v>
      </c>
      <c r="AN6" s="55">
        <f>'1'!$BO$9</f>
        <v>0</v>
      </c>
      <c r="AO6" s="55">
        <f>'1'!$BP$9</f>
        <v>0</v>
      </c>
      <c r="AP6" s="55">
        <f>'1'!$BQ$9</f>
        <v>0</v>
      </c>
      <c r="AQ6" s="55">
        <f>'1'!$BR$9</f>
        <v>0</v>
      </c>
      <c r="AR6" s="55">
        <f>'1'!$BS$9</f>
        <v>0</v>
      </c>
      <c r="AS6" s="55">
        <f>'1'!$BT$9</f>
        <v>0</v>
      </c>
      <c r="AT6" s="55">
        <f>'1'!$BU$9</f>
        <v>0</v>
      </c>
      <c r="AU6" s="55">
        <f>'1'!$BV$9</f>
        <v>0</v>
      </c>
      <c r="AV6" s="55">
        <f>'1'!$BW$9</f>
        <v>0</v>
      </c>
      <c r="AW6" s="55">
        <f>'1'!$BX$9</f>
        <v>0</v>
      </c>
      <c r="AX6" s="55">
        <f>'1'!$BY$9</f>
        <v>0</v>
      </c>
      <c r="AY6" s="55">
        <f>'1'!$BN$10</f>
        <v>0</v>
      </c>
      <c r="AZ6" s="55">
        <f>'1'!$BO$10</f>
        <v>0</v>
      </c>
      <c r="BA6" s="55">
        <f>'1'!$BP$10</f>
        <v>0</v>
      </c>
      <c r="BB6" s="55">
        <f>'1'!$BQ$10</f>
        <v>0</v>
      </c>
      <c r="BC6" s="55">
        <f>'1'!$BR$10</f>
        <v>0</v>
      </c>
      <c r="BD6" s="55">
        <f>'1'!$BS$10</f>
        <v>0</v>
      </c>
      <c r="BE6" s="55">
        <f>'1'!$BT$10</f>
        <v>0</v>
      </c>
      <c r="BF6" s="55">
        <f>'1'!$BU$10</f>
        <v>0</v>
      </c>
      <c r="BG6" s="55">
        <f>'1'!$BV$10</f>
        <v>0</v>
      </c>
      <c r="BH6" s="55">
        <f>'1'!$BW$10</f>
        <v>0</v>
      </c>
      <c r="BI6" s="55">
        <f>'1'!$BX$10</f>
        <v>0</v>
      </c>
      <c r="BJ6" s="55">
        <f>'1'!$BY$10</f>
        <v>0</v>
      </c>
      <c r="BK6" s="55">
        <f>'1'!$BN$11</f>
        <v>0</v>
      </c>
      <c r="BL6" s="55">
        <f>'1'!$BO$11</f>
        <v>0</v>
      </c>
      <c r="BM6" s="55">
        <f>'1'!$BP$11</f>
        <v>0</v>
      </c>
      <c r="BN6" s="55">
        <f>'1'!$BQ$11</f>
        <v>0</v>
      </c>
      <c r="BO6" s="55">
        <f>'1'!$BR$11</f>
        <v>0</v>
      </c>
      <c r="BP6" s="55">
        <f>'1'!$BS$11</f>
        <v>0</v>
      </c>
      <c r="BQ6" s="55">
        <f>'1'!$BT$11</f>
        <v>0</v>
      </c>
      <c r="BR6" s="55">
        <f>'1'!$BU$11</f>
        <v>0</v>
      </c>
      <c r="BS6" s="55">
        <f>'1'!$BV$11</f>
        <v>0</v>
      </c>
      <c r="BT6" s="55">
        <f>'1'!$BW$11</f>
        <v>0</v>
      </c>
      <c r="BU6" s="55">
        <f>'1'!$BX$11</f>
        <v>0</v>
      </c>
      <c r="BV6" s="55">
        <f>'1'!$BY$11</f>
        <v>0</v>
      </c>
      <c r="BW6" s="55">
        <f>'1'!$BN$12</f>
        <v>0</v>
      </c>
      <c r="BX6" s="55">
        <f>'1'!$BO$12</f>
        <v>0</v>
      </c>
      <c r="BY6" s="55">
        <f>'1'!$BP$12</f>
        <v>0</v>
      </c>
      <c r="BZ6" s="55">
        <f>'1'!$BQ$12</f>
        <v>0</v>
      </c>
      <c r="CA6" s="55">
        <f>'1'!$BR$12</f>
        <v>0</v>
      </c>
      <c r="CB6" s="55">
        <f>'1'!$BS$12</f>
        <v>0</v>
      </c>
      <c r="CC6" s="55">
        <f>'1'!$BT$12</f>
        <v>0</v>
      </c>
      <c r="CD6" s="55">
        <f>'1'!$BU$12</f>
        <v>0</v>
      </c>
      <c r="CE6" s="55">
        <f>'1'!$BV$12</f>
        <v>0</v>
      </c>
      <c r="CF6" s="55">
        <f>'1'!$BW$12</f>
        <v>0</v>
      </c>
      <c r="CG6" s="55">
        <f>'1'!$BX$12</f>
        <v>0</v>
      </c>
      <c r="CH6" s="55">
        <f>'1'!$BY$12</f>
        <v>0</v>
      </c>
      <c r="CI6" s="55">
        <f>'1'!$BN$13</f>
        <v>0</v>
      </c>
      <c r="CJ6" s="55">
        <f>'1'!$BO$13</f>
        <v>0</v>
      </c>
      <c r="CK6" s="55">
        <f>'1'!$BP$13</f>
        <v>0</v>
      </c>
      <c r="CL6" s="55">
        <f>'1'!$BQ$13</f>
        <v>0</v>
      </c>
      <c r="CM6" s="55">
        <f>'1'!$BR$13</f>
        <v>0</v>
      </c>
      <c r="CN6" s="55">
        <f>'1'!$BS$13</f>
        <v>0</v>
      </c>
      <c r="CO6" s="55">
        <f>'1'!$BT$13</f>
        <v>0</v>
      </c>
      <c r="CP6" s="55">
        <f>'1'!$BU$13</f>
        <v>0</v>
      </c>
      <c r="CQ6" s="55">
        <f>'1'!$BV$13</f>
        <v>0</v>
      </c>
      <c r="CR6" s="55">
        <f>'1'!$BW$13</f>
        <v>0</v>
      </c>
      <c r="CS6" s="55">
        <f>'1'!$BX$13</f>
        <v>0</v>
      </c>
      <c r="CT6" s="55">
        <f>'1'!$BY$13</f>
        <v>0</v>
      </c>
      <c r="CU6" s="55">
        <f>'1'!$BN$14</f>
        <v>0</v>
      </c>
      <c r="CV6" s="55">
        <f>'1'!$BO$14</f>
        <v>0</v>
      </c>
      <c r="CW6" s="55">
        <f>'1'!$BP$14</f>
        <v>0</v>
      </c>
      <c r="CX6" s="55">
        <f>'1'!$BQ$14</f>
        <v>0</v>
      </c>
      <c r="CY6" s="55">
        <f>'1'!$BR$14</f>
        <v>0</v>
      </c>
      <c r="CZ6" s="55">
        <f>'1'!$BS$14</f>
        <v>0</v>
      </c>
      <c r="DA6" s="55">
        <f>'1'!$BT$14</f>
        <v>0</v>
      </c>
      <c r="DB6" s="55">
        <f>'1'!$BU$14</f>
        <v>0</v>
      </c>
      <c r="DC6" s="55">
        <f>'1'!$BV$14</f>
        <v>0</v>
      </c>
      <c r="DD6" s="55">
        <f>'1'!$BW$14</f>
        <v>0</v>
      </c>
      <c r="DE6" s="55">
        <f>'1'!$BX$14</f>
        <v>0</v>
      </c>
      <c r="DF6" s="55">
        <f>'1'!$BY$14</f>
        <v>0</v>
      </c>
      <c r="DG6" s="55">
        <f>'1'!$BN$15</f>
        <v>0</v>
      </c>
      <c r="DH6" s="55">
        <f>'1'!$BO$15</f>
        <v>0</v>
      </c>
      <c r="DI6" s="55">
        <f>'1'!$BP$15</f>
        <v>0</v>
      </c>
      <c r="DJ6" s="55">
        <f>'1'!$BQ$15</f>
        <v>0</v>
      </c>
      <c r="DK6" s="55">
        <f>'1'!$BR$15</f>
        <v>0</v>
      </c>
      <c r="DL6" s="55">
        <f>'1'!$BS$15</f>
        <v>0</v>
      </c>
      <c r="DM6" s="55">
        <f>'1'!$BT$15</f>
        <v>0</v>
      </c>
      <c r="DN6" s="55">
        <f>'1'!$BU$15</f>
        <v>0</v>
      </c>
      <c r="DO6" s="55">
        <f>'1'!$BV$15</f>
        <v>0</v>
      </c>
      <c r="DP6" s="55">
        <f>'1'!$BW$15</f>
        <v>0</v>
      </c>
      <c r="DQ6" s="55">
        <f>'1'!$BX$15</f>
        <v>0</v>
      </c>
      <c r="DR6" s="55">
        <f>'1'!$BY$15</f>
        <v>0</v>
      </c>
      <c r="DS6" s="55">
        <f>'1'!$BN$16</f>
        <v>0</v>
      </c>
      <c r="DT6" s="55">
        <f>'1'!$BO$16</f>
        <v>0</v>
      </c>
      <c r="DU6" s="55">
        <f>'1'!$BP$16</f>
        <v>0</v>
      </c>
      <c r="DV6" s="55">
        <f>'1'!$BQ$16</f>
        <v>0</v>
      </c>
      <c r="DW6" s="55">
        <f>'1'!$BR$16</f>
        <v>0</v>
      </c>
      <c r="DX6" s="55">
        <f>'1'!$BS$16</f>
        <v>0</v>
      </c>
      <c r="DY6" s="55">
        <f>'1'!$BT$16</f>
        <v>0</v>
      </c>
      <c r="DZ6" s="55">
        <f>'1'!$BU$16</f>
        <v>0</v>
      </c>
      <c r="EA6" s="55">
        <f>'1'!$BV$16</f>
        <v>0</v>
      </c>
      <c r="EB6" s="55">
        <f>'1'!$BW$16</f>
        <v>0</v>
      </c>
      <c r="EC6" s="55">
        <f>'1'!$BX$16</f>
        <v>0</v>
      </c>
      <c r="ED6" s="55">
        <f>'1'!$BY$16</f>
        <v>0</v>
      </c>
      <c r="EE6" s="55">
        <f>'1'!$BN$17</f>
        <v>0</v>
      </c>
      <c r="EF6" s="55">
        <f>'1'!$BO$17</f>
        <v>0</v>
      </c>
      <c r="EG6" s="55">
        <f>'1'!$BP$17</f>
        <v>0</v>
      </c>
      <c r="EH6" s="55">
        <f>'1'!$BQ$17</f>
        <v>0</v>
      </c>
      <c r="EI6" s="55">
        <f>'1'!$BR$17</f>
        <v>0</v>
      </c>
      <c r="EJ6" s="55">
        <f>'1'!$BS$17</f>
        <v>0</v>
      </c>
      <c r="EK6" s="55">
        <f>'1'!$BT$17</f>
        <v>0</v>
      </c>
      <c r="EL6" s="55">
        <f>'1'!$BU$17</f>
        <v>0</v>
      </c>
      <c r="EM6" s="55">
        <f>'1'!$BV$17</f>
        <v>0</v>
      </c>
      <c r="EN6" s="55">
        <f>'1'!$BW$17</f>
        <v>0</v>
      </c>
      <c r="EO6" s="55">
        <f>'1'!$BX$17</f>
        <v>0</v>
      </c>
      <c r="EP6" s="55">
        <f>'1'!$BY$17</f>
        <v>0</v>
      </c>
      <c r="EQ6" s="55">
        <f>'1'!$BN$18</f>
        <v>0</v>
      </c>
      <c r="ER6" s="55">
        <f>'1'!$BO$18</f>
        <v>0</v>
      </c>
      <c r="ES6" s="55">
        <f>'1'!$BP$18</f>
        <v>0</v>
      </c>
      <c r="ET6" s="55">
        <f>'1'!$BQ$18</f>
        <v>0</v>
      </c>
      <c r="EU6" s="55">
        <f>'1'!$BR$18</f>
        <v>0</v>
      </c>
      <c r="EV6" s="55">
        <f>'1'!$BS$18</f>
        <v>0</v>
      </c>
      <c r="EW6" s="55">
        <f>'1'!$BT$18</f>
        <v>0</v>
      </c>
      <c r="EX6" s="55">
        <f>'1'!$BU$18</f>
        <v>0</v>
      </c>
      <c r="EY6" s="55">
        <f>'1'!$BV$18</f>
        <v>0</v>
      </c>
      <c r="EZ6" s="55">
        <f>'1'!$BW$18</f>
        <v>0</v>
      </c>
      <c r="FA6" s="55">
        <f>'1'!$BX$18</f>
        <v>0</v>
      </c>
      <c r="FB6" s="55">
        <f>'1'!$BY$18</f>
        <v>0</v>
      </c>
      <c r="FC6" s="55">
        <f>'1'!$BN$19</f>
        <v>0</v>
      </c>
      <c r="FD6" s="55">
        <f>'1'!$BO$19</f>
        <v>0</v>
      </c>
      <c r="FE6" s="55">
        <f>'1'!$BP$19</f>
        <v>0</v>
      </c>
      <c r="FF6" s="55">
        <f>'1'!$BQ$19</f>
        <v>0</v>
      </c>
      <c r="FG6" s="55">
        <f>'1'!$BR$19</f>
        <v>0</v>
      </c>
      <c r="FH6" s="55">
        <f>'1'!$BS$19</f>
        <v>0</v>
      </c>
      <c r="FI6" s="55">
        <f>'1'!$BT$19</f>
        <v>0</v>
      </c>
      <c r="FJ6" s="55">
        <f>'1'!$BU$19</f>
        <v>0</v>
      </c>
      <c r="FK6" s="55">
        <f>'1'!$BV$19</f>
        <v>0</v>
      </c>
      <c r="FL6" s="55">
        <f>'1'!$BW$19</f>
        <v>0</v>
      </c>
      <c r="FM6" s="55">
        <f>'1'!$BX$19</f>
        <v>0</v>
      </c>
      <c r="FN6" s="55">
        <f>'1'!$BY$19</f>
        <v>0</v>
      </c>
      <c r="FO6" s="55">
        <f>'1'!$BN$20</f>
        <v>0</v>
      </c>
      <c r="FP6" s="55">
        <f>'1'!$BO$20</f>
        <v>0</v>
      </c>
      <c r="FQ6" s="55">
        <f>'1'!$BP$20</f>
        <v>0</v>
      </c>
      <c r="FR6" s="55">
        <f>'1'!$BQ$20</f>
        <v>0</v>
      </c>
      <c r="FS6" s="55">
        <f>'1'!$BR$20</f>
        <v>0</v>
      </c>
      <c r="FT6" s="55">
        <f>'1'!$BS$20</f>
        <v>0</v>
      </c>
      <c r="FU6" s="55">
        <f>'1'!$BT$20</f>
        <v>0</v>
      </c>
      <c r="FV6" s="55">
        <f>'1'!$BU$20</f>
        <v>0</v>
      </c>
      <c r="FW6" s="55">
        <f>'1'!$BV$20</f>
        <v>0</v>
      </c>
      <c r="FX6" s="55">
        <f>'1'!$BW$20</f>
        <v>0</v>
      </c>
      <c r="FY6" s="55">
        <f>'1'!$BX$20</f>
        <v>0</v>
      </c>
      <c r="FZ6" s="55">
        <f>'1'!$BY$20</f>
        <v>0</v>
      </c>
      <c r="GA6" s="55">
        <f>'1'!$BN$21</f>
        <v>0</v>
      </c>
      <c r="GB6" s="55">
        <f>'1'!$BO$21</f>
        <v>0</v>
      </c>
      <c r="GC6" s="55">
        <f>'1'!$BP$21</f>
        <v>0</v>
      </c>
      <c r="GD6" s="55">
        <f>'1'!$BQ$21</f>
        <v>0</v>
      </c>
      <c r="GE6" s="55">
        <f>'1'!$BR$21</f>
        <v>0</v>
      </c>
      <c r="GF6" s="55">
        <f>'1'!$BS$21</f>
        <v>0</v>
      </c>
      <c r="GG6" s="55">
        <f>'1'!$BT$21</f>
        <v>0</v>
      </c>
      <c r="GH6" s="55">
        <f>'1'!$BU$21</f>
        <v>0</v>
      </c>
      <c r="GI6" s="55">
        <f>'1'!$BV$21</f>
        <v>0</v>
      </c>
      <c r="GJ6" s="55">
        <f>'1'!$BW$21</f>
        <v>0</v>
      </c>
      <c r="GK6" s="55">
        <f>'1'!$BX$21</f>
        <v>0</v>
      </c>
      <c r="GL6" s="55">
        <f>'1'!$BY$21</f>
        <v>0</v>
      </c>
      <c r="GM6" s="55">
        <f>'1'!$BN$22</f>
        <v>0</v>
      </c>
      <c r="GN6" s="55">
        <f>'1'!$BO$22</f>
        <v>0</v>
      </c>
      <c r="GO6" s="55">
        <f>'1'!$BP$22</f>
        <v>0</v>
      </c>
      <c r="GP6" s="55">
        <f>'1'!$BQ$22</f>
        <v>0</v>
      </c>
      <c r="GQ6" s="55">
        <f>'1'!$BR$22</f>
        <v>0</v>
      </c>
      <c r="GR6" s="55">
        <f>'1'!$BS$22</f>
        <v>0</v>
      </c>
      <c r="GS6" s="55">
        <f>'1'!$BT$22</f>
        <v>0</v>
      </c>
      <c r="GT6" s="55">
        <f>'1'!$BU$22</f>
        <v>0</v>
      </c>
      <c r="GU6" s="55">
        <f>'1'!$BV$22</f>
        <v>0</v>
      </c>
      <c r="GV6" s="55">
        <f>'1'!$BW$22</f>
        <v>0</v>
      </c>
      <c r="GW6" s="55">
        <f>'1'!$BX$22</f>
        <v>0</v>
      </c>
      <c r="GX6" s="55">
        <f>'1'!$BY$22</f>
        <v>0</v>
      </c>
      <c r="GY6" s="55">
        <f>'1'!$BN$23</f>
        <v>0</v>
      </c>
      <c r="GZ6" s="55">
        <f>'1'!$BO$23</f>
        <v>0</v>
      </c>
      <c r="HA6" s="55">
        <f>'1'!$BP$23</f>
        <v>0</v>
      </c>
      <c r="HB6" s="55">
        <f>'1'!$BQ$23</f>
        <v>0</v>
      </c>
      <c r="HC6" s="55">
        <f>'1'!$BR$23</f>
        <v>0</v>
      </c>
      <c r="HD6" s="55">
        <f>'1'!$BS$23</f>
        <v>0</v>
      </c>
      <c r="HE6" s="55">
        <f>'1'!$BT$23</f>
        <v>0</v>
      </c>
      <c r="HF6" s="55">
        <f>'1'!$BU$23</f>
        <v>0</v>
      </c>
      <c r="HG6" s="55">
        <f>'1'!$BV$23</f>
        <v>0</v>
      </c>
      <c r="HH6" s="55">
        <f>'1'!$BW$23</f>
        <v>0</v>
      </c>
      <c r="HI6" s="55">
        <f>'1'!$BX$23</f>
        <v>0</v>
      </c>
      <c r="HJ6" s="55">
        <f>'1'!$BY$23</f>
        <v>0</v>
      </c>
      <c r="HK6" s="55">
        <f>'1'!$BN$24</f>
        <v>0</v>
      </c>
      <c r="HL6" s="55">
        <f>'1'!$BO$24</f>
        <v>0</v>
      </c>
      <c r="HM6" s="55">
        <f>'1'!$BP$24</f>
        <v>0</v>
      </c>
      <c r="HN6" s="55">
        <f>'1'!$BQ$24</f>
        <v>0</v>
      </c>
      <c r="HO6" s="55">
        <f>'1'!$BR$24</f>
        <v>0</v>
      </c>
      <c r="HP6" s="55">
        <f>'1'!$BS$24</f>
        <v>0</v>
      </c>
      <c r="HQ6" s="55">
        <f>'1'!$BT$24</f>
        <v>0</v>
      </c>
      <c r="HR6" s="55">
        <f>'1'!$BU$24</f>
        <v>0</v>
      </c>
      <c r="HS6" s="55">
        <f>'1'!$BV$24</f>
        <v>0</v>
      </c>
      <c r="HT6" s="55">
        <f>'1'!$BW$24</f>
        <v>0</v>
      </c>
      <c r="HU6" s="55">
        <f>'1'!$BX$24</f>
        <v>0</v>
      </c>
      <c r="HV6" s="55">
        <f>'1'!$BY$24</f>
        <v>0</v>
      </c>
      <c r="HW6" s="55">
        <f>'1'!$BN$25</f>
        <v>0</v>
      </c>
      <c r="HX6" s="55">
        <f>'1'!$BO$25</f>
        <v>0</v>
      </c>
      <c r="HY6" s="55">
        <f>'1'!$BP$25</f>
        <v>0</v>
      </c>
      <c r="HZ6" s="55">
        <f>'1'!$BQ$25</f>
        <v>0</v>
      </c>
      <c r="IA6" s="55">
        <f>'1'!$BR$25</f>
        <v>0</v>
      </c>
      <c r="IB6" s="55">
        <f>'1'!$BS$25</f>
        <v>0</v>
      </c>
      <c r="IC6" s="55">
        <f>'1'!$BT$25</f>
        <v>0</v>
      </c>
      <c r="ID6" s="55">
        <f>'1'!$BU$25</f>
        <v>0</v>
      </c>
      <c r="IE6" s="55">
        <f>'1'!$BV$25</f>
        <v>0</v>
      </c>
      <c r="IF6" s="55">
        <f>'1'!$BW$25</f>
        <v>0</v>
      </c>
      <c r="IG6" s="55">
        <f>'1'!$BX$25</f>
        <v>0</v>
      </c>
      <c r="IH6" s="55">
        <f>'1'!$BY$25</f>
        <v>0</v>
      </c>
      <c r="II6" s="55">
        <f>'1'!$BN$26</f>
        <v>0</v>
      </c>
      <c r="IJ6" s="55">
        <f>'1'!$BO$26</f>
        <v>0</v>
      </c>
      <c r="IK6" s="55">
        <f>'1'!$BP$26</f>
        <v>0</v>
      </c>
      <c r="IL6" s="55">
        <f>'1'!$BQ$26</f>
        <v>0</v>
      </c>
      <c r="IM6" s="55">
        <f>'1'!$BR$26</f>
        <v>0</v>
      </c>
      <c r="IN6" s="55">
        <f>'1'!$BS$26</f>
        <v>0</v>
      </c>
      <c r="IO6" s="55">
        <f>'1'!$BT$26</f>
        <v>0</v>
      </c>
      <c r="IP6" s="55">
        <f>'1'!$BU$26</f>
        <v>0</v>
      </c>
      <c r="IQ6" s="55">
        <f>'1'!$BV$26</f>
        <v>0</v>
      </c>
      <c r="IR6" s="55">
        <f>'1'!$BW$26</f>
        <v>0</v>
      </c>
      <c r="IS6" s="55">
        <f>'1'!$BX$26</f>
        <v>0</v>
      </c>
      <c r="IT6" s="55">
        <f>'1'!$BY$26</f>
        <v>0</v>
      </c>
      <c r="IU6" s="55">
        <f>'1'!$BN$27</f>
        <v>0</v>
      </c>
      <c r="IV6" s="55">
        <f>'1'!$BO$27</f>
        <v>0</v>
      </c>
      <c r="IW6" s="55">
        <f>'1'!$BP$27</f>
        <v>0</v>
      </c>
      <c r="IX6" s="55">
        <f>'1'!$BQ$27</f>
        <v>0</v>
      </c>
      <c r="IY6" s="55">
        <f>'1'!$BR$27</f>
        <v>0</v>
      </c>
      <c r="IZ6" s="55">
        <f>'1'!$BS$27</f>
        <v>0</v>
      </c>
      <c r="JA6" s="55">
        <f>'1'!$BT$27</f>
        <v>0</v>
      </c>
      <c r="JB6" s="55">
        <f>'1'!$BU$27</f>
        <v>0</v>
      </c>
      <c r="JC6" s="55">
        <f>'1'!$BV$27</f>
        <v>0</v>
      </c>
      <c r="JD6" s="55">
        <f>'1'!$BW$27</f>
        <v>0</v>
      </c>
      <c r="JE6" s="55">
        <f>'1'!$BX$27</f>
        <v>0</v>
      </c>
      <c r="JF6" s="55">
        <f>'1'!$BY$27</f>
        <v>0</v>
      </c>
      <c r="JG6" s="55">
        <f>'1'!$BN$28</f>
        <v>0</v>
      </c>
      <c r="JH6" s="55">
        <f>'1'!$BO$28</f>
        <v>0</v>
      </c>
      <c r="JI6" s="55">
        <f>'1'!$BP$28</f>
        <v>0</v>
      </c>
      <c r="JJ6" s="55">
        <f>'1'!$BQ$28</f>
        <v>0</v>
      </c>
      <c r="JK6" s="55">
        <f>'1'!$BR$28</f>
        <v>0</v>
      </c>
      <c r="JL6" s="55">
        <f>'1'!$BS$28</f>
        <v>0</v>
      </c>
      <c r="JM6" s="55">
        <f>'1'!$BT$28</f>
        <v>0</v>
      </c>
      <c r="JN6" s="55">
        <f>'1'!$BU$28</f>
        <v>0</v>
      </c>
      <c r="JO6" s="55">
        <f>'1'!$BV$28</f>
        <v>0</v>
      </c>
      <c r="JP6" s="55">
        <f>'1'!$BW$28</f>
        <v>0</v>
      </c>
      <c r="JQ6" s="55">
        <f>'1'!$BX$28</f>
        <v>0</v>
      </c>
      <c r="JR6" s="55">
        <f>'1'!$BY$28</f>
        <v>0</v>
      </c>
      <c r="JS6" s="55">
        <f>'1'!$BN$29</f>
        <v>0</v>
      </c>
      <c r="JT6" s="55">
        <f>'1'!$BO$29</f>
        <v>0</v>
      </c>
      <c r="JU6" s="55">
        <f>'1'!$BP$29</f>
        <v>0</v>
      </c>
      <c r="JV6" s="55">
        <f>'1'!$BQ$29</f>
        <v>0</v>
      </c>
      <c r="JW6" s="55">
        <f>'1'!$BR$29</f>
        <v>0</v>
      </c>
      <c r="JX6" s="55">
        <f>'1'!$BS$29</f>
        <v>0</v>
      </c>
      <c r="JY6" s="55">
        <f>'1'!$BT$29</f>
        <v>0</v>
      </c>
      <c r="JZ6" s="55">
        <f>'1'!$BU$29</f>
        <v>0</v>
      </c>
      <c r="KA6" s="55">
        <f>'1'!$BV$29</f>
        <v>0</v>
      </c>
      <c r="KB6" s="55">
        <f>'1'!$BW$29</f>
        <v>0</v>
      </c>
      <c r="KC6" s="55">
        <f>'1'!$BX$29</f>
        <v>0</v>
      </c>
      <c r="KD6" s="55">
        <f>'1'!$BY$29</f>
        <v>0</v>
      </c>
    </row>
    <row r="7" spans="1:290" ht="15" x14ac:dyDescent="0.25">
      <c r="A7" s="50">
        <v>46175</v>
      </c>
      <c r="B7" s="52"/>
      <c r="C7" s="55">
        <f>'2'!$BN$6</f>
        <v>0</v>
      </c>
      <c r="D7" s="55">
        <f>'2'!$BO$6</f>
        <v>0</v>
      </c>
      <c r="E7" s="55">
        <f>'2'!$BP$6</f>
        <v>0</v>
      </c>
      <c r="F7" s="55">
        <f>'2'!$BQ$6</f>
        <v>0</v>
      </c>
      <c r="G7" s="55">
        <f>'2'!$BR$6</f>
        <v>0</v>
      </c>
      <c r="H7" s="55">
        <f>'2'!$BS$6</f>
        <v>0</v>
      </c>
      <c r="I7" s="55">
        <f>'2'!$BT$6</f>
        <v>0</v>
      </c>
      <c r="J7" s="55">
        <f>'2'!$BU$6</f>
        <v>0</v>
      </c>
      <c r="K7" s="55">
        <f>'2'!$BV$6</f>
        <v>0</v>
      </c>
      <c r="L7" s="55">
        <f>'2'!$BW$6</f>
        <v>0</v>
      </c>
      <c r="M7" s="55">
        <f>'2'!$BX$6</f>
        <v>0</v>
      </c>
      <c r="N7" s="55">
        <f>'2'!$BY$6</f>
        <v>0</v>
      </c>
      <c r="O7" s="55">
        <f>'2'!$BN$7</f>
        <v>0</v>
      </c>
      <c r="P7" s="55">
        <f>'2'!$BO$7</f>
        <v>0</v>
      </c>
      <c r="Q7" s="55">
        <f>'2'!$BP$7</f>
        <v>0</v>
      </c>
      <c r="R7" s="55">
        <f>'2'!$BQ$7</f>
        <v>0</v>
      </c>
      <c r="S7" s="55">
        <f>'2'!$BR$7</f>
        <v>0</v>
      </c>
      <c r="T7" s="55">
        <f>'2'!$BS$7</f>
        <v>0</v>
      </c>
      <c r="U7" s="55">
        <f>'2'!$BT$7</f>
        <v>0</v>
      </c>
      <c r="V7" s="55">
        <f>'2'!$BU$7</f>
        <v>0</v>
      </c>
      <c r="W7" s="55">
        <f>'2'!$BV$7</f>
        <v>0</v>
      </c>
      <c r="X7" s="55">
        <f>'2'!$BW$7</f>
        <v>0</v>
      </c>
      <c r="Y7" s="55">
        <f>'2'!$BX$7</f>
        <v>0</v>
      </c>
      <c r="Z7" s="55">
        <f>'2'!$BY$7</f>
        <v>0</v>
      </c>
      <c r="AA7" s="55">
        <f>'2'!$BN$8</f>
        <v>0</v>
      </c>
      <c r="AB7" s="55">
        <f>'2'!$BO$8</f>
        <v>0</v>
      </c>
      <c r="AC7" s="55">
        <f>'2'!$BP$8</f>
        <v>0</v>
      </c>
      <c r="AD7" s="55">
        <f>'2'!$BQ$8</f>
        <v>0</v>
      </c>
      <c r="AE7" s="55">
        <f>'2'!$BR$8</f>
        <v>0</v>
      </c>
      <c r="AF7" s="55">
        <f>'2'!$BS$8</f>
        <v>0</v>
      </c>
      <c r="AG7" s="55">
        <f>'2'!$BT$8</f>
        <v>0</v>
      </c>
      <c r="AH7" s="55">
        <f>'2'!$BU$8</f>
        <v>0</v>
      </c>
      <c r="AI7" s="55">
        <f>'2'!$BV$8</f>
        <v>0</v>
      </c>
      <c r="AJ7" s="55">
        <f>'2'!$BW$8</f>
        <v>0</v>
      </c>
      <c r="AK7" s="55">
        <f>'2'!$BX$8</f>
        <v>0</v>
      </c>
      <c r="AL7" s="55">
        <f>'2'!$BY$8</f>
        <v>0</v>
      </c>
      <c r="AM7" s="55">
        <f>'2'!$BN$9</f>
        <v>0</v>
      </c>
      <c r="AN7" s="55">
        <f>'2'!$BO$9</f>
        <v>0</v>
      </c>
      <c r="AO7" s="55">
        <f>'2'!$BP$9</f>
        <v>0</v>
      </c>
      <c r="AP7" s="55">
        <f>'2'!$BQ$9</f>
        <v>0</v>
      </c>
      <c r="AQ7" s="55">
        <f>'2'!$BR$9</f>
        <v>0</v>
      </c>
      <c r="AR7" s="55">
        <f>'2'!$BS$9</f>
        <v>0</v>
      </c>
      <c r="AS7" s="55">
        <f>'2'!$BT$9</f>
        <v>0</v>
      </c>
      <c r="AT7" s="55">
        <f>'2'!$BU$9</f>
        <v>0</v>
      </c>
      <c r="AU7" s="55">
        <f>'2'!$BV$9</f>
        <v>0</v>
      </c>
      <c r="AV7" s="55">
        <f>'2'!$BW$9</f>
        <v>0</v>
      </c>
      <c r="AW7" s="55">
        <f>'2'!$BX$9</f>
        <v>0</v>
      </c>
      <c r="AX7" s="55">
        <f>'2'!$BY$9</f>
        <v>0</v>
      </c>
      <c r="AY7" s="55">
        <f>'2'!$BN$10</f>
        <v>0</v>
      </c>
      <c r="AZ7" s="55">
        <f>'2'!$BO$10</f>
        <v>0</v>
      </c>
      <c r="BA7" s="55">
        <f>'2'!$BP$10</f>
        <v>0</v>
      </c>
      <c r="BB7" s="55">
        <f>'2'!$BQ$10</f>
        <v>0</v>
      </c>
      <c r="BC7" s="55">
        <f>'2'!$BR$10</f>
        <v>0</v>
      </c>
      <c r="BD7" s="55">
        <f>'2'!$BS$10</f>
        <v>0</v>
      </c>
      <c r="BE7" s="55">
        <f>'2'!$BT$10</f>
        <v>0</v>
      </c>
      <c r="BF7" s="55">
        <f>'2'!$BU$10</f>
        <v>0</v>
      </c>
      <c r="BG7" s="55">
        <f>'2'!$BV$10</f>
        <v>0</v>
      </c>
      <c r="BH7" s="55">
        <f>'2'!$BW$10</f>
        <v>0</v>
      </c>
      <c r="BI7" s="55">
        <f>'2'!$BX$10</f>
        <v>0</v>
      </c>
      <c r="BJ7" s="55">
        <f>'2'!$BY$10</f>
        <v>0</v>
      </c>
      <c r="BK7" s="55">
        <f>'2'!$BN$11</f>
        <v>0</v>
      </c>
      <c r="BL7" s="55">
        <f>'2'!$BO$11</f>
        <v>0</v>
      </c>
      <c r="BM7" s="55">
        <f>'2'!$BP$11</f>
        <v>0</v>
      </c>
      <c r="BN7" s="55">
        <f>'2'!$BQ$11</f>
        <v>0</v>
      </c>
      <c r="BO7" s="55">
        <f>'2'!$BR$11</f>
        <v>0</v>
      </c>
      <c r="BP7" s="55">
        <f>'2'!$BS$11</f>
        <v>0</v>
      </c>
      <c r="BQ7" s="55">
        <f>'2'!$BT$11</f>
        <v>0</v>
      </c>
      <c r="BR7" s="55">
        <f>'2'!$BU$11</f>
        <v>0</v>
      </c>
      <c r="BS7" s="55">
        <f>'2'!$BV$11</f>
        <v>0</v>
      </c>
      <c r="BT7" s="55">
        <f>'2'!$BW$11</f>
        <v>0</v>
      </c>
      <c r="BU7" s="55">
        <f>'2'!$BX$11</f>
        <v>0</v>
      </c>
      <c r="BV7" s="55">
        <f>'2'!$BY$11</f>
        <v>0</v>
      </c>
      <c r="BW7" s="55">
        <f>'2'!$BN$12</f>
        <v>0</v>
      </c>
      <c r="BX7" s="55">
        <f>'2'!$BO$12</f>
        <v>0</v>
      </c>
      <c r="BY7" s="55">
        <f>'2'!$BP$12</f>
        <v>0</v>
      </c>
      <c r="BZ7" s="55">
        <f>'2'!$BQ$12</f>
        <v>0</v>
      </c>
      <c r="CA7" s="55">
        <f>'2'!$BR$12</f>
        <v>0</v>
      </c>
      <c r="CB7" s="55">
        <f>'2'!$BS$12</f>
        <v>0</v>
      </c>
      <c r="CC7" s="55">
        <f>'2'!$BT$12</f>
        <v>0</v>
      </c>
      <c r="CD7" s="55">
        <f>'2'!$BU$12</f>
        <v>0</v>
      </c>
      <c r="CE7" s="55">
        <f>'2'!$BV$12</f>
        <v>0</v>
      </c>
      <c r="CF7" s="55">
        <f>'2'!$BW$12</f>
        <v>0</v>
      </c>
      <c r="CG7" s="55">
        <f>'2'!$BX$12</f>
        <v>0</v>
      </c>
      <c r="CH7" s="55">
        <f>'2'!$BY$12</f>
        <v>0</v>
      </c>
      <c r="CI7" s="55">
        <f>'2'!$BN$13</f>
        <v>0</v>
      </c>
      <c r="CJ7" s="55">
        <f>'2'!$BO$13</f>
        <v>0</v>
      </c>
      <c r="CK7" s="55">
        <f>'2'!$BP$13</f>
        <v>0</v>
      </c>
      <c r="CL7" s="55">
        <f>'2'!$BQ$13</f>
        <v>0</v>
      </c>
      <c r="CM7" s="55">
        <f>'2'!$BR$13</f>
        <v>0</v>
      </c>
      <c r="CN7" s="55">
        <f>'2'!$BS$13</f>
        <v>0</v>
      </c>
      <c r="CO7" s="55">
        <f>'2'!$BT$13</f>
        <v>0</v>
      </c>
      <c r="CP7" s="55">
        <f>'2'!$BU$13</f>
        <v>0</v>
      </c>
      <c r="CQ7" s="55">
        <f>'2'!$BV$13</f>
        <v>0</v>
      </c>
      <c r="CR7" s="55">
        <f>'2'!$BW$13</f>
        <v>0</v>
      </c>
      <c r="CS7" s="55">
        <f>'2'!$BX$13</f>
        <v>0</v>
      </c>
      <c r="CT7" s="55">
        <f>'2'!$BY$13</f>
        <v>0</v>
      </c>
      <c r="CU7" s="55">
        <f>'2'!$BN$14</f>
        <v>0</v>
      </c>
      <c r="CV7" s="55">
        <f>'2'!$BO$14</f>
        <v>0</v>
      </c>
      <c r="CW7" s="55">
        <f>'2'!$BP$14</f>
        <v>0</v>
      </c>
      <c r="CX7" s="55">
        <f>'2'!$BQ$14</f>
        <v>0</v>
      </c>
      <c r="CY7" s="55">
        <f>'2'!$BR$14</f>
        <v>0</v>
      </c>
      <c r="CZ7" s="55">
        <f>'2'!$BS$14</f>
        <v>0</v>
      </c>
      <c r="DA7" s="55">
        <f>'2'!$BT$14</f>
        <v>0</v>
      </c>
      <c r="DB7" s="55">
        <f>'2'!$BU$14</f>
        <v>0</v>
      </c>
      <c r="DC7" s="55">
        <f>'2'!$BV$14</f>
        <v>0</v>
      </c>
      <c r="DD7" s="55">
        <f>'2'!$BW$14</f>
        <v>0</v>
      </c>
      <c r="DE7" s="55">
        <f>'2'!$BX$14</f>
        <v>0</v>
      </c>
      <c r="DF7" s="55">
        <f>'2'!$BY$14</f>
        <v>0</v>
      </c>
      <c r="DG7" s="55">
        <f>'2'!$BN$15</f>
        <v>0</v>
      </c>
      <c r="DH7" s="55">
        <f>'2'!$BO$15</f>
        <v>0</v>
      </c>
      <c r="DI7" s="55">
        <f>'2'!$BP$15</f>
        <v>0</v>
      </c>
      <c r="DJ7" s="55">
        <f>'2'!$BQ$15</f>
        <v>0</v>
      </c>
      <c r="DK7" s="55">
        <f>'2'!$BR$15</f>
        <v>0</v>
      </c>
      <c r="DL7" s="55">
        <f>'2'!$BS$15</f>
        <v>0</v>
      </c>
      <c r="DM7" s="55">
        <f>'2'!$BT$15</f>
        <v>0</v>
      </c>
      <c r="DN7" s="55">
        <f>'2'!$BU$15</f>
        <v>0</v>
      </c>
      <c r="DO7" s="55">
        <f>'2'!$BV$15</f>
        <v>0</v>
      </c>
      <c r="DP7" s="55">
        <f>'2'!$BW$15</f>
        <v>0</v>
      </c>
      <c r="DQ7" s="55">
        <f>'2'!$BX$15</f>
        <v>0</v>
      </c>
      <c r="DR7" s="55">
        <f>'2'!$BY$15</f>
        <v>0</v>
      </c>
      <c r="DS7" s="55">
        <f>'2'!$BN$16</f>
        <v>0</v>
      </c>
      <c r="DT7" s="55">
        <f>'2'!$BO$16</f>
        <v>0</v>
      </c>
      <c r="DU7" s="55">
        <f>'2'!$BP$16</f>
        <v>0</v>
      </c>
      <c r="DV7" s="55">
        <f>'2'!$BQ$16</f>
        <v>0</v>
      </c>
      <c r="DW7" s="55">
        <f>'2'!$BR$16</f>
        <v>0</v>
      </c>
      <c r="DX7" s="55">
        <f>'2'!$BS$16</f>
        <v>0</v>
      </c>
      <c r="DY7" s="55">
        <f>'2'!$BT$16</f>
        <v>0</v>
      </c>
      <c r="DZ7" s="55">
        <f>'2'!$BU$16</f>
        <v>0</v>
      </c>
      <c r="EA7" s="55">
        <f>'2'!$BV$16</f>
        <v>0</v>
      </c>
      <c r="EB7" s="55">
        <f>'2'!$BW$16</f>
        <v>0</v>
      </c>
      <c r="EC7" s="55">
        <f>'2'!$BX$16</f>
        <v>0</v>
      </c>
      <c r="ED7" s="55">
        <f>'2'!$BY$16</f>
        <v>0</v>
      </c>
      <c r="EE7" s="55">
        <f>'2'!$BN$17</f>
        <v>0</v>
      </c>
      <c r="EF7" s="55">
        <f>'2'!$BO$17</f>
        <v>0</v>
      </c>
      <c r="EG7" s="55">
        <f>'2'!$BP$17</f>
        <v>0</v>
      </c>
      <c r="EH7" s="55">
        <f>'2'!$BQ$17</f>
        <v>0</v>
      </c>
      <c r="EI7" s="55">
        <f>'2'!$BR$17</f>
        <v>0</v>
      </c>
      <c r="EJ7" s="55">
        <f>'2'!$BS$17</f>
        <v>0</v>
      </c>
      <c r="EK7" s="55">
        <f>'2'!$BT$17</f>
        <v>0</v>
      </c>
      <c r="EL7" s="55">
        <f>'2'!$BU$17</f>
        <v>0</v>
      </c>
      <c r="EM7" s="55">
        <f>'2'!$BV$17</f>
        <v>0</v>
      </c>
      <c r="EN7" s="55">
        <f>'2'!$BW$17</f>
        <v>0</v>
      </c>
      <c r="EO7" s="55">
        <f>'2'!$BX$17</f>
        <v>0</v>
      </c>
      <c r="EP7" s="55">
        <f>'2'!$BY$17</f>
        <v>0</v>
      </c>
      <c r="EQ7" s="55">
        <f>'2'!$BN$18</f>
        <v>0</v>
      </c>
      <c r="ER7" s="55">
        <f>'2'!$BO$18</f>
        <v>0</v>
      </c>
      <c r="ES7" s="55">
        <f>'2'!$BP$18</f>
        <v>0</v>
      </c>
      <c r="ET7" s="55">
        <f>'2'!$BQ$18</f>
        <v>0</v>
      </c>
      <c r="EU7" s="55">
        <f>'2'!$BR$18</f>
        <v>0</v>
      </c>
      <c r="EV7" s="55">
        <f>'2'!$BS$18</f>
        <v>0</v>
      </c>
      <c r="EW7" s="55">
        <f>'2'!$BT$18</f>
        <v>0</v>
      </c>
      <c r="EX7" s="55">
        <f>'2'!$BU$18</f>
        <v>0</v>
      </c>
      <c r="EY7" s="55">
        <f>'2'!$BV$18</f>
        <v>0</v>
      </c>
      <c r="EZ7" s="55">
        <f>'2'!$BW$18</f>
        <v>0</v>
      </c>
      <c r="FA7" s="55">
        <f>'2'!$BX$18</f>
        <v>0</v>
      </c>
      <c r="FB7" s="55">
        <f>'2'!$BY$18</f>
        <v>0</v>
      </c>
      <c r="FC7" s="55">
        <f>'2'!$BN$19</f>
        <v>0</v>
      </c>
      <c r="FD7" s="55">
        <f>'2'!$BO$19</f>
        <v>0</v>
      </c>
      <c r="FE7" s="55">
        <f>'2'!$BP$19</f>
        <v>0</v>
      </c>
      <c r="FF7" s="55">
        <f>'2'!$BQ$19</f>
        <v>0</v>
      </c>
      <c r="FG7" s="55">
        <f>'2'!$BR$19</f>
        <v>0</v>
      </c>
      <c r="FH7" s="55">
        <f>'2'!$BS$19</f>
        <v>0</v>
      </c>
      <c r="FI7" s="55">
        <f>'2'!$BT$19</f>
        <v>0</v>
      </c>
      <c r="FJ7" s="55">
        <f>'2'!$BU$19</f>
        <v>0</v>
      </c>
      <c r="FK7" s="55">
        <f>'2'!$BV$19</f>
        <v>0</v>
      </c>
      <c r="FL7" s="55">
        <f>'2'!$BW$19</f>
        <v>0</v>
      </c>
      <c r="FM7" s="55">
        <f>'2'!$BX$19</f>
        <v>0</v>
      </c>
      <c r="FN7" s="55">
        <f>'2'!$BY$19</f>
        <v>0</v>
      </c>
      <c r="FO7" s="55">
        <f>'2'!$BN$20</f>
        <v>0</v>
      </c>
      <c r="FP7" s="55">
        <f>'2'!$BO$20</f>
        <v>0</v>
      </c>
      <c r="FQ7" s="55">
        <f>'2'!$BP$20</f>
        <v>0</v>
      </c>
      <c r="FR7" s="55">
        <f>'2'!$BQ$20</f>
        <v>0</v>
      </c>
      <c r="FS7" s="55">
        <f>'2'!$BR$20</f>
        <v>0</v>
      </c>
      <c r="FT7" s="55">
        <f>'2'!$BS$20</f>
        <v>0</v>
      </c>
      <c r="FU7" s="55">
        <f>'2'!$BT$20</f>
        <v>0</v>
      </c>
      <c r="FV7" s="55">
        <f>'2'!$BU$20</f>
        <v>0</v>
      </c>
      <c r="FW7" s="55">
        <f>'2'!$BV$20</f>
        <v>0</v>
      </c>
      <c r="FX7" s="55">
        <f>'2'!$BW$20</f>
        <v>0</v>
      </c>
      <c r="FY7" s="55">
        <f>'2'!$BX$20</f>
        <v>0</v>
      </c>
      <c r="FZ7" s="55">
        <f>'2'!$BY$20</f>
        <v>0</v>
      </c>
      <c r="GA7" s="55">
        <f>'2'!$BN$21</f>
        <v>0</v>
      </c>
      <c r="GB7" s="55">
        <f>'2'!$BO$21</f>
        <v>0</v>
      </c>
      <c r="GC7" s="55">
        <f>'2'!$BP$21</f>
        <v>0</v>
      </c>
      <c r="GD7" s="55">
        <f>'2'!$BQ$21</f>
        <v>0</v>
      </c>
      <c r="GE7" s="55">
        <f>'2'!$BR$21</f>
        <v>0</v>
      </c>
      <c r="GF7" s="55">
        <f>'2'!$BS$21</f>
        <v>0</v>
      </c>
      <c r="GG7" s="55">
        <f>'2'!$BT$21</f>
        <v>0</v>
      </c>
      <c r="GH7" s="55">
        <f>'2'!$BU$21</f>
        <v>0</v>
      </c>
      <c r="GI7" s="55">
        <f>'2'!$BV$21</f>
        <v>0</v>
      </c>
      <c r="GJ7" s="55">
        <f>'2'!$BW$21</f>
        <v>0</v>
      </c>
      <c r="GK7" s="55">
        <f>'2'!$BX$21</f>
        <v>0</v>
      </c>
      <c r="GL7" s="55">
        <f>'2'!$BY$21</f>
        <v>0</v>
      </c>
      <c r="GM7" s="55">
        <f>'2'!$BN$22</f>
        <v>0</v>
      </c>
      <c r="GN7" s="55">
        <f>'2'!$BO$22</f>
        <v>0</v>
      </c>
      <c r="GO7" s="55">
        <f>'2'!$BP$22</f>
        <v>0</v>
      </c>
      <c r="GP7" s="55">
        <f>'2'!$BQ$22</f>
        <v>0</v>
      </c>
      <c r="GQ7" s="55">
        <f>'2'!$BR$22</f>
        <v>0</v>
      </c>
      <c r="GR7" s="55">
        <f>'2'!$BS$22</f>
        <v>0</v>
      </c>
      <c r="GS7" s="55">
        <f>'2'!$BT$22</f>
        <v>0</v>
      </c>
      <c r="GT7" s="55">
        <f>'2'!$BU$22</f>
        <v>0</v>
      </c>
      <c r="GU7" s="55">
        <f>'2'!$BV$22</f>
        <v>0</v>
      </c>
      <c r="GV7" s="55">
        <f>'2'!$BW$22</f>
        <v>0</v>
      </c>
      <c r="GW7" s="55">
        <f>'2'!$BX$22</f>
        <v>0</v>
      </c>
      <c r="GX7" s="55">
        <f>'2'!$BY$22</f>
        <v>0</v>
      </c>
      <c r="GY7" s="55">
        <f>'2'!$BN$23</f>
        <v>0</v>
      </c>
      <c r="GZ7" s="55">
        <f>'2'!$BO$23</f>
        <v>0</v>
      </c>
      <c r="HA7" s="55">
        <f>'2'!$BP$23</f>
        <v>0</v>
      </c>
      <c r="HB7" s="55">
        <f>'2'!$BQ$23</f>
        <v>0</v>
      </c>
      <c r="HC7" s="55">
        <f>'2'!$BR$23</f>
        <v>0</v>
      </c>
      <c r="HD7" s="55">
        <f>'2'!$BS$23</f>
        <v>0</v>
      </c>
      <c r="HE7" s="55">
        <f>'2'!$BT$23</f>
        <v>0</v>
      </c>
      <c r="HF7" s="55">
        <f>'2'!$BU$23</f>
        <v>0</v>
      </c>
      <c r="HG7" s="55">
        <f>'2'!$BV$23</f>
        <v>0</v>
      </c>
      <c r="HH7" s="55">
        <f>'2'!$BW$23</f>
        <v>0</v>
      </c>
      <c r="HI7" s="55">
        <f>'2'!$BX$23</f>
        <v>0</v>
      </c>
      <c r="HJ7" s="55">
        <f>'2'!$BY$23</f>
        <v>0</v>
      </c>
      <c r="HK7" s="55">
        <f>'2'!$BN$24</f>
        <v>0</v>
      </c>
      <c r="HL7" s="55">
        <f>'2'!$BO$24</f>
        <v>0</v>
      </c>
      <c r="HM7" s="55">
        <f>'2'!$BP$24</f>
        <v>0</v>
      </c>
      <c r="HN7" s="55">
        <f>'2'!$BQ$24</f>
        <v>0</v>
      </c>
      <c r="HO7" s="55">
        <f>'2'!$BR$24</f>
        <v>0</v>
      </c>
      <c r="HP7" s="55">
        <f>'2'!$BS$24</f>
        <v>0</v>
      </c>
      <c r="HQ7" s="55">
        <f>'2'!$BT$24</f>
        <v>0</v>
      </c>
      <c r="HR7" s="55">
        <f>'2'!$BU$24</f>
        <v>0</v>
      </c>
      <c r="HS7" s="55">
        <f>'2'!$BV$24</f>
        <v>0</v>
      </c>
      <c r="HT7" s="55">
        <f>'2'!$BW$24</f>
        <v>0</v>
      </c>
      <c r="HU7" s="55">
        <f>'2'!$BX$24</f>
        <v>0</v>
      </c>
      <c r="HV7" s="55">
        <f>'2'!$BY$24</f>
        <v>0</v>
      </c>
      <c r="HW7" s="55">
        <f>'2'!$BN$25</f>
        <v>0</v>
      </c>
      <c r="HX7" s="55">
        <f>'2'!$BO$25</f>
        <v>0</v>
      </c>
      <c r="HY7" s="55">
        <f>'2'!$BP$25</f>
        <v>0</v>
      </c>
      <c r="HZ7" s="55">
        <f>'2'!$BQ$25</f>
        <v>0</v>
      </c>
      <c r="IA7" s="55">
        <f>'2'!$BR$25</f>
        <v>0</v>
      </c>
      <c r="IB7" s="55">
        <f>'2'!$BS$25</f>
        <v>0</v>
      </c>
      <c r="IC7" s="55">
        <f>'2'!$BT$25</f>
        <v>0</v>
      </c>
      <c r="ID7" s="55">
        <f>'2'!$BU$25</f>
        <v>0</v>
      </c>
      <c r="IE7" s="55">
        <f>'2'!$BV$25</f>
        <v>0</v>
      </c>
      <c r="IF7" s="55">
        <f>'2'!$BW$25</f>
        <v>0</v>
      </c>
      <c r="IG7" s="55">
        <f>'2'!$BX$25</f>
        <v>0</v>
      </c>
      <c r="IH7" s="55">
        <f>'2'!$BY$25</f>
        <v>0</v>
      </c>
      <c r="II7" s="55">
        <f>'2'!$BN$26</f>
        <v>0</v>
      </c>
      <c r="IJ7" s="55">
        <f>'2'!$BO$26</f>
        <v>0</v>
      </c>
      <c r="IK7" s="55">
        <f>'2'!$BP$26</f>
        <v>0</v>
      </c>
      <c r="IL7" s="55">
        <f>'2'!$BQ$26</f>
        <v>0</v>
      </c>
      <c r="IM7" s="55">
        <f>'2'!$BR$26</f>
        <v>0</v>
      </c>
      <c r="IN7" s="55">
        <f>'2'!$BS$26</f>
        <v>0</v>
      </c>
      <c r="IO7" s="55">
        <f>'2'!$BT$26</f>
        <v>0</v>
      </c>
      <c r="IP7" s="55">
        <f>'2'!$BU$26</f>
        <v>0</v>
      </c>
      <c r="IQ7" s="55">
        <f>'2'!$BV$26</f>
        <v>0</v>
      </c>
      <c r="IR7" s="55">
        <f>'2'!$BW$26</f>
        <v>0</v>
      </c>
      <c r="IS7" s="55">
        <f>'2'!$BX$26</f>
        <v>0</v>
      </c>
      <c r="IT7" s="55">
        <f>'2'!$BY$26</f>
        <v>0</v>
      </c>
      <c r="IU7" s="55">
        <f>'2'!$BN$27</f>
        <v>0</v>
      </c>
      <c r="IV7" s="55">
        <f>'2'!$BO$27</f>
        <v>0</v>
      </c>
      <c r="IW7" s="55">
        <f>'2'!$BP$27</f>
        <v>0</v>
      </c>
      <c r="IX7" s="55">
        <f>'2'!$BQ$27</f>
        <v>0</v>
      </c>
      <c r="IY7" s="55">
        <f>'2'!$BR$27</f>
        <v>0</v>
      </c>
      <c r="IZ7" s="55">
        <f>'2'!$BS$27</f>
        <v>0</v>
      </c>
      <c r="JA7" s="55">
        <f>'2'!$BT$27</f>
        <v>0</v>
      </c>
      <c r="JB7" s="55">
        <f>'2'!$BU$27</f>
        <v>0</v>
      </c>
      <c r="JC7" s="55">
        <f>'2'!$BV$27</f>
        <v>0</v>
      </c>
      <c r="JD7" s="55">
        <f>'2'!$BW$27</f>
        <v>0</v>
      </c>
      <c r="JE7" s="55">
        <f>'2'!$BX$27</f>
        <v>0</v>
      </c>
      <c r="JF7" s="55">
        <f>'2'!$BY$27</f>
        <v>0</v>
      </c>
      <c r="JG7" s="55">
        <f>'2'!$BN$28</f>
        <v>0</v>
      </c>
      <c r="JH7" s="55">
        <f>'2'!$BO$28</f>
        <v>0</v>
      </c>
      <c r="JI7" s="55">
        <f>'2'!$BP$28</f>
        <v>0</v>
      </c>
      <c r="JJ7" s="55">
        <f>'2'!$BQ$28</f>
        <v>0</v>
      </c>
      <c r="JK7" s="55">
        <f>'2'!$BR$28</f>
        <v>0</v>
      </c>
      <c r="JL7" s="55">
        <f>'2'!$BS$28</f>
        <v>0</v>
      </c>
      <c r="JM7" s="55">
        <f>'2'!$BT$28</f>
        <v>0</v>
      </c>
      <c r="JN7" s="55">
        <f>'2'!$BU$28</f>
        <v>0</v>
      </c>
      <c r="JO7" s="55">
        <f>'2'!$BV$28</f>
        <v>0</v>
      </c>
      <c r="JP7" s="55">
        <f>'2'!$BW$28</f>
        <v>0</v>
      </c>
      <c r="JQ7" s="55">
        <f>'2'!$BX$28</f>
        <v>0</v>
      </c>
      <c r="JR7" s="55">
        <f>'2'!$BY$28</f>
        <v>0</v>
      </c>
      <c r="JS7" s="55">
        <f>'2'!$BN$29</f>
        <v>0</v>
      </c>
      <c r="JT7" s="55">
        <f>'2'!$BO$29</f>
        <v>0</v>
      </c>
      <c r="JU7" s="55">
        <f>'2'!$BP$29</f>
        <v>0</v>
      </c>
      <c r="JV7" s="55">
        <f>'2'!$BQ$29</f>
        <v>0</v>
      </c>
      <c r="JW7" s="55">
        <f>'2'!$BR$29</f>
        <v>0</v>
      </c>
      <c r="JX7" s="55">
        <f>'2'!$BS$29</f>
        <v>0</v>
      </c>
      <c r="JY7" s="55">
        <f>'2'!$BT$29</f>
        <v>0</v>
      </c>
      <c r="JZ7" s="55">
        <f>'2'!$BU$29</f>
        <v>0</v>
      </c>
      <c r="KA7" s="55">
        <f>'2'!$BV$29</f>
        <v>0</v>
      </c>
      <c r="KB7" s="55">
        <f>'2'!$BW$29</f>
        <v>0</v>
      </c>
      <c r="KC7" s="55">
        <f>'2'!$BX$29</f>
        <v>0</v>
      </c>
      <c r="KD7" s="55">
        <f>'2'!$BY$29</f>
        <v>0</v>
      </c>
    </row>
    <row r="8" spans="1:290" ht="15" x14ac:dyDescent="0.25">
      <c r="A8" s="50">
        <v>46176</v>
      </c>
      <c r="B8" s="52"/>
      <c r="C8" s="55">
        <f>'3'!$BN$6</f>
        <v>0</v>
      </c>
      <c r="D8" s="55">
        <f>'3'!$BO$6</f>
        <v>0</v>
      </c>
      <c r="E8" s="55">
        <f>'3'!$BP$6</f>
        <v>0</v>
      </c>
      <c r="F8" s="55">
        <f>'3'!$BQ$6</f>
        <v>0</v>
      </c>
      <c r="G8" s="55">
        <f>'3'!$BR$6</f>
        <v>0</v>
      </c>
      <c r="H8" s="55">
        <f>'3'!$BS$6</f>
        <v>0</v>
      </c>
      <c r="I8" s="55">
        <f>'3'!$BT$6</f>
        <v>0</v>
      </c>
      <c r="J8" s="55">
        <f>'3'!$BU$6</f>
        <v>0</v>
      </c>
      <c r="K8" s="55">
        <f>'3'!$BV$6</f>
        <v>0</v>
      </c>
      <c r="L8" s="55">
        <f>'3'!$BW$6</f>
        <v>0</v>
      </c>
      <c r="M8" s="55">
        <f>'3'!$BX$6</f>
        <v>0</v>
      </c>
      <c r="N8" s="55">
        <f>'3'!$BY$6</f>
        <v>0</v>
      </c>
      <c r="O8" s="55">
        <f>'3'!$BN$7</f>
        <v>0</v>
      </c>
      <c r="P8" s="55">
        <f>'3'!$BO$7</f>
        <v>0</v>
      </c>
      <c r="Q8" s="55">
        <f>'3'!$BP$7</f>
        <v>0</v>
      </c>
      <c r="R8" s="55">
        <f>'3'!$BQ$7</f>
        <v>0</v>
      </c>
      <c r="S8" s="55">
        <f>'3'!$BR$7</f>
        <v>0</v>
      </c>
      <c r="T8" s="55">
        <f>'3'!$BS$7</f>
        <v>0</v>
      </c>
      <c r="U8" s="55">
        <f>'3'!$BT$7</f>
        <v>0</v>
      </c>
      <c r="V8" s="55">
        <f>'3'!$BU$7</f>
        <v>0</v>
      </c>
      <c r="W8" s="55">
        <f>'3'!$BV$7</f>
        <v>0</v>
      </c>
      <c r="X8" s="55">
        <f>'3'!$BW$7</f>
        <v>0</v>
      </c>
      <c r="Y8" s="55">
        <f>'3'!$BX$7</f>
        <v>0</v>
      </c>
      <c r="Z8" s="55">
        <f>'3'!$BY$7</f>
        <v>0</v>
      </c>
      <c r="AA8" s="55">
        <f>'3'!$BN$8</f>
        <v>0</v>
      </c>
      <c r="AB8" s="55">
        <f>'3'!$BO$8</f>
        <v>0</v>
      </c>
      <c r="AC8" s="55">
        <f>'3'!$BP$8</f>
        <v>0</v>
      </c>
      <c r="AD8" s="55">
        <f>'3'!$BQ$8</f>
        <v>0</v>
      </c>
      <c r="AE8" s="55">
        <f>'3'!$BR$8</f>
        <v>0</v>
      </c>
      <c r="AF8" s="55">
        <f>'3'!$BS$8</f>
        <v>0</v>
      </c>
      <c r="AG8" s="55">
        <f>'3'!$BT$8</f>
        <v>0</v>
      </c>
      <c r="AH8" s="55">
        <f>'3'!$BU$8</f>
        <v>0</v>
      </c>
      <c r="AI8" s="55">
        <f>'3'!$BV$8</f>
        <v>0</v>
      </c>
      <c r="AJ8" s="55">
        <f>'3'!$BW$8</f>
        <v>0</v>
      </c>
      <c r="AK8" s="55">
        <f>'3'!$BX$8</f>
        <v>0</v>
      </c>
      <c r="AL8" s="55">
        <f>'3'!$BY$8</f>
        <v>0</v>
      </c>
      <c r="AM8" s="55">
        <f>'3'!$BN$9</f>
        <v>0</v>
      </c>
      <c r="AN8" s="55">
        <f>'3'!$BO$9</f>
        <v>0</v>
      </c>
      <c r="AO8" s="55">
        <f>'3'!$BP$9</f>
        <v>0</v>
      </c>
      <c r="AP8" s="55">
        <f>'3'!$BQ$9</f>
        <v>0</v>
      </c>
      <c r="AQ8" s="55">
        <f>'3'!$BR$9</f>
        <v>0</v>
      </c>
      <c r="AR8" s="55">
        <f>'3'!$BS$9</f>
        <v>0</v>
      </c>
      <c r="AS8" s="55">
        <f>'3'!$BT$9</f>
        <v>0</v>
      </c>
      <c r="AT8" s="55">
        <f>'3'!$BU$9</f>
        <v>0</v>
      </c>
      <c r="AU8" s="55">
        <f>'3'!$BV$9</f>
        <v>0</v>
      </c>
      <c r="AV8" s="55">
        <f>'3'!$BW$9</f>
        <v>0</v>
      </c>
      <c r="AW8" s="55">
        <f>'3'!$BX$9</f>
        <v>0</v>
      </c>
      <c r="AX8" s="55">
        <f>'3'!$BY$9</f>
        <v>0</v>
      </c>
      <c r="AY8" s="55">
        <f>'3'!$BN$10</f>
        <v>0</v>
      </c>
      <c r="AZ8" s="55">
        <f>'3'!$BO$10</f>
        <v>0</v>
      </c>
      <c r="BA8" s="55">
        <f>'3'!$BP$10</f>
        <v>0</v>
      </c>
      <c r="BB8" s="55">
        <f>'3'!$BQ$10</f>
        <v>0</v>
      </c>
      <c r="BC8" s="55">
        <f>'3'!$BR$10</f>
        <v>0</v>
      </c>
      <c r="BD8" s="55">
        <f>'3'!$BS$10</f>
        <v>0</v>
      </c>
      <c r="BE8" s="55">
        <f>'3'!$BT$10</f>
        <v>0</v>
      </c>
      <c r="BF8" s="55">
        <f>'3'!$BU$10</f>
        <v>0</v>
      </c>
      <c r="BG8" s="55">
        <f>'3'!$BV$10</f>
        <v>0</v>
      </c>
      <c r="BH8" s="55">
        <f>'3'!$BW$10</f>
        <v>0</v>
      </c>
      <c r="BI8" s="55">
        <f>'3'!$BX$10</f>
        <v>0</v>
      </c>
      <c r="BJ8" s="55">
        <f>'3'!$BY$10</f>
        <v>0</v>
      </c>
      <c r="BK8" s="55">
        <f>'3'!$BN$11</f>
        <v>0</v>
      </c>
      <c r="BL8" s="55">
        <f>'3'!$BO$11</f>
        <v>0</v>
      </c>
      <c r="BM8" s="55">
        <f>'3'!$BP$11</f>
        <v>0</v>
      </c>
      <c r="BN8" s="55">
        <f>'3'!$BQ$11</f>
        <v>0</v>
      </c>
      <c r="BO8" s="55">
        <f>'3'!$BR$11</f>
        <v>0</v>
      </c>
      <c r="BP8" s="55">
        <f>'3'!$BS$11</f>
        <v>0</v>
      </c>
      <c r="BQ8" s="55">
        <f>'3'!$BT$11</f>
        <v>0</v>
      </c>
      <c r="BR8" s="55">
        <f>'3'!$BU$11</f>
        <v>0</v>
      </c>
      <c r="BS8" s="55">
        <f>'3'!$BV$11</f>
        <v>0</v>
      </c>
      <c r="BT8" s="55">
        <f>'3'!$BW$11</f>
        <v>0</v>
      </c>
      <c r="BU8" s="55">
        <f>'3'!$BX$11</f>
        <v>0</v>
      </c>
      <c r="BV8" s="55">
        <f>'3'!$BY$11</f>
        <v>0</v>
      </c>
      <c r="BW8" s="55">
        <f>'3'!$BN$12</f>
        <v>0</v>
      </c>
      <c r="BX8" s="55">
        <f>'3'!$BO$12</f>
        <v>0</v>
      </c>
      <c r="BY8" s="55">
        <f>'3'!$BP$12</f>
        <v>0</v>
      </c>
      <c r="BZ8" s="55">
        <f>'3'!$BQ$12</f>
        <v>0</v>
      </c>
      <c r="CA8" s="55">
        <f>'3'!$BR$12</f>
        <v>0</v>
      </c>
      <c r="CB8" s="55">
        <f>'3'!$BS$12</f>
        <v>0</v>
      </c>
      <c r="CC8" s="55">
        <f>'3'!$BT$12</f>
        <v>0</v>
      </c>
      <c r="CD8" s="55">
        <f>'3'!$BU$12</f>
        <v>0</v>
      </c>
      <c r="CE8" s="55">
        <f>'3'!$BV$12</f>
        <v>0</v>
      </c>
      <c r="CF8" s="55">
        <f>'3'!$BW$12</f>
        <v>0</v>
      </c>
      <c r="CG8" s="55">
        <f>'3'!$BX$12</f>
        <v>0</v>
      </c>
      <c r="CH8" s="55">
        <f>'3'!$BY$12</f>
        <v>0</v>
      </c>
      <c r="CI8" s="55">
        <f>'3'!$BN$13</f>
        <v>0</v>
      </c>
      <c r="CJ8" s="55">
        <f>'3'!$BO$13</f>
        <v>0</v>
      </c>
      <c r="CK8" s="55">
        <f>'3'!$BP$13</f>
        <v>0</v>
      </c>
      <c r="CL8" s="55">
        <f>'3'!$BQ$13</f>
        <v>0</v>
      </c>
      <c r="CM8" s="55">
        <f>'3'!$BR$13</f>
        <v>0</v>
      </c>
      <c r="CN8" s="55">
        <f>'3'!$BS$13</f>
        <v>0</v>
      </c>
      <c r="CO8" s="55">
        <f>'3'!$BT$13</f>
        <v>0</v>
      </c>
      <c r="CP8" s="55">
        <f>'3'!$BU$13</f>
        <v>0</v>
      </c>
      <c r="CQ8" s="55">
        <f>'3'!$BV$13</f>
        <v>0</v>
      </c>
      <c r="CR8" s="55">
        <f>'3'!$BW$13</f>
        <v>0</v>
      </c>
      <c r="CS8" s="55">
        <f>'3'!$BX$13</f>
        <v>0</v>
      </c>
      <c r="CT8" s="55">
        <f>'3'!$BY$13</f>
        <v>0</v>
      </c>
      <c r="CU8" s="55">
        <f>'3'!$BN$14</f>
        <v>0</v>
      </c>
      <c r="CV8" s="55">
        <f>'3'!$BO$14</f>
        <v>0</v>
      </c>
      <c r="CW8" s="55">
        <f>'3'!$BP$14</f>
        <v>0</v>
      </c>
      <c r="CX8" s="55">
        <f>'3'!$BQ$14</f>
        <v>0</v>
      </c>
      <c r="CY8" s="55">
        <f>'3'!$BR$14</f>
        <v>0</v>
      </c>
      <c r="CZ8" s="55">
        <f>'3'!$BS$14</f>
        <v>0</v>
      </c>
      <c r="DA8" s="55">
        <f>'3'!$BT$14</f>
        <v>0</v>
      </c>
      <c r="DB8" s="55">
        <f>'3'!$BU$14</f>
        <v>0</v>
      </c>
      <c r="DC8" s="55">
        <f>'3'!$BV$14</f>
        <v>0</v>
      </c>
      <c r="DD8" s="55">
        <f>'3'!$BW$14</f>
        <v>0</v>
      </c>
      <c r="DE8" s="55">
        <f>'3'!$BX$14</f>
        <v>0</v>
      </c>
      <c r="DF8" s="55">
        <f>'3'!$BY$14</f>
        <v>0</v>
      </c>
      <c r="DG8" s="55">
        <f>'3'!$BN$15</f>
        <v>0</v>
      </c>
      <c r="DH8" s="55">
        <f>'3'!$BO$15</f>
        <v>0</v>
      </c>
      <c r="DI8" s="55">
        <f>'3'!$BP$15</f>
        <v>0</v>
      </c>
      <c r="DJ8" s="55">
        <f>'3'!$BQ$15</f>
        <v>0</v>
      </c>
      <c r="DK8" s="55">
        <f>'3'!$BR$15</f>
        <v>0</v>
      </c>
      <c r="DL8" s="55">
        <f>'3'!$BS$15</f>
        <v>0</v>
      </c>
      <c r="DM8" s="55">
        <f>'3'!$BT$15</f>
        <v>0</v>
      </c>
      <c r="DN8" s="55">
        <f>'3'!$BU$15</f>
        <v>0</v>
      </c>
      <c r="DO8" s="55">
        <f>'3'!$BV$15</f>
        <v>0</v>
      </c>
      <c r="DP8" s="55">
        <f>'3'!$BW$15</f>
        <v>0</v>
      </c>
      <c r="DQ8" s="55">
        <f>'3'!$BX$15</f>
        <v>0</v>
      </c>
      <c r="DR8" s="55">
        <f>'3'!$BY$15</f>
        <v>0</v>
      </c>
      <c r="DS8" s="55">
        <f>'3'!$BN$16</f>
        <v>0</v>
      </c>
      <c r="DT8" s="55">
        <f>'3'!$BO$16</f>
        <v>0</v>
      </c>
      <c r="DU8" s="55">
        <f>'3'!$BP$16</f>
        <v>0</v>
      </c>
      <c r="DV8" s="55">
        <f>'3'!$BQ$16</f>
        <v>0</v>
      </c>
      <c r="DW8" s="55">
        <f>'3'!$BR$16</f>
        <v>0</v>
      </c>
      <c r="DX8" s="55">
        <f>'3'!$BS$16</f>
        <v>0</v>
      </c>
      <c r="DY8" s="55">
        <f>'3'!$BT$16</f>
        <v>0</v>
      </c>
      <c r="DZ8" s="55">
        <f>'3'!$BU$16</f>
        <v>0</v>
      </c>
      <c r="EA8" s="55">
        <f>'3'!$BV$16</f>
        <v>0</v>
      </c>
      <c r="EB8" s="55">
        <f>'3'!$BW$16</f>
        <v>0</v>
      </c>
      <c r="EC8" s="55">
        <f>'3'!$BX$16</f>
        <v>0</v>
      </c>
      <c r="ED8" s="55">
        <f>'3'!$BY$16</f>
        <v>0</v>
      </c>
      <c r="EE8" s="55">
        <f>'3'!$BN$17</f>
        <v>0</v>
      </c>
      <c r="EF8" s="55">
        <f>'3'!$BO$17</f>
        <v>0</v>
      </c>
      <c r="EG8" s="55">
        <f>'3'!$BP$17</f>
        <v>0</v>
      </c>
      <c r="EH8" s="55">
        <f>'3'!$BQ$17</f>
        <v>0</v>
      </c>
      <c r="EI8" s="55">
        <f>'3'!$BR$17</f>
        <v>0</v>
      </c>
      <c r="EJ8" s="55">
        <f>'3'!$BS$17</f>
        <v>0</v>
      </c>
      <c r="EK8" s="55">
        <f>'3'!$BT$17</f>
        <v>0</v>
      </c>
      <c r="EL8" s="55">
        <f>'3'!$BU$17</f>
        <v>0</v>
      </c>
      <c r="EM8" s="55">
        <f>'3'!$BV$17</f>
        <v>0</v>
      </c>
      <c r="EN8" s="55">
        <f>'3'!$BW$17</f>
        <v>0</v>
      </c>
      <c r="EO8" s="55">
        <f>'3'!$BX$17</f>
        <v>0</v>
      </c>
      <c r="EP8" s="55">
        <f>'3'!$BY$17</f>
        <v>0</v>
      </c>
      <c r="EQ8" s="55">
        <f>'3'!$BN$18</f>
        <v>0</v>
      </c>
      <c r="ER8" s="55">
        <f>'3'!$BO$18</f>
        <v>0</v>
      </c>
      <c r="ES8" s="55">
        <f>'3'!$BP$18</f>
        <v>0</v>
      </c>
      <c r="ET8" s="55">
        <f>'3'!$BQ$18</f>
        <v>0</v>
      </c>
      <c r="EU8" s="55">
        <f>'3'!$BR$18</f>
        <v>0</v>
      </c>
      <c r="EV8" s="55">
        <f>'3'!$BS$18</f>
        <v>0</v>
      </c>
      <c r="EW8" s="55">
        <f>'3'!$BT$18</f>
        <v>0</v>
      </c>
      <c r="EX8" s="55">
        <f>'3'!$BU$18</f>
        <v>0</v>
      </c>
      <c r="EY8" s="55">
        <f>'3'!$BV$18</f>
        <v>0</v>
      </c>
      <c r="EZ8" s="55">
        <f>'3'!$BW$18</f>
        <v>0</v>
      </c>
      <c r="FA8" s="55">
        <f>'3'!$BX$18</f>
        <v>0</v>
      </c>
      <c r="FB8" s="55">
        <f>'3'!$BY$18</f>
        <v>0</v>
      </c>
      <c r="FC8" s="55">
        <f>'3'!$BN$19</f>
        <v>0</v>
      </c>
      <c r="FD8" s="55">
        <f>'3'!$BO$19</f>
        <v>0</v>
      </c>
      <c r="FE8" s="55">
        <f>'3'!$BP$19</f>
        <v>0</v>
      </c>
      <c r="FF8" s="55">
        <f>'3'!$BQ$19</f>
        <v>0</v>
      </c>
      <c r="FG8" s="55">
        <f>'3'!$BR$19</f>
        <v>0</v>
      </c>
      <c r="FH8" s="55">
        <f>'3'!$BS$19</f>
        <v>0</v>
      </c>
      <c r="FI8" s="55">
        <f>'3'!$BT$19</f>
        <v>0</v>
      </c>
      <c r="FJ8" s="55">
        <f>'3'!$BU$19</f>
        <v>0</v>
      </c>
      <c r="FK8" s="55">
        <f>'3'!$BV$19</f>
        <v>0</v>
      </c>
      <c r="FL8" s="55">
        <f>'3'!$BW$19</f>
        <v>0</v>
      </c>
      <c r="FM8" s="55">
        <f>'3'!$BX$19</f>
        <v>0</v>
      </c>
      <c r="FN8" s="55">
        <f>'3'!$BY$19</f>
        <v>0</v>
      </c>
      <c r="FO8" s="55">
        <f>'3'!$BN$20</f>
        <v>0</v>
      </c>
      <c r="FP8" s="55">
        <f>'3'!$BO$20</f>
        <v>0</v>
      </c>
      <c r="FQ8" s="55">
        <f>'3'!$BP$20</f>
        <v>0</v>
      </c>
      <c r="FR8" s="55">
        <f>'3'!$BQ$20</f>
        <v>0</v>
      </c>
      <c r="FS8" s="55">
        <f>'3'!$BR$20</f>
        <v>0</v>
      </c>
      <c r="FT8" s="55">
        <f>'3'!$BS$20</f>
        <v>0</v>
      </c>
      <c r="FU8" s="55">
        <f>'3'!$BT$20</f>
        <v>0</v>
      </c>
      <c r="FV8" s="55">
        <f>'3'!$BU$20</f>
        <v>0</v>
      </c>
      <c r="FW8" s="55">
        <f>'3'!$BV$20</f>
        <v>0</v>
      </c>
      <c r="FX8" s="55">
        <f>'3'!$BW$20</f>
        <v>0</v>
      </c>
      <c r="FY8" s="55">
        <f>'3'!$BX$20</f>
        <v>0</v>
      </c>
      <c r="FZ8" s="55">
        <f>'3'!$BY$20</f>
        <v>0</v>
      </c>
      <c r="GA8" s="55">
        <f>'3'!$BN$21</f>
        <v>0</v>
      </c>
      <c r="GB8" s="55">
        <f>'3'!$BO$21</f>
        <v>0</v>
      </c>
      <c r="GC8" s="55">
        <f>'3'!$BP$21</f>
        <v>0</v>
      </c>
      <c r="GD8" s="55">
        <f>'3'!$BQ$21</f>
        <v>0</v>
      </c>
      <c r="GE8" s="55">
        <f>'3'!$BR$21</f>
        <v>0</v>
      </c>
      <c r="GF8" s="55">
        <f>'3'!$BS$21</f>
        <v>0</v>
      </c>
      <c r="GG8" s="55">
        <f>'3'!$BT$21</f>
        <v>0</v>
      </c>
      <c r="GH8" s="55">
        <f>'3'!$BU$21</f>
        <v>0</v>
      </c>
      <c r="GI8" s="55">
        <f>'3'!$BV$21</f>
        <v>0</v>
      </c>
      <c r="GJ8" s="55">
        <f>'3'!$BW$21</f>
        <v>0</v>
      </c>
      <c r="GK8" s="55">
        <f>'3'!$BX$21</f>
        <v>0</v>
      </c>
      <c r="GL8" s="55">
        <f>'3'!$BY$21</f>
        <v>0</v>
      </c>
      <c r="GM8" s="55">
        <f>'3'!$BN$22</f>
        <v>0</v>
      </c>
      <c r="GN8" s="55">
        <f>'3'!$BO$22</f>
        <v>0</v>
      </c>
      <c r="GO8" s="55">
        <f>'3'!$BP$22</f>
        <v>0</v>
      </c>
      <c r="GP8" s="55">
        <f>'3'!$BQ$22</f>
        <v>0</v>
      </c>
      <c r="GQ8" s="55">
        <f>'3'!$BR$22</f>
        <v>0</v>
      </c>
      <c r="GR8" s="55">
        <f>'3'!$BS$22</f>
        <v>0</v>
      </c>
      <c r="GS8" s="55">
        <f>'3'!$BT$22</f>
        <v>0</v>
      </c>
      <c r="GT8" s="55">
        <f>'3'!$BU$22</f>
        <v>0</v>
      </c>
      <c r="GU8" s="55">
        <f>'3'!$BV$22</f>
        <v>0</v>
      </c>
      <c r="GV8" s="55">
        <f>'3'!$BW$22</f>
        <v>0</v>
      </c>
      <c r="GW8" s="55">
        <f>'3'!$BX$22</f>
        <v>0</v>
      </c>
      <c r="GX8" s="55">
        <f>'3'!$BY$22</f>
        <v>0</v>
      </c>
      <c r="GY8" s="55">
        <f>'3'!$BN$23</f>
        <v>0</v>
      </c>
      <c r="GZ8" s="55">
        <f>'3'!$BO$23</f>
        <v>0</v>
      </c>
      <c r="HA8" s="55">
        <f>'3'!$BP$23</f>
        <v>0</v>
      </c>
      <c r="HB8" s="55">
        <f>'3'!$BQ$23</f>
        <v>0</v>
      </c>
      <c r="HC8" s="55">
        <f>'3'!$BR$23</f>
        <v>0</v>
      </c>
      <c r="HD8" s="55">
        <f>'3'!$BS$23</f>
        <v>0</v>
      </c>
      <c r="HE8" s="55">
        <f>'3'!$BT$23</f>
        <v>0</v>
      </c>
      <c r="HF8" s="55">
        <f>'3'!$BU$23</f>
        <v>0</v>
      </c>
      <c r="HG8" s="55">
        <f>'3'!$BV$23</f>
        <v>0</v>
      </c>
      <c r="HH8" s="55">
        <f>'3'!$BW$23</f>
        <v>0</v>
      </c>
      <c r="HI8" s="55">
        <f>'3'!$BX$23</f>
        <v>0</v>
      </c>
      <c r="HJ8" s="55">
        <f>'3'!$BY$23</f>
        <v>0</v>
      </c>
      <c r="HK8" s="55">
        <f>'3'!$BN$24</f>
        <v>0</v>
      </c>
      <c r="HL8" s="55">
        <f>'3'!$BO$24</f>
        <v>0</v>
      </c>
      <c r="HM8" s="55">
        <f>'3'!$BP$24</f>
        <v>0</v>
      </c>
      <c r="HN8" s="55">
        <f>'3'!$BQ$24</f>
        <v>0</v>
      </c>
      <c r="HO8" s="55">
        <f>'3'!$BR$24</f>
        <v>0</v>
      </c>
      <c r="HP8" s="55">
        <f>'3'!$BS$24</f>
        <v>0</v>
      </c>
      <c r="HQ8" s="55">
        <f>'3'!$BT$24</f>
        <v>0</v>
      </c>
      <c r="HR8" s="55">
        <f>'3'!$BU$24</f>
        <v>0</v>
      </c>
      <c r="HS8" s="55">
        <f>'3'!$BV$24</f>
        <v>0</v>
      </c>
      <c r="HT8" s="55">
        <f>'3'!$BW$24</f>
        <v>0</v>
      </c>
      <c r="HU8" s="55">
        <f>'3'!$BX$24</f>
        <v>0</v>
      </c>
      <c r="HV8" s="55">
        <f>'3'!$BY$24</f>
        <v>0</v>
      </c>
      <c r="HW8" s="55">
        <f>'3'!$BN$25</f>
        <v>0</v>
      </c>
      <c r="HX8" s="55">
        <f>'3'!$BO$25</f>
        <v>0</v>
      </c>
      <c r="HY8" s="55">
        <f>'3'!$BP$25</f>
        <v>0</v>
      </c>
      <c r="HZ8" s="55">
        <f>'3'!$BQ$25</f>
        <v>0</v>
      </c>
      <c r="IA8" s="55">
        <f>'3'!$BR$25</f>
        <v>0</v>
      </c>
      <c r="IB8" s="55">
        <f>'3'!$BS$25</f>
        <v>0</v>
      </c>
      <c r="IC8" s="55">
        <f>'3'!$BT$25</f>
        <v>0</v>
      </c>
      <c r="ID8" s="55">
        <f>'3'!$BU$25</f>
        <v>0</v>
      </c>
      <c r="IE8" s="55">
        <f>'3'!$BV$25</f>
        <v>0</v>
      </c>
      <c r="IF8" s="55">
        <f>'3'!$BW$25</f>
        <v>0</v>
      </c>
      <c r="IG8" s="55">
        <f>'3'!$BX$25</f>
        <v>0</v>
      </c>
      <c r="IH8" s="55">
        <f>'3'!$BY$25</f>
        <v>0</v>
      </c>
      <c r="II8" s="55">
        <f>'3'!$BN$26</f>
        <v>0</v>
      </c>
      <c r="IJ8" s="55">
        <f>'3'!$BO$26</f>
        <v>0</v>
      </c>
      <c r="IK8" s="55">
        <f>'3'!$BP$26</f>
        <v>0</v>
      </c>
      <c r="IL8" s="55">
        <f>'3'!$BQ$26</f>
        <v>0</v>
      </c>
      <c r="IM8" s="55">
        <f>'3'!$BR$26</f>
        <v>0</v>
      </c>
      <c r="IN8" s="55">
        <f>'3'!$BS$26</f>
        <v>0</v>
      </c>
      <c r="IO8" s="55">
        <f>'3'!$BT$26</f>
        <v>0</v>
      </c>
      <c r="IP8" s="55">
        <f>'3'!$BU$26</f>
        <v>0</v>
      </c>
      <c r="IQ8" s="55">
        <f>'3'!$BV$26</f>
        <v>0</v>
      </c>
      <c r="IR8" s="55">
        <f>'3'!$BW$26</f>
        <v>0</v>
      </c>
      <c r="IS8" s="55">
        <f>'3'!$BX$26</f>
        <v>0</v>
      </c>
      <c r="IT8" s="55">
        <f>'3'!$BY$26</f>
        <v>0</v>
      </c>
      <c r="IU8" s="55">
        <f>'3'!$BN$27</f>
        <v>0</v>
      </c>
      <c r="IV8" s="55">
        <f>'3'!$BO$27</f>
        <v>0</v>
      </c>
      <c r="IW8" s="55">
        <f>'3'!$BP$27</f>
        <v>0</v>
      </c>
      <c r="IX8" s="55">
        <f>'3'!$BQ$27</f>
        <v>0</v>
      </c>
      <c r="IY8" s="55">
        <f>'3'!$BR$27</f>
        <v>0</v>
      </c>
      <c r="IZ8" s="55">
        <f>'3'!$BS$27</f>
        <v>0</v>
      </c>
      <c r="JA8" s="55">
        <f>'3'!$BT$27</f>
        <v>0</v>
      </c>
      <c r="JB8" s="55">
        <f>'3'!$BU$27</f>
        <v>0</v>
      </c>
      <c r="JC8" s="55">
        <f>'3'!$BV$27</f>
        <v>0</v>
      </c>
      <c r="JD8" s="55">
        <f>'3'!$BW$27</f>
        <v>0</v>
      </c>
      <c r="JE8" s="55">
        <f>'3'!$BX$27</f>
        <v>0</v>
      </c>
      <c r="JF8" s="55">
        <f>'3'!$BY$27</f>
        <v>0</v>
      </c>
      <c r="JG8" s="55">
        <f>'3'!$BN$28</f>
        <v>0</v>
      </c>
      <c r="JH8" s="55">
        <f>'3'!$BO$28</f>
        <v>0</v>
      </c>
      <c r="JI8" s="55">
        <f>'3'!$BP$28</f>
        <v>0</v>
      </c>
      <c r="JJ8" s="55">
        <f>'3'!$BQ$28</f>
        <v>0</v>
      </c>
      <c r="JK8" s="55">
        <f>'3'!$BR$28</f>
        <v>0</v>
      </c>
      <c r="JL8" s="55">
        <f>'3'!$BS$28</f>
        <v>0</v>
      </c>
      <c r="JM8" s="55">
        <f>'3'!$BT$28</f>
        <v>0</v>
      </c>
      <c r="JN8" s="55">
        <f>'3'!$BU$28</f>
        <v>0</v>
      </c>
      <c r="JO8" s="55">
        <f>'3'!$BV$28</f>
        <v>0</v>
      </c>
      <c r="JP8" s="55">
        <f>'3'!$BW$28</f>
        <v>0</v>
      </c>
      <c r="JQ8" s="55">
        <f>'3'!$BX$28</f>
        <v>0</v>
      </c>
      <c r="JR8" s="55">
        <f>'3'!$BY$28</f>
        <v>0</v>
      </c>
      <c r="JS8" s="55">
        <f>'3'!$BN$29</f>
        <v>0</v>
      </c>
      <c r="JT8" s="55">
        <f>'3'!$BO$29</f>
        <v>0</v>
      </c>
      <c r="JU8" s="55">
        <f>'3'!$BP$29</f>
        <v>0</v>
      </c>
      <c r="JV8" s="55">
        <f>'3'!$BQ$29</f>
        <v>0</v>
      </c>
      <c r="JW8" s="55">
        <f>'3'!$BR$29</f>
        <v>0</v>
      </c>
      <c r="JX8" s="55">
        <f>'3'!$BS$29</f>
        <v>0</v>
      </c>
      <c r="JY8" s="55">
        <f>'3'!$BT$29</f>
        <v>0</v>
      </c>
      <c r="JZ8" s="55">
        <f>'3'!$BU$29</f>
        <v>0</v>
      </c>
      <c r="KA8" s="55">
        <f>'3'!$BV$29</f>
        <v>0</v>
      </c>
      <c r="KB8" s="55">
        <f>'3'!$BW$29</f>
        <v>0</v>
      </c>
      <c r="KC8" s="55">
        <f>'3'!$BX$29</f>
        <v>0</v>
      </c>
      <c r="KD8" s="55">
        <f>'3'!$BY$29</f>
        <v>0</v>
      </c>
    </row>
    <row r="9" spans="1:290" ht="15" x14ac:dyDescent="0.25">
      <c r="A9" s="50">
        <v>46177</v>
      </c>
      <c r="B9" s="52"/>
      <c r="C9" s="55">
        <f>'4'!$BN$6</f>
        <v>0</v>
      </c>
      <c r="D9" s="55">
        <f>'4'!$BO$6</f>
        <v>0</v>
      </c>
      <c r="E9" s="55">
        <f>'4'!$BP$6</f>
        <v>0</v>
      </c>
      <c r="F9" s="55">
        <f>'4'!$BQ$6</f>
        <v>0</v>
      </c>
      <c r="G9" s="55">
        <f>'4'!$BR$6</f>
        <v>0</v>
      </c>
      <c r="H9" s="55">
        <f>'4'!$BS$6</f>
        <v>0</v>
      </c>
      <c r="I9" s="55">
        <f>'4'!$BT$6</f>
        <v>0</v>
      </c>
      <c r="J9" s="55">
        <f>'4'!$BU$6</f>
        <v>0</v>
      </c>
      <c r="K9" s="55">
        <f>'4'!$BV$6</f>
        <v>0</v>
      </c>
      <c r="L9" s="55">
        <f>'4'!$BW$6</f>
        <v>0</v>
      </c>
      <c r="M9" s="55">
        <f>'4'!$BX$6</f>
        <v>0</v>
      </c>
      <c r="N9" s="55">
        <f>'4'!$BY$6</f>
        <v>0</v>
      </c>
      <c r="O9" s="55">
        <f>'4'!$BN$7</f>
        <v>0</v>
      </c>
      <c r="P9" s="55">
        <f>'4'!$BO$7</f>
        <v>0</v>
      </c>
      <c r="Q9" s="55">
        <f>'4'!$BP$7</f>
        <v>0</v>
      </c>
      <c r="R9" s="55">
        <f>'4'!$BQ$7</f>
        <v>0</v>
      </c>
      <c r="S9" s="55">
        <f>'4'!$BR$7</f>
        <v>0</v>
      </c>
      <c r="T9" s="55">
        <f>'4'!$BS$7</f>
        <v>0</v>
      </c>
      <c r="U9" s="55">
        <f>'4'!$BT$7</f>
        <v>0</v>
      </c>
      <c r="V9" s="55">
        <f>'4'!$BU$7</f>
        <v>0</v>
      </c>
      <c r="W9" s="55">
        <f>'4'!$BV$7</f>
        <v>0</v>
      </c>
      <c r="X9" s="55">
        <f>'4'!$BW$7</f>
        <v>0</v>
      </c>
      <c r="Y9" s="55">
        <f>'4'!$BX$7</f>
        <v>0</v>
      </c>
      <c r="Z9" s="55">
        <f>'4'!$BY$7</f>
        <v>0</v>
      </c>
      <c r="AA9" s="55">
        <f>'4'!$BN$8</f>
        <v>0</v>
      </c>
      <c r="AB9" s="55">
        <f>'4'!$BO$8</f>
        <v>0</v>
      </c>
      <c r="AC9" s="55">
        <f>'4'!$BP$8</f>
        <v>0</v>
      </c>
      <c r="AD9" s="55">
        <f>'4'!$BQ$8</f>
        <v>0</v>
      </c>
      <c r="AE9" s="55">
        <f>'4'!$BR$8</f>
        <v>0</v>
      </c>
      <c r="AF9" s="55">
        <f>'4'!$BS$8</f>
        <v>0</v>
      </c>
      <c r="AG9" s="55">
        <f>'4'!$BT$8</f>
        <v>0</v>
      </c>
      <c r="AH9" s="55">
        <f>'4'!$BU$8</f>
        <v>0</v>
      </c>
      <c r="AI9" s="55">
        <f>'4'!$BV$8</f>
        <v>0</v>
      </c>
      <c r="AJ9" s="55">
        <f>'4'!$BW$8</f>
        <v>0</v>
      </c>
      <c r="AK9" s="55">
        <f>'4'!$BX$8</f>
        <v>0</v>
      </c>
      <c r="AL9" s="55">
        <f>'4'!$BY$8</f>
        <v>0</v>
      </c>
      <c r="AM9" s="55">
        <f>'4'!$BN$9</f>
        <v>0</v>
      </c>
      <c r="AN9" s="55">
        <f>'4'!$BO$9</f>
        <v>0</v>
      </c>
      <c r="AO9" s="55">
        <f>'4'!$BP$9</f>
        <v>0</v>
      </c>
      <c r="AP9" s="55">
        <f>'4'!$BQ$9</f>
        <v>0</v>
      </c>
      <c r="AQ9" s="55">
        <f>'4'!$BR$9</f>
        <v>0</v>
      </c>
      <c r="AR9" s="55">
        <f>'4'!$BS$9</f>
        <v>0</v>
      </c>
      <c r="AS9" s="55">
        <f>'4'!$BT$9</f>
        <v>0</v>
      </c>
      <c r="AT9" s="55">
        <f>'4'!$BU$9</f>
        <v>0</v>
      </c>
      <c r="AU9" s="55">
        <f>'4'!$BV$9</f>
        <v>0</v>
      </c>
      <c r="AV9" s="55">
        <f>'4'!$BW$9</f>
        <v>0</v>
      </c>
      <c r="AW9" s="55">
        <f>'4'!$BX$9</f>
        <v>0</v>
      </c>
      <c r="AX9" s="55">
        <f>'4'!$BY$9</f>
        <v>0</v>
      </c>
      <c r="AY9" s="55">
        <f>'4'!$BN$10</f>
        <v>0</v>
      </c>
      <c r="AZ9" s="55">
        <f>'4'!$BO$10</f>
        <v>0</v>
      </c>
      <c r="BA9" s="55">
        <f>'4'!$BP$10</f>
        <v>0</v>
      </c>
      <c r="BB9" s="55">
        <f>'4'!$BQ$10</f>
        <v>0</v>
      </c>
      <c r="BC9" s="55">
        <f>'4'!$BR$10</f>
        <v>0</v>
      </c>
      <c r="BD9" s="55">
        <f>'4'!$BS$10</f>
        <v>0</v>
      </c>
      <c r="BE9" s="55">
        <f>'4'!$BT$10</f>
        <v>0</v>
      </c>
      <c r="BF9" s="55">
        <f>'4'!$BU$10</f>
        <v>0</v>
      </c>
      <c r="BG9" s="55">
        <f>'4'!$BV$10</f>
        <v>0</v>
      </c>
      <c r="BH9" s="55">
        <f>'4'!$BW$10</f>
        <v>0</v>
      </c>
      <c r="BI9" s="55">
        <f>'4'!$BX$10</f>
        <v>0</v>
      </c>
      <c r="BJ9" s="55">
        <f>'4'!$BY$10</f>
        <v>0</v>
      </c>
      <c r="BK9" s="55">
        <f>'4'!$BN$11</f>
        <v>0</v>
      </c>
      <c r="BL9" s="55">
        <f>'4'!$BO$11</f>
        <v>0</v>
      </c>
      <c r="BM9" s="55">
        <f>'4'!$BP$11</f>
        <v>0</v>
      </c>
      <c r="BN9" s="55">
        <f>'4'!$BQ$11</f>
        <v>0</v>
      </c>
      <c r="BO9" s="55">
        <f>'4'!$BR$11</f>
        <v>0</v>
      </c>
      <c r="BP9" s="55">
        <f>'4'!$BS$11</f>
        <v>0</v>
      </c>
      <c r="BQ9" s="55">
        <f>'4'!$BT$11</f>
        <v>0</v>
      </c>
      <c r="BR9" s="55">
        <f>'4'!$BU$11</f>
        <v>0</v>
      </c>
      <c r="BS9" s="55">
        <f>'4'!$BV$11</f>
        <v>0</v>
      </c>
      <c r="BT9" s="55">
        <f>'4'!$BW$11</f>
        <v>0</v>
      </c>
      <c r="BU9" s="55">
        <f>'4'!$BX$11</f>
        <v>0</v>
      </c>
      <c r="BV9" s="55">
        <f>'4'!$BY$11</f>
        <v>0</v>
      </c>
      <c r="BW9" s="55">
        <f>'4'!$BN$12</f>
        <v>0</v>
      </c>
      <c r="BX9" s="55">
        <f>'4'!$BO$12</f>
        <v>0</v>
      </c>
      <c r="BY9" s="55">
        <f>'4'!$BP$12</f>
        <v>0</v>
      </c>
      <c r="BZ9" s="55">
        <f>'4'!$BQ$12</f>
        <v>0</v>
      </c>
      <c r="CA9" s="55">
        <f>'4'!$BR$12</f>
        <v>0</v>
      </c>
      <c r="CB9" s="55">
        <f>'4'!$BS$12</f>
        <v>0</v>
      </c>
      <c r="CC9" s="55">
        <f>'4'!$BT$12</f>
        <v>0</v>
      </c>
      <c r="CD9" s="55">
        <f>'4'!$BU$12</f>
        <v>0</v>
      </c>
      <c r="CE9" s="55">
        <f>'4'!$BV$12</f>
        <v>0</v>
      </c>
      <c r="CF9" s="55">
        <f>'4'!$BW$12</f>
        <v>0</v>
      </c>
      <c r="CG9" s="55">
        <f>'4'!$BX$12</f>
        <v>0</v>
      </c>
      <c r="CH9" s="55">
        <f>'4'!$BY$12</f>
        <v>0</v>
      </c>
      <c r="CI9" s="55">
        <f>'4'!$BN$13</f>
        <v>0</v>
      </c>
      <c r="CJ9" s="55">
        <f>'4'!$BO$13</f>
        <v>0</v>
      </c>
      <c r="CK9" s="55">
        <f>'4'!$BP$13</f>
        <v>0</v>
      </c>
      <c r="CL9" s="55">
        <f>'4'!$BQ$13</f>
        <v>0</v>
      </c>
      <c r="CM9" s="55">
        <f>'4'!$BR$13</f>
        <v>0</v>
      </c>
      <c r="CN9" s="55">
        <f>'4'!$BS$13</f>
        <v>0</v>
      </c>
      <c r="CO9" s="55">
        <f>'4'!$BT$13</f>
        <v>0</v>
      </c>
      <c r="CP9" s="55">
        <f>'4'!$BU$13</f>
        <v>0</v>
      </c>
      <c r="CQ9" s="55">
        <f>'4'!$BV$13</f>
        <v>0</v>
      </c>
      <c r="CR9" s="55">
        <f>'4'!$BW$13</f>
        <v>0</v>
      </c>
      <c r="CS9" s="55">
        <f>'4'!$BX$13</f>
        <v>0</v>
      </c>
      <c r="CT9" s="55">
        <f>'4'!$BY$13</f>
        <v>0</v>
      </c>
      <c r="CU9" s="55">
        <f>'4'!$BN$14</f>
        <v>0</v>
      </c>
      <c r="CV9" s="55">
        <f>'4'!$BO$14</f>
        <v>0</v>
      </c>
      <c r="CW9" s="55">
        <f>'4'!$BP$14</f>
        <v>0</v>
      </c>
      <c r="CX9" s="55">
        <f>'4'!$BQ$14</f>
        <v>0</v>
      </c>
      <c r="CY9" s="55">
        <f>'4'!$BR$14</f>
        <v>0</v>
      </c>
      <c r="CZ9" s="55">
        <f>'4'!$BS$14</f>
        <v>0</v>
      </c>
      <c r="DA9" s="55">
        <f>'4'!$BT$14</f>
        <v>0</v>
      </c>
      <c r="DB9" s="55">
        <f>'4'!$BU$14</f>
        <v>0</v>
      </c>
      <c r="DC9" s="55">
        <f>'4'!$BV$14</f>
        <v>0</v>
      </c>
      <c r="DD9" s="55">
        <f>'4'!$BW$14</f>
        <v>0</v>
      </c>
      <c r="DE9" s="55">
        <f>'4'!$BX$14</f>
        <v>0</v>
      </c>
      <c r="DF9" s="55">
        <f>'4'!$BY$14</f>
        <v>0</v>
      </c>
      <c r="DG9" s="55">
        <f>'4'!$BN$15</f>
        <v>0</v>
      </c>
      <c r="DH9" s="55">
        <f>'4'!$BO$15</f>
        <v>0</v>
      </c>
      <c r="DI9" s="55">
        <f>'4'!$BP$15</f>
        <v>0</v>
      </c>
      <c r="DJ9" s="55">
        <f>'4'!$BQ$15</f>
        <v>0</v>
      </c>
      <c r="DK9" s="55">
        <f>'4'!$BR$15</f>
        <v>0</v>
      </c>
      <c r="DL9" s="55">
        <f>'4'!$BS$15</f>
        <v>0</v>
      </c>
      <c r="DM9" s="55">
        <f>'4'!$BT$15</f>
        <v>0</v>
      </c>
      <c r="DN9" s="55">
        <f>'4'!$BU$15</f>
        <v>0</v>
      </c>
      <c r="DO9" s="55">
        <f>'4'!$BV$15</f>
        <v>0</v>
      </c>
      <c r="DP9" s="55">
        <f>'4'!$BW$15</f>
        <v>0</v>
      </c>
      <c r="DQ9" s="55">
        <f>'4'!$BX$15</f>
        <v>0</v>
      </c>
      <c r="DR9" s="55">
        <f>'4'!$BY$15</f>
        <v>0</v>
      </c>
      <c r="DS9" s="55">
        <f>'4'!$BN$16</f>
        <v>0</v>
      </c>
      <c r="DT9" s="55">
        <f>'4'!$BO$16</f>
        <v>0</v>
      </c>
      <c r="DU9" s="55">
        <f>'4'!$BP$16</f>
        <v>0</v>
      </c>
      <c r="DV9" s="55">
        <f>'4'!$BQ$16</f>
        <v>0</v>
      </c>
      <c r="DW9" s="55">
        <f>'4'!$BR$16</f>
        <v>0</v>
      </c>
      <c r="DX9" s="55">
        <f>'4'!$BS$16</f>
        <v>0</v>
      </c>
      <c r="DY9" s="55">
        <f>'4'!$BT$16</f>
        <v>0</v>
      </c>
      <c r="DZ9" s="55">
        <f>'4'!$BU$16</f>
        <v>0</v>
      </c>
      <c r="EA9" s="55">
        <f>'4'!$BV$16</f>
        <v>0</v>
      </c>
      <c r="EB9" s="55">
        <f>'4'!$BW$16</f>
        <v>0</v>
      </c>
      <c r="EC9" s="55">
        <f>'4'!$BX$16</f>
        <v>0</v>
      </c>
      <c r="ED9" s="55">
        <f>'4'!$BY$16</f>
        <v>0</v>
      </c>
      <c r="EE9" s="55">
        <f>'4'!$BN$17</f>
        <v>0</v>
      </c>
      <c r="EF9" s="55">
        <f>'4'!$BO$17</f>
        <v>0</v>
      </c>
      <c r="EG9" s="55">
        <f>'4'!$BP$17</f>
        <v>0</v>
      </c>
      <c r="EH9" s="55">
        <f>'4'!$BQ$17</f>
        <v>0</v>
      </c>
      <c r="EI9" s="55">
        <f>'4'!$BR$17</f>
        <v>0</v>
      </c>
      <c r="EJ9" s="55">
        <f>'4'!$BS$17</f>
        <v>0</v>
      </c>
      <c r="EK9" s="55">
        <f>'4'!$BT$17</f>
        <v>0</v>
      </c>
      <c r="EL9" s="55">
        <f>'4'!$BU$17</f>
        <v>0</v>
      </c>
      <c r="EM9" s="55">
        <f>'4'!$BV$17</f>
        <v>0</v>
      </c>
      <c r="EN9" s="55">
        <f>'4'!$BW$17</f>
        <v>0</v>
      </c>
      <c r="EO9" s="55">
        <f>'4'!$BX$17</f>
        <v>0</v>
      </c>
      <c r="EP9" s="55">
        <f>'4'!$BY$17</f>
        <v>0</v>
      </c>
      <c r="EQ9" s="55">
        <f>'4'!$BN$18</f>
        <v>0</v>
      </c>
      <c r="ER9" s="55">
        <f>'4'!$BO$18</f>
        <v>0</v>
      </c>
      <c r="ES9" s="55">
        <f>'4'!$BP$18</f>
        <v>0</v>
      </c>
      <c r="ET9" s="55">
        <f>'4'!$BQ$18</f>
        <v>0</v>
      </c>
      <c r="EU9" s="55">
        <f>'4'!$BR$18</f>
        <v>0</v>
      </c>
      <c r="EV9" s="55">
        <f>'4'!$BS$18</f>
        <v>0</v>
      </c>
      <c r="EW9" s="55">
        <f>'4'!$BT$18</f>
        <v>0</v>
      </c>
      <c r="EX9" s="55">
        <f>'4'!$BU$18</f>
        <v>0</v>
      </c>
      <c r="EY9" s="55">
        <f>'4'!$BV$18</f>
        <v>0</v>
      </c>
      <c r="EZ9" s="55">
        <f>'4'!$BW$18</f>
        <v>0</v>
      </c>
      <c r="FA9" s="55">
        <f>'4'!$BX$18</f>
        <v>0</v>
      </c>
      <c r="FB9" s="55">
        <f>'4'!$BY$18</f>
        <v>0</v>
      </c>
      <c r="FC9" s="55">
        <f>'4'!$BN$19</f>
        <v>0</v>
      </c>
      <c r="FD9" s="55">
        <f>'4'!$BO$19</f>
        <v>0</v>
      </c>
      <c r="FE9" s="55">
        <f>'4'!$BP$19</f>
        <v>0</v>
      </c>
      <c r="FF9" s="55">
        <f>'4'!$BQ$19</f>
        <v>0</v>
      </c>
      <c r="FG9" s="55">
        <f>'4'!$BR$19</f>
        <v>0</v>
      </c>
      <c r="FH9" s="55">
        <f>'4'!$BS$19</f>
        <v>0</v>
      </c>
      <c r="FI9" s="55">
        <f>'4'!$BT$19</f>
        <v>0</v>
      </c>
      <c r="FJ9" s="55">
        <f>'4'!$BU$19</f>
        <v>0</v>
      </c>
      <c r="FK9" s="55">
        <f>'4'!$BV$19</f>
        <v>0</v>
      </c>
      <c r="FL9" s="55">
        <f>'4'!$BW$19</f>
        <v>0</v>
      </c>
      <c r="FM9" s="55">
        <f>'4'!$BX$19</f>
        <v>0</v>
      </c>
      <c r="FN9" s="55">
        <f>'4'!$BY$19</f>
        <v>0</v>
      </c>
      <c r="FO9" s="55">
        <f>'4'!$BN$20</f>
        <v>0</v>
      </c>
      <c r="FP9" s="55">
        <f>'4'!$BO$20</f>
        <v>0</v>
      </c>
      <c r="FQ9" s="55">
        <f>'4'!$BP$20</f>
        <v>0</v>
      </c>
      <c r="FR9" s="55">
        <f>'4'!$BQ$20</f>
        <v>0</v>
      </c>
      <c r="FS9" s="55">
        <f>'4'!$BR$20</f>
        <v>0</v>
      </c>
      <c r="FT9" s="55">
        <f>'4'!$BS$20</f>
        <v>0</v>
      </c>
      <c r="FU9" s="55">
        <f>'4'!$BT$20</f>
        <v>0</v>
      </c>
      <c r="FV9" s="55">
        <f>'4'!$BU$20</f>
        <v>0</v>
      </c>
      <c r="FW9" s="55">
        <f>'4'!$BV$20</f>
        <v>0</v>
      </c>
      <c r="FX9" s="55">
        <f>'4'!$BW$20</f>
        <v>0</v>
      </c>
      <c r="FY9" s="55">
        <f>'4'!$BX$20</f>
        <v>0</v>
      </c>
      <c r="FZ9" s="55">
        <f>'4'!$BY$20</f>
        <v>0</v>
      </c>
      <c r="GA9" s="55">
        <f>'4'!$BN$21</f>
        <v>0</v>
      </c>
      <c r="GB9" s="55">
        <f>'4'!$BO$21</f>
        <v>0</v>
      </c>
      <c r="GC9" s="55">
        <f>'4'!$BP$21</f>
        <v>0</v>
      </c>
      <c r="GD9" s="55">
        <f>'4'!$BQ$21</f>
        <v>0</v>
      </c>
      <c r="GE9" s="55">
        <f>'4'!$BR$21</f>
        <v>0</v>
      </c>
      <c r="GF9" s="55">
        <f>'4'!$BS$21</f>
        <v>0</v>
      </c>
      <c r="GG9" s="55">
        <f>'4'!$BT$21</f>
        <v>0</v>
      </c>
      <c r="GH9" s="55">
        <f>'4'!$BU$21</f>
        <v>0</v>
      </c>
      <c r="GI9" s="55">
        <f>'4'!$BV$21</f>
        <v>0</v>
      </c>
      <c r="GJ9" s="55">
        <f>'4'!$BW$21</f>
        <v>0</v>
      </c>
      <c r="GK9" s="55">
        <f>'4'!$BX$21</f>
        <v>0</v>
      </c>
      <c r="GL9" s="55">
        <f>'4'!$BY$21</f>
        <v>0</v>
      </c>
      <c r="GM9" s="55">
        <f>'4'!$BN$22</f>
        <v>0</v>
      </c>
      <c r="GN9" s="55">
        <f>'4'!$BO$22</f>
        <v>0</v>
      </c>
      <c r="GO9" s="55">
        <f>'4'!$BP$22</f>
        <v>0</v>
      </c>
      <c r="GP9" s="55">
        <f>'4'!$BQ$22</f>
        <v>0</v>
      </c>
      <c r="GQ9" s="55">
        <f>'4'!$BR$22</f>
        <v>0</v>
      </c>
      <c r="GR9" s="55">
        <f>'4'!$BS$22</f>
        <v>0</v>
      </c>
      <c r="GS9" s="55">
        <f>'4'!$BT$22</f>
        <v>0</v>
      </c>
      <c r="GT9" s="55">
        <f>'4'!$BU$22</f>
        <v>0</v>
      </c>
      <c r="GU9" s="55">
        <f>'4'!$BV$22</f>
        <v>0</v>
      </c>
      <c r="GV9" s="55">
        <f>'4'!$BW$22</f>
        <v>0</v>
      </c>
      <c r="GW9" s="55">
        <f>'4'!$BX$22</f>
        <v>0</v>
      </c>
      <c r="GX9" s="55">
        <f>'4'!$BY$22</f>
        <v>0</v>
      </c>
      <c r="GY9" s="55">
        <f>'4'!$BN$23</f>
        <v>0</v>
      </c>
      <c r="GZ9" s="55">
        <f>'4'!$BO$23</f>
        <v>0</v>
      </c>
      <c r="HA9" s="55">
        <f>'4'!$BP$23</f>
        <v>0</v>
      </c>
      <c r="HB9" s="55">
        <f>'4'!$BQ$23</f>
        <v>0</v>
      </c>
      <c r="HC9" s="55">
        <f>'4'!$BR$23</f>
        <v>0</v>
      </c>
      <c r="HD9" s="55">
        <f>'4'!$BS$23</f>
        <v>0</v>
      </c>
      <c r="HE9" s="55">
        <f>'4'!$BT$23</f>
        <v>0</v>
      </c>
      <c r="HF9" s="55">
        <f>'4'!$BU$23</f>
        <v>0</v>
      </c>
      <c r="HG9" s="55">
        <f>'4'!$BV$23</f>
        <v>0</v>
      </c>
      <c r="HH9" s="55">
        <f>'4'!$BW$23</f>
        <v>0</v>
      </c>
      <c r="HI9" s="55">
        <f>'4'!$BX$23</f>
        <v>0</v>
      </c>
      <c r="HJ9" s="55">
        <f>'4'!$BY$23</f>
        <v>0</v>
      </c>
      <c r="HK9" s="55">
        <f>'4'!$BN$24</f>
        <v>0</v>
      </c>
      <c r="HL9" s="55">
        <f>'4'!$BO$24</f>
        <v>0</v>
      </c>
      <c r="HM9" s="55">
        <f>'4'!$BP$24</f>
        <v>0</v>
      </c>
      <c r="HN9" s="55">
        <f>'4'!$BQ$24</f>
        <v>0</v>
      </c>
      <c r="HO9" s="55">
        <f>'4'!$BR$24</f>
        <v>0</v>
      </c>
      <c r="HP9" s="55">
        <f>'4'!$BS$24</f>
        <v>0</v>
      </c>
      <c r="HQ9" s="55">
        <f>'4'!$BT$24</f>
        <v>0</v>
      </c>
      <c r="HR9" s="55">
        <f>'4'!$BU$24</f>
        <v>0</v>
      </c>
      <c r="HS9" s="55">
        <f>'4'!$BV$24</f>
        <v>0</v>
      </c>
      <c r="HT9" s="55">
        <f>'4'!$BW$24</f>
        <v>0</v>
      </c>
      <c r="HU9" s="55">
        <f>'4'!$BX$24</f>
        <v>0</v>
      </c>
      <c r="HV9" s="55">
        <f>'4'!$BY$24</f>
        <v>0</v>
      </c>
      <c r="HW9" s="55">
        <f>'4'!$BN$25</f>
        <v>0</v>
      </c>
      <c r="HX9" s="55">
        <f>'4'!$BO$25</f>
        <v>0</v>
      </c>
      <c r="HY9" s="55">
        <f>'4'!$BP$25</f>
        <v>0</v>
      </c>
      <c r="HZ9" s="55">
        <f>'4'!$BQ$25</f>
        <v>0</v>
      </c>
      <c r="IA9" s="55">
        <f>'4'!$BR$25</f>
        <v>0</v>
      </c>
      <c r="IB9" s="55">
        <f>'4'!$BS$25</f>
        <v>0</v>
      </c>
      <c r="IC9" s="55">
        <f>'4'!$BT$25</f>
        <v>0</v>
      </c>
      <c r="ID9" s="55">
        <f>'4'!$BU$25</f>
        <v>0</v>
      </c>
      <c r="IE9" s="55">
        <f>'4'!$BV$25</f>
        <v>0</v>
      </c>
      <c r="IF9" s="55">
        <f>'4'!$BW$25</f>
        <v>0</v>
      </c>
      <c r="IG9" s="55">
        <f>'4'!$BX$25</f>
        <v>0</v>
      </c>
      <c r="IH9" s="55">
        <f>'4'!$BY$25</f>
        <v>0</v>
      </c>
      <c r="II9" s="55">
        <f>'4'!$BN$26</f>
        <v>0</v>
      </c>
      <c r="IJ9" s="55">
        <f>'4'!$BO$26</f>
        <v>0</v>
      </c>
      <c r="IK9" s="55">
        <f>'4'!$BP$26</f>
        <v>0</v>
      </c>
      <c r="IL9" s="55">
        <f>'4'!$BQ$26</f>
        <v>0</v>
      </c>
      <c r="IM9" s="55">
        <f>'4'!$BR$26</f>
        <v>0</v>
      </c>
      <c r="IN9" s="55">
        <f>'4'!$BS$26</f>
        <v>0</v>
      </c>
      <c r="IO9" s="55">
        <f>'4'!$BT$26</f>
        <v>0</v>
      </c>
      <c r="IP9" s="55">
        <f>'4'!$BU$26</f>
        <v>0</v>
      </c>
      <c r="IQ9" s="55">
        <f>'4'!$BV$26</f>
        <v>0</v>
      </c>
      <c r="IR9" s="55">
        <f>'4'!$BW$26</f>
        <v>0</v>
      </c>
      <c r="IS9" s="55">
        <f>'4'!$BX$26</f>
        <v>0</v>
      </c>
      <c r="IT9" s="55">
        <f>'4'!$BY$26</f>
        <v>0</v>
      </c>
      <c r="IU9" s="55">
        <f>'4'!$BN$27</f>
        <v>0</v>
      </c>
      <c r="IV9" s="55">
        <f>'4'!$BO$27</f>
        <v>0</v>
      </c>
      <c r="IW9" s="55">
        <f>'4'!$BP$27</f>
        <v>0</v>
      </c>
      <c r="IX9" s="55">
        <f>'4'!$BQ$27</f>
        <v>0</v>
      </c>
      <c r="IY9" s="55">
        <f>'4'!$BR$27</f>
        <v>0</v>
      </c>
      <c r="IZ9" s="55">
        <f>'4'!$BS$27</f>
        <v>0</v>
      </c>
      <c r="JA9" s="55">
        <f>'4'!$BT$27</f>
        <v>0</v>
      </c>
      <c r="JB9" s="55">
        <f>'4'!$BU$27</f>
        <v>0</v>
      </c>
      <c r="JC9" s="55">
        <f>'4'!$BV$27</f>
        <v>0</v>
      </c>
      <c r="JD9" s="55">
        <f>'4'!$BW$27</f>
        <v>0</v>
      </c>
      <c r="JE9" s="55">
        <f>'4'!$BX$27</f>
        <v>0</v>
      </c>
      <c r="JF9" s="55">
        <f>'4'!$BY$27</f>
        <v>0</v>
      </c>
      <c r="JG9" s="55">
        <f>'4'!$BN$28</f>
        <v>0</v>
      </c>
      <c r="JH9" s="55">
        <f>'4'!$BO$28</f>
        <v>0</v>
      </c>
      <c r="JI9" s="55">
        <f>'4'!$BP$28</f>
        <v>0</v>
      </c>
      <c r="JJ9" s="55">
        <f>'4'!$BQ$28</f>
        <v>0</v>
      </c>
      <c r="JK9" s="55">
        <f>'4'!$BR$28</f>
        <v>0</v>
      </c>
      <c r="JL9" s="55">
        <f>'4'!$BS$28</f>
        <v>0</v>
      </c>
      <c r="JM9" s="55">
        <f>'4'!$BT$28</f>
        <v>0</v>
      </c>
      <c r="JN9" s="55">
        <f>'4'!$BU$28</f>
        <v>0</v>
      </c>
      <c r="JO9" s="55">
        <f>'4'!$BV$28</f>
        <v>0</v>
      </c>
      <c r="JP9" s="55">
        <f>'4'!$BW$28</f>
        <v>0</v>
      </c>
      <c r="JQ9" s="55">
        <f>'4'!$BX$28</f>
        <v>0</v>
      </c>
      <c r="JR9" s="55">
        <f>'4'!$BY$28</f>
        <v>0</v>
      </c>
      <c r="JS9" s="55">
        <f>'4'!$BN$29</f>
        <v>0</v>
      </c>
      <c r="JT9" s="55">
        <f>'4'!$BO$29</f>
        <v>0</v>
      </c>
      <c r="JU9" s="55">
        <f>'4'!$BP$29</f>
        <v>0</v>
      </c>
      <c r="JV9" s="55">
        <f>'4'!$BQ$29</f>
        <v>0</v>
      </c>
      <c r="JW9" s="55">
        <f>'4'!$BR$29</f>
        <v>0</v>
      </c>
      <c r="JX9" s="55">
        <f>'4'!$BS$29</f>
        <v>0</v>
      </c>
      <c r="JY9" s="55">
        <f>'4'!$BT$29</f>
        <v>0</v>
      </c>
      <c r="JZ9" s="55">
        <f>'4'!$BU$29</f>
        <v>0</v>
      </c>
      <c r="KA9" s="55">
        <f>'4'!$BV$29</f>
        <v>0</v>
      </c>
      <c r="KB9" s="55">
        <f>'4'!$BW$29</f>
        <v>0</v>
      </c>
      <c r="KC9" s="55">
        <f>'4'!$BX$29</f>
        <v>0</v>
      </c>
      <c r="KD9" s="55">
        <f>'4'!$BY$29</f>
        <v>0</v>
      </c>
    </row>
    <row r="10" spans="1:290" ht="15" x14ac:dyDescent="0.25">
      <c r="A10" s="50">
        <v>46178</v>
      </c>
      <c r="B10" s="52"/>
      <c r="C10" s="55">
        <f>'5'!$BN$6</f>
        <v>0</v>
      </c>
      <c r="D10" s="55">
        <f>'5'!$BO$6</f>
        <v>0</v>
      </c>
      <c r="E10" s="55">
        <f>'5'!$BP$6</f>
        <v>0</v>
      </c>
      <c r="F10" s="55">
        <f>'5'!$BQ$6</f>
        <v>0</v>
      </c>
      <c r="G10" s="55">
        <f>'5'!$BR$6</f>
        <v>0</v>
      </c>
      <c r="H10" s="55">
        <f>'5'!$BS$6</f>
        <v>0</v>
      </c>
      <c r="I10" s="55">
        <f>'5'!$BT$6</f>
        <v>0</v>
      </c>
      <c r="J10" s="55">
        <f>'5'!$BU$6</f>
        <v>0</v>
      </c>
      <c r="K10" s="55">
        <f>'5'!$BV$6</f>
        <v>0</v>
      </c>
      <c r="L10" s="55">
        <f>'5'!$BW$6</f>
        <v>0</v>
      </c>
      <c r="M10" s="55">
        <f>'5'!$BX$6</f>
        <v>0</v>
      </c>
      <c r="N10" s="55">
        <f>'5'!$BY$6</f>
        <v>0</v>
      </c>
      <c r="O10" s="55">
        <f>'5'!$BN$7</f>
        <v>0</v>
      </c>
      <c r="P10" s="55">
        <f>'5'!$BO$7</f>
        <v>0</v>
      </c>
      <c r="Q10" s="55">
        <f>'5'!$BP$7</f>
        <v>0</v>
      </c>
      <c r="R10" s="55">
        <f>'5'!$BQ$7</f>
        <v>0</v>
      </c>
      <c r="S10" s="55">
        <f>'5'!$BR$7</f>
        <v>0</v>
      </c>
      <c r="T10" s="55">
        <f>'5'!$BS$7</f>
        <v>0</v>
      </c>
      <c r="U10" s="55">
        <f>'5'!$BT$7</f>
        <v>0</v>
      </c>
      <c r="V10" s="55">
        <f>'5'!$BU$7</f>
        <v>0</v>
      </c>
      <c r="W10" s="55">
        <f>'5'!$BV$7</f>
        <v>0</v>
      </c>
      <c r="X10" s="55">
        <f>'5'!$BW$7</f>
        <v>0</v>
      </c>
      <c r="Y10" s="55">
        <f>'5'!$BX$7</f>
        <v>0</v>
      </c>
      <c r="Z10" s="55">
        <f>'5'!$BY$7</f>
        <v>0</v>
      </c>
      <c r="AA10" s="55">
        <f>'5'!$BN$8</f>
        <v>0</v>
      </c>
      <c r="AB10" s="55">
        <f>'5'!$BO$8</f>
        <v>0</v>
      </c>
      <c r="AC10" s="55">
        <f>'5'!$BP$8</f>
        <v>0</v>
      </c>
      <c r="AD10" s="55">
        <f>'5'!$BQ$8</f>
        <v>0</v>
      </c>
      <c r="AE10" s="55">
        <f>'5'!$BR$8</f>
        <v>0</v>
      </c>
      <c r="AF10" s="55">
        <f>'5'!$BS$8</f>
        <v>0</v>
      </c>
      <c r="AG10" s="55">
        <f>'5'!$BT$8</f>
        <v>0</v>
      </c>
      <c r="AH10" s="55">
        <f>'5'!$BU$8</f>
        <v>0</v>
      </c>
      <c r="AI10" s="55">
        <f>'5'!$BV$8</f>
        <v>0</v>
      </c>
      <c r="AJ10" s="55">
        <f>'5'!$BW$8</f>
        <v>0</v>
      </c>
      <c r="AK10" s="55">
        <f>'5'!$BX$8</f>
        <v>0</v>
      </c>
      <c r="AL10" s="55">
        <f>'5'!$BY$8</f>
        <v>0</v>
      </c>
      <c r="AM10" s="55">
        <f>'5'!$BN$9</f>
        <v>0</v>
      </c>
      <c r="AN10" s="55">
        <f>'5'!$BO$9</f>
        <v>0</v>
      </c>
      <c r="AO10" s="55">
        <f>'5'!$BP$9</f>
        <v>0</v>
      </c>
      <c r="AP10" s="55">
        <f>'5'!$BQ$9</f>
        <v>0</v>
      </c>
      <c r="AQ10" s="55">
        <f>'5'!$BR$9</f>
        <v>0</v>
      </c>
      <c r="AR10" s="55">
        <f>'5'!$BS$9</f>
        <v>0</v>
      </c>
      <c r="AS10" s="55">
        <f>'5'!$BT$9</f>
        <v>0</v>
      </c>
      <c r="AT10" s="55">
        <f>'5'!$BU$9</f>
        <v>0</v>
      </c>
      <c r="AU10" s="55">
        <f>'5'!$BV$9</f>
        <v>0</v>
      </c>
      <c r="AV10" s="55">
        <f>'5'!$BW$9</f>
        <v>0</v>
      </c>
      <c r="AW10" s="55">
        <f>'5'!$BX$9</f>
        <v>0</v>
      </c>
      <c r="AX10" s="55">
        <f>'5'!$BY$9</f>
        <v>0</v>
      </c>
      <c r="AY10" s="55">
        <f>'5'!$BN$10</f>
        <v>0</v>
      </c>
      <c r="AZ10" s="55">
        <f>'5'!$BO$10</f>
        <v>0</v>
      </c>
      <c r="BA10" s="55">
        <f>'5'!$BP$10</f>
        <v>0</v>
      </c>
      <c r="BB10" s="55">
        <f>'5'!$BQ$10</f>
        <v>0</v>
      </c>
      <c r="BC10" s="55">
        <f>'5'!$BR$10</f>
        <v>0</v>
      </c>
      <c r="BD10" s="55">
        <f>'5'!$BS$10</f>
        <v>0</v>
      </c>
      <c r="BE10" s="55">
        <f>'5'!$BT$10</f>
        <v>0</v>
      </c>
      <c r="BF10" s="55">
        <f>'5'!$BU$10</f>
        <v>0</v>
      </c>
      <c r="BG10" s="55">
        <f>'5'!$BV$10</f>
        <v>0</v>
      </c>
      <c r="BH10" s="55">
        <f>'5'!$BW$10</f>
        <v>0</v>
      </c>
      <c r="BI10" s="55">
        <f>'5'!$BX$10</f>
        <v>0</v>
      </c>
      <c r="BJ10" s="55">
        <f>'5'!$BY$10</f>
        <v>0</v>
      </c>
      <c r="BK10" s="55">
        <f>'5'!$BN$11</f>
        <v>0</v>
      </c>
      <c r="BL10" s="55">
        <f>'5'!$BO$11</f>
        <v>0</v>
      </c>
      <c r="BM10" s="55">
        <f>'5'!$BP$11</f>
        <v>0</v>
      </c>
      <c r="BN10" s="55">
        <f>'5'!$BQ$11</f>
        <v>0</v>
      </c>
      <c r="BO10" s="55">
        <f>'5'!$BR$11</f>
        <v>0</v>
      </c>
      <c r="BP10" s="55">
        <f>'5'!$BS$11</f>
        <v>0</v>
      </c>
      <c r="BQ10" s="55">
        <f>'5'!$BT$11</f>
        <v>0</v>
      </c>
      <c r="BR10" s="55">
        <f>'5'!$BU$11</f>
        <v>0</v>
      </c>
      <c r="BS10" s="55">
        <f>'5'!$BV$11</f>
        <v>0</v>
      </c>
      <c r="BT10" s="55">
        <f>'5'!$BW$11</f>
        <v>0</v>
      </c>
      <c r="BU10" s="55">
        <f>'5'!$BX$11</f>
        <v>0</v>
      </c>
      <c r="BV10" s="55">
        <f>'5'!$BY$11</f>
        <v>0</v>
      </c>
      <c r="BW10" s="55">
        <f>'5'!$BN$12</f>
        <v>0</v>
      </c>
      <c r="BX10" s="55">
        <f>'5'!$BO$12</f>
        <v>0</v>
      </c>
      <c r="BY10" s="55">
        <f>'5'!$BP$12</f>
        <v>0</v>
      </c>
      <c r="BZ10" s="55">
        <f>'5'!$BQ$12</f>
        <v>0</v>
      </c>
      <c r="CA10" s="55">
        <f>'5'!$BR$12</f>
        <v>0</v>
      </c>
      <c r="CB10" s="55">
        <f>'5'!$BS$12</f>
        <v>0</v>
      </c>
      <c r="CC10" s="55">
        <f>'5'!$BT$12</f>
        <v>0</v>
      </c>
      <c r="CD10" s="55">
        <f>'5'!$BU$12</f>
        <v>0</v>
      </c>
      <c r="CE10" s="55">
        <f>'5'!$BV$12</f>
        <v>0</v>
      </c>
      <c r="CF10" s="55">
        <f>'5'!$BW$12</f>
        <v>0</v>
      </c>
      <c r="CG10" s="55">
        <f>'5'!$BX$12</f>
        <v>0</v>
      </c>
      <c r="CH10" s="55">
        <f>'5'!$BY$12</f>
        <v>0</v>
      </c>
      <c r="CI10" s="55">
        <f>'5'!$BN$13</f>
        <v>0</v>
      </c>
      <c r="CJ10" s="55">
        <f>'5'!$BO$13</f>
        <v>0</v>
      </c>
      <c r="CK10" s="55">
        <f>'5'!$BP$13</f>
        <v>0</v>
      </c>
      <c r="CL10" s="55">
        <f>'5'!$BQ$13</f>
        <v>0</v>
      </c>
      <c r="CM10" s="55">
        <f>'5'!$BR$13</f>
        <v>0</v>
      </c>
      <c r="CN10" s="55">
        <f>'5'!$BS$13</f>
        <v>0</v>
      </c>
      <c r="CO10" s="55">
        <f>'5'!$BT$13</f>
        <v>0</v>
      </c>
      <c r="CP10" s="55">
        <f>'5'!$BU$13</f>
        <v>0</v>
      </c>
      <c r="CQ10" s="55">
        <f>'5'!$BV$13</f>
        <v>0</v>
      </c>
      <c r="CR10" s="55">
        <f>'5'!$BW$13</f>
        <v>0</v>
      </c>
      <c r="CS10" s="55">
        <f>'5'!$BX$13</f>
        <v>0</v>
      </c>
      <c r="CT10" s="55">
        <f>'5'!$BY$13</f>
        <v>0</v>
      </c>
      <c r="CU10" s="55">
        <f>'5'!$BN$14</f>
        <v>0</v>
      </c>
      <c r="CV10" s="55">
        <f>'5'!$BO$14</f>
        <v>0</v>
      </c>
      <c r="CW10" s="55">
        <f>'5'!$BP$14</f>
        <v>0</v>
      </c>
      <c r="CX10" s="55">
        <f>'5'!$BQ$14</f>
        <v>0</v>
      </c>
      <c r="CY10" s="55">
        <f>'5'!$BR$14</f>
        <v>0</v>
      </c>
      <c r="CZ10" s="55">
        <f>'5'!$BS$14</f>
        <v>0</v>
      </c>
      <c r="DA10" s="55">
        <f>'5'!$BT$14</f>
        <v>0</v>
      </c>
      <c r="DB10" s="55">
        <f>'5'!$BU$14</f>
        <v>0</v>
      </c>
      <c r="DC10" s="55">
        <f>'5'!$BV$14</f>
        <v>0</v>
      </c>
      <c r="DD10" s="55">
        <f>'5'!$BW$14</f>
        <v>0</v>
      </c>
      <c r="DE10" s="55">
        <f>'5'!$BX$14</f>
        <v>0</v>
      </c>
      <c r="DF10" s="55">
        <f>'5'!$BY$14</f>
        <v>0</v>
      </c>
      <c r="DG10" s="55">
        <f>'5'!$BN$15</f>
        <v>0</v>
      </c>
      <c r="DH10" s="55">
        <f>'5'!$BO$15</f>
        <v>0</v>
      </c>
      <c r="DI10" s="55">
        <f>'5'!$BP$15</f>
        <v>0</v>
      </c>
      <c r="DJ10" s="55">
        <f>'5'!$BQ$15</f>
        <v>0</v>
      </c>
      <c r="DK10" s="55">
        <f>'5'!$BR$15</f>
        <v>0</v>
      </c>
      <c r="DL10" s="55">
        <f>'5'!$BS$15</f>
        <v>0</v>
      </c>
      <c r="DM10" s="55">
        <f>'5'!$BT$15</f>
        <v>0</v>
      </c>
      <c r="DN10" s="55">
        <f>'5'!$BU$15</f>
        <v>0</v>
      </c>
      <c r="DO10" s="55">
        <f>'5'!$BV$15</f>
        <v>0</v>
      </c>
      <c r="DP10" s="55">
        <f>'5'!$BW$15</f>
        <v>0</v>
      </c>
      <c r="DQ10" s="55">
        <f>'5'!$BX$15</f>
        <v>0</v>
      </c>
      <c r="DR10" s="55">
        <f>'5'!$BY$15</f>
        <v>0</v>
      </c>
      <c r="DS10" s="55">
        <f>'5'!$BN$16</f>
        <v>0</v>
      </c>
      <c r="DT10" s="55">
        <f>'5'!$BO$16</f>
        <v>0</v>
      </c>
      <c r="DU10" s="55">
        <f>'5'!$BP$16</f>
        <v>0</v>
      </c>
      <c r="DV10" s="55">
        <f>'5'!$BQ$16</f>
        <v>0</v>
      </c>
      <c r="DW10" s="55">
        <f>'5'!$BR$16</f>
        <v>0</v>
      </c>
      <c r="DX10" s="55">
        <f>'5'!$BS$16</f>
        <v>0</v>
      </c>
      <c r="DY10" s="55">
        <f>'5'!$BT$16</f>
        <v>0</v>
      </c>
      <c r="DZ10" s="55">
        <f>'5'!$BU$16</f>
        <v>0</v>
      </c>
      <c r="EA10" s="55">
        <f>'5'!$BV$16</f>
        <v>0</v>
      </c>
      <c r="EB10" s="55">
        <f>'5'!$BW$16</f>
        <v>0</v>
      </c>
      <c r="EC10" s="55">
        <f>'5'!$BX$16</f>
        <v>0</v>
      </c>
      <c r="ED10" s="55">
        <f>'5'!$BY$16</f>
        <v>0</v>
      </c>
      <c r="EE10" s="55">
        <f>'5'!$BN$17</f>
        <v>0</v>
      </c>
      <c r="EF10" s="55">
        <f>'5'!$BO$17</f>
        <v>0</v>
      </c>
      <c r="EG10" s="55">
        <f>'5'!$BP$17</f>
        <v>0</v>
      </c>
      <c r="EH10" s="55">
        <f>'5'!$BQ$17</f>
        <v>0</v>
      </c>
      <c r="EI10" s="55">
        <f>'5'!$BR$17</f>
        <v>0</v>
      </c>
      <c r="EJ10" s="55">
        <f>'5'!$BS$17</f>
        <v>0</v>
      </c>
      <c r="EK10" s="55">
        <f>'5'!$BT$17</f>
        <v>0</v>
      </c>
      <c r="EL10" s="55">
        <f>'5'!$BU$17</f>
        <v>0</v>
      </c>
      <c r="EM10" s="55">
        <f>'5'!$BV$17</f>
        <v>0</v>
      </c>
      <c r="EN10" s="55">
        <f>'5'!$BW$17</f>
        <v>0</v>
      </c>
      <c r="EO10" s="55">
        <f>'5'!$BX$17</f>
        <v>0</v>
      </c>
      <c r="EP10" s="55">
        <f>'5'!$BY$17</f>
        <v>0</v>
      </c>
      <c r="EQ10" s="55">
        <f>'5'!$BN$18</f>
        <v>0</v>
      </c>
      <c r="ER10" s="55">
        <f>'5'!$BO$18</f>
        <v>0</v>
      </c>
      <c r="ES10" s="55">
        <f>'5'!$BP$18</f>
        <v>0</v>
      </c>
      <c r="ET10" s="55">
        <f>'5'!$BQ$18</f>
        <v>0</v>
      </c>
      <c r="EU10" s="55">
        <f>'5'!$BR$18</f>
        <v>0</v>
      </c>
      <c r="EV10" s="55">
        <f>'5'!$BS$18</f>
        <v>0</v>
      </c>
      <c r="EW10" s="55">
        <f>'5'!$BT$18</f>
        <v>0</v>
      </c>
      <c r="EX10" s="55">
        <f>'5'!$BU$18</f>
        <v>0</v>
      </c>
      <c r="EY10" s="55">
        <f>'5'!$BV$18</f>
        <v>0</v>
      </c>
      <c r="EZ10" s="55">
        <f>'5'!$BW$18</f>
        <v>0</v>
      </c>
      <c r="FA10" s="55">
        <f>'5'!$BX$18</f>
        <v>0</v>
      </c>
      <c r="FB10" s="55">
        <f>'5'!$BY$18</f>
        <v>0</v>
      </c>
      <c r="FC10" s="55">
        <f>'5'!$BN$19</f>
        <v>0</v>
      </c>
      <c r="FD10" s="55">
        <f>'5'!$BO$19</f>
        <v>0</v>
      </c>
      <c r="FE10" s="55">
        <f>'5'!$BP$19</f>
        <v>0</v>
      </c>
      <c r="FF10" s="55">
        <f>'5'!$BQ$19</f>
        <v>0</v>
      </c>
      <c r="FG10" s="55">
        <f>'5'!$BR$19</f>
        <v>0</v>
      </c>
      <c r="FH10" s="55">
        <f>'5'!$BS$19</f>
        <v>0</v>
      </c>
      <c r="FI10" s="55">
        <f>'5'!$BT$19</f>
        <v>0</v>
      </c>
      <c r="FJ10" s="55">
        <f>'5'!$BU$19</f>
        <v>0</v>
      </c>
      <c r="FK10" s="55">
        <f>'5'!$BV$19</f>
        <v>0</v>
      </c>
      <c r="FL10" s="55">
        <f>'5'!$BW$19</f>
        <v>0</v>
      </c>
      <c r="FM10" s="55">
        <f>'5'!$BX$19</f>
        <v>0</v>
      </c>
      <c r="FN10" s="55">
        <f>'5'!$BY$19</f>
        <v>0</v>
      </c>
      <c r="FO10" s="55">
        <f>'5'!$BN$20</f>
        <v>0</v>
      </c>
      <c r="FP10" s="55">
        <f>'5'!$BO$20</f>
        <v>0</v>
      </c>
      <c r="FQ10" s="55">
        <f>'5'!$BP$20</f>
        <v>0</v>
      </c>
      <c r="FR10" s="55">
        <f>'5'!$BQ$20</f>
        <v>0</v>
      </c>
      <c r="FS10" s="55">
        <f>'5'!$BR$20</f>
        <v>0</v>
      </c>
      <c r="FT10" s="55">
        <f>'5'!$BS$20</f>
        <v>0</v>
      </c>
      <c r="FU10" s="55">
        <f>'5'!$BT$20</f>
        <v>0</v>
      </c>
      <c r="FV10" s="55">
        <f>'5'!$BU$20</f>
        <v>0</v>
      </c>
      <c r="FW10" s="55">
        <f>'5'!$BV$20</f>
        <v>0</v>
      </c>
      <c r="FX10" s="55">
        <f>'5'!$BW$20</f>
        <v>0</v>
      </c>
      <c r="FY10" s="55">
        <f>'5'!$BX$20</f>
        <v>0</v>
      </c>
      <c r="FZ10" s="55">
        <f>'5'!$BY$20</f>
        <v>0</v>
      </c>
      <c r="GA10" s="55">
        <f>'5'!$BN$21</f>
        <v>0</v>
      </c>
      <c r="GB10" s="55">
        <f>'5'!$BO$21</f>
        <v>0</v>
      </c>
      <c r="GC10" s="55">
        <f>'5'!$BP$21</f>
        <v>0</v>
      </c>
      <c r="GD10" s="55">
        <f>'5'!$BQ$21</f>
        <v>0</v>
      </c>
      <c r="GE10" s="55">
        <f>'5'!$BR$21</f>
        <v>0</v>
      </c>
      <c r="GF10" s="55">
        <f>'5'!$BS$21</f>
        <v>0</v>
      </c>
      <c r="GG10" s="55">
        <f>'5'!$BT$21</f>
        <v>0</v>
      </c>
      <c r="GH10" s="55">
        <f>'5'!$BU$21</f>
        <v>0</v>
      </c>
      <c r="GI10" s="55">
        <f>'5'!$BV$21</f>
        <v>0</v>
      </c>
      <c r="GJ10" s="55">
        <f>'5'!$BW$21</f>
        <v>0</v>
      </c>
      <c r="GK10" s="55">
        <f>'5'!$BX$21</f>
        <v>0</v>
      </c>
      <c r="GL10" s="55">
        <f>'5'!$BY$21</f>
        <v>0</v>
      </c>
      <c r="GM10" s="55">
        <f>'5'!$BN$22</f>
        <v>0</v>
      </c>
      <c r="GN10" s="55">
        <f>'5'!$BO$22</f>
        <v>0</v>
      </c>
      <c r="GO10" s="55">
        <f>'5'!$BP$22</f>
        <v>0</v>
      </c>
      <c r="GP10" s="55">
        <f>'5'!$BQ$22</f>
        <v>0</v>
      </c>
      <c r="GQ10" s="55">
        <f>'5'!$BR$22</f>
        <v>0</v>
      </c>
      <c r="GR10" s="55">
        <f>'5'!$BS$22</f>
        <v>0</v>
      </c>
      <c r="GS10" s="55">
        <f>'5'!$BT$22</f>
        <v>0</v>
      </c>
      <c r="GT10" s="55">
        <f>'5'!$BU$22</f>
        <v>0</v>
      </c>
      <c r="GU10" s="55">
        <f>'5'!$BV$22</f>
        <v>0</v>
      </c>
      <c r="GV10" s="55">
        <f>'5'!$BW$22</f>
        <v>0</v>
      </c>
      <c r="GW10" s="55">
        <f>'5'!$BX$22</f>
        <v>0</v>
      </c>
      <c r="GX10" s="55">
        <f>'5'!$BY$22</f>
        <v>0</v>
      </c>
      <c r="GY10" s="55">
        <f>'5'!$BN$23</f>
        <v>0</v>
      </c>
      <c r="GZ10" s="55">
        <f>'5'!$BO$23</f>
        <v>0</v>
      </c>
      <c r="HA10" s="55">
        <f>'5'!$BP$23</f>
        <v>0</v>
      </c>
      <c r="HB10" s="55">
        <f>'5'!$BQ$23</f>
        <v>0</v>
      </c>
      <c r="HC10" s="55">
        <f>'5'!$BR$23</f>
        <v>0</v>
      </c>
      <c r="HD10" s="55">
        <f>'5'!$BS$23</f>
        <v>0</v>
      </c>
      <c r="HE10" s="55">
        <f>'5'!$BT$23</f>
        <v>0</v>
      </c>
      <c r="HF10" s="55">
        <f>'5'!$BU$23</f>
        <v>0</v>
      </c>
      <c r="HG10" s="55">
        <f>'5'!$BV$23</f>
        <v>0</v>
      </c>
      <c r="HH10" s="55">
        <f>'5'!$BW$23</f>
        <v>0</v>
      </c>
      <c r="HI10" s="55">
        <f>'5'!$BX$23</f>
        <v>0</v>
      </c>
      <c r="HJ10" s="55">
        <f>'5'!$BY$23</f>
        <v>0</v>
      </c>
      <c r="HK10" s="55">
        <f>'5'!$BN$24</f>
        <v>0</v>
      </c>
      <c r="HL10" s="55">
        <f>'5'!$BO$24</f>
        <v>0</v>
      </c>
      <c r="HM10" s="55">
        <f>'5'!$BP$24</f>
        <v>0</v>
      </c>
      <c r="HN10" s="55">
        <f>'5'!$BQ$24</f>
        <v>0</v>
      </c>
      <c r="HO10" s="55">
        <f>'5'!$BR$24</f>
        <v>0</v>
      </c>
      <c r="HP10" s="55">
        <f>'5'!$BS$24</f>
        <v>0</v>
      </c>
      <c r="HQ10" s="55">
        <f>'5'!$BT$24</f>
        <v>0</v>
      </c>
      <c r="HR10" s="55">
        <f>'5'!$BU$24</f>
        <v>0</v>
      </c>
      <c r="HS10" s="55">
        <f>'5'!$BV$24</f>
        <v>0</v>
      </c>
      <c r="HT10" s="55">
        <f>'5'!$BW$24</f>
        <v>0</v>
      </c>
      <c r="HU10" s="55">
        <f>'5'!$BX$24</f>
        <v>0</v>
      </c>
      <c r="HV10" s="55">
        <f>'5'!$BY$24</f>
        <v>0</v>
      </c>
      <c r="HW10" s="55">
        <f>'5'!$BN$25</f>
        <v>0</v>
      </c>
      <c r="HX10" s="55">
        <f>'5'!$BO$25</f>
        <v>0</v>
      </c>
      <c r="HY10" s="55">
        <f>'5'!$BP$25</f>
        <v>0</v>
      </c>
      <c r="HZ10" s="55">
        <f>'5'!$BQ$25</f>
        <v>0</v>
      </c>
      <c r="IA10" s="55">
        <f>'5'!$BR$25</f>
        <v>0</v>
      </c>
      <c r="IB10" s="55">
        <f>'5'!$BS$25</f>
        <v>0</v>
      </c>
      <c r="IC10" s="55">
        <f>'5'!$BT$25</f>
        <v>0</v>
      </c>
      <c r="ID10" s="55">
        <f>'5'!$BU$25</f>
        <v>0</v>
      </c>
      <c r="IE10" s="55">
        <f>'5'!$BV$25</f>
        <v>0</v>
      </c>
      <c r="IF10" s="55">
        <f>'5'!$BW$25</f>
        <v>0</v>
      </c>
      <c r="IG10" s="55">
        <f>'5'!$BX$25</f>
        <v>0</v>
      </c>
      <c r="IH10" s="55">
        <f>'5'!$BY$25</f>
        <v>0</v>
      </c>
      <c r="II10" s="55">
        <f>'5'!$BN$26</f>
        <v>0</v>
      </c>
      <c r="IJ10" s="55">
        <f>'5'!$BO$26</f>
        <v>0</v>
      </c>
      <c r="IK10" s="55">
        <f>'5'!$BP$26</f>
        <v>0</v>
      </c>
      <c r="IL10" s="55">
        <f>'5'!$BQ$26</f>
        <v>0</v>
      </c>
      <c r="IM10" s="55">
        <f>'5'!$BR$26</f>
        <v>0</v>
      </c>
      <c r="IN10" s="55">
        <f>'5'!$BS$26</f>
        <v>0</v>
      </c>
      <c r="IO10" s="55">
        <f>'5'!$BT$26</f>
        <v>0</v>
      </c>
      <c r="IP10" s="55">
        <f>'5'!$BU$26</f>
        <v>0</v>
      </c>
      <c r="IQ10" s="55">
        <f>'5'!$BV$26</f>
        <v>0</v>
      </c>
      <c r="IR10" s="55">
        <f>'5'!$BW$26</f>
        <v>0</v>
      </c>
      <c r="IS10" s="55">
        <f>'5'!$BX$26</f>
        <v>0</v>
      </c>
      <c r="IT10" s="55">
        <f>'5'!$BY$26</f>
        <v>0</v>
      </c>
      <c r="IU10" s="55">
        <f>'5'!$BN$27</f>
        <v>0</v>
      </c>
      <c r="IV10" s="55">
        <f>'5'!$BO$27</f>
        <v>0</v>
      </c>
      <c r="IW10" s="55">
        <f>'5'!$BP$27</f>
        <v>0</v>
      </c>
      <c r="IX10" s="55">
        <f>'5'!$BQ$27</f>
        <v>0</v>
      </c>
      <c r="IY10" s="55">
        <f>'5'!$BR$27</f>
        <v>0</v>
      </c>
      <c r="IZ10" s="55">
        <f>'5'!$BS$27</f>
        <v>0</v>
      </c>
      <c r="JA10" s="55">
        <f>'5'!$BT$27</f>
        <v>0</v>
      </c>
      <c r="JB10" s="55">
        <f>'5'!$BU$27</f>
        <v>0</v>
      </c>
      <c r="JC10" s="55">
        <f>'5'!$BV$27</f>
        <v>0</v>
      </c>
      <c r="JD10" s="55">
        <f>'5'!$BW$27</f>
        <v>0</v>
      </c>
      <c r="JE10" s="55">
        <f>'5'!$BX$27</f>
        <v>0</v>
      </c>
      <c r="JF10" s="55">
        <f>'5'!$BY$27</f>
        <v>0</v>
      </c>
      <c r="JG10" s="55">
        <f>'5'!$BN$28</f>
        <v>0</v>
      </c>
      <c r="JH10" s="55">
        <f>'5'!$BO$28</f>
        <v>0</v>
      </c>
      <c r="JI10" s="55">
        <f>'5'!$BP$28</f>
        <v>0</v>
      </c>
      <c r="JJ10" s="55">
        <f>'5'!$BQ$28</f>
        <v>0</v>
      </c>
      <c r="JK10" s="55">
        <f>'5'!$BR$28</f>
        <v>0</v>
      </c>
      <c r="JL10" s="55">
        <f>'5'!$BS$28</f>
        <v>0</v>
      </c>
      <c r="JM10" s="55">
        <f>'5'!$BT$28</f>
        <v>0</v>
      </c>
      <c r="JN10" s="55">
        <f>'5'!$BU$28</f>
        <v>0</v>
      </c>
      <c r="JO10" s="55">
        <f>'5'!$BV$28</f>
        <v>0</v>
      </c>
      <c r="JP10" s="55">
        <f>'5'!$BW$28</f>
        <v>0</v>
      </c>
      <c r="JQ10" s="55">
        <f>'5'!$BX$28</f>
        <v>0</v>
      </c>
      <c r="JR10" s="55">
        <f>'5'!$BY$28</f>
        <v>0</v>
      </c>
      <c r="JS10" s="55">
        <f>'5'!$BN$29</f>
        <v>0</v>
      </c>
      <c r="JT10" s="55">
        <f>'5'!$BO$29</f>
        <v>0</v>
      </c>
      <c r="JU10" s="55">
        <f>'5'!$BP$29</f>
        <v>0</v>
      </c>
      <c r="JV10" s="55">
        <f>'5'!$BQ$29</f>
        <v>0</v>
      </c>
      <c r="JW10" s="55">
        <f>'5'!$BR$29</f>
        <v>0</v>
      </c>
      <c r="JX10" s="55">
        <f>'5'!$BS$29</f>
        <v>0</v>
      </c>
      <c r="JY10" s="55">
        <f>'5'!$BT$29</f>
        <v>0</v>
      </c>
      <c r="JZ10" s="55">
        <f>'5'!$BU$29</f>
        <v>0</v>
      </c>
      <c r="KA10" s="55">
        <f>'5'!$BV$29</f>
        <v>0</v>
      </c>
      <c r="KB10" s="55">
        <f>'5'!$BW$29</f>
        <v>0</v>
      </c>
      <c r="KC10" s="55">
        <f>'5'!$BX$29</f>
        <v>0</v>
      </c>
      <c r="KD10" s="55">
        <f>'5'!$BY$29</f>
        <v>0</v>
      </c>
    </row>
    <row r="11" spans="1:290" ht="15" x14ac:dyDescent="0.25">
      <c r="A11" s="50">
        <v>46179</v>
      </c>
      <c r="B11" s="52"/>
      <c r="C11" s="55">
        <f>'6'!$BN$6</f>
        <v>0</v>
      </c>
      <c r="D11" s="55">
        <f>'6'!$BO$6</f>
        <v>0</v>
      </c>
      <c r="E11" s="55">
        <f>'6'!$BP$6</f>
        <v>0</v>
      </c>
      <c r="F11" s="55">
        <f>'6'!$BQ$6</f>
        <v>0</v>
      </c>
      <c r="G11" s="55">
        <f>'6'!$BR$6</f>
        <v>0</v>
      </c>
      <c r="H11" s="55">
        <f>'6'!$BS$6</f>
        <v>0</v>
      </c>
      <c r="I11" s="55">
        <f>'6'!$BT$6</f>
        <v>0</v>
      </c>
      <c r="J11" s="55">
        <f>'6'!$BU$6</f>
        <v>0</v>
      </c>
      <c r="K11" s="55">
        <f>'6'!$BV$6</f>
        <v>0</v>
      </c>
      <c r="L11" s="55">
        <f>'6'!$BW$6</f>
        <v>0</v>
      </c>
      <c r="M11" s="55">
        <f>'6'!$BX$6</f>
        <v>0</v>
      </c>
      <c r="N11" s="55">
        <f>'6'!$BY$6</f>
        <v>0</v>
      </c>
      <c r="O11" s="55">
        <f>'6'!$BN$7</f>
        <v>0</v>
      </c>
      <c r="P11" s="55">
        <f>'6'!$BO$7</f>
        <v>0</v>
      </c>
      <c r="Q11" s="55">
        <f>'6'!$BP$7</f>
        <v>0</v>
      </c>
      <c r="R11" s="55">
        <f>'6'!$BQ$7</f>
        <v>0</v>
      </c>
      <c r="S11" s="55">
        <f>'6'!$BR$7</f>
        <v>0</v>
      </c>
      <c r="T11" s="55">
        <f>'6'!$BS$7</f>
        <v>0</v>
      </c>
      <c r="U11" s="55">
        <f>'6'!$BT$7</f>
        <v>0</v>
      </c>
      <c r="V11" s="55">
        <f>'6'!$BU$7</f>
        <v>0</v>
      </c>
      <c r="W11" s="55">
        <f>'6'!$BV$7</f>
        <v>0</v>
      </c>
      <c r="X11" s="55">
        <f>'6'!$BW$7</f>
        <v>0</v>
      </c>
      <c r="Y11" s="55">
        <f>'6'!$BX$7</f>
        <v>0</v>
      </c>
      <c r="Z11" s="55">
        <f>'6'!$BY$7</f>
        <v>0</v>
      </c>
      <c r="AA11" s="55">
        <f>'6'!$BN$8</f>
        <v>0</v>
      </c>
      <c r="AB11" s="55">
        <f>'6'!$BO$8</f>
        <v>0</v>
      </c>
      <c r="AC11" s="55">
        <f>'6'!$BP$8</f>
        <v>0</v>
      </c>
      <c r="AD11" s="55">
        <f>'6'!$BQ$8</f>
        <v>0</v>
      </c>
      <c r="AE11" s="55">
        <f>'6'!$BR$8</f>
        <v>0</v>
      </c>
      <c r="AF11" s="55">
        <f>'6'!$BS$8</f>
        <v>0</v>
      </c>
      <c r="AG11" s="55">
        <f>'6'!$BT$8</f>
        <v>0</v>
      </c>
      <c r="AH11" s="55">
        <f>'6'!$BU$8</f>
        <v>0</v>
      </c>
      <c r="AI11" s="55">
        <f>'6'!$BV$8</f>
        <v>0</v>
      </c>
      <c r="AJ11" s="55">
        <f>'6'!$BW$8</f>
        <v>0</v>
      </c>
      <c r="AK11" s="55">
        <f>'6'!$BX$8</f>
        <v>0</v>
      </c>
      <c r="AL11" s="55">
        <f>'6'!$BY$8</f>
        <v>0</v>
      </c>
      <c r="AM11" s="55">
        <f>'6'!$BN$9</f>
        <v>0</v>
      </c>
      <c r="AN11" s="55">
        <f>'6'!$BO$9</f>
        <v>0</v>
      </c>
      <c r="AO11" s="55">
        <f>'6'!$BP$9</f>
        <v>0</v>
      </c>
      <c r="AP11" s="55">
        <f>'6'!$BQ$9</f>
        <v>0</v>
      </c>
      <c r="AQ11" s="55">
        <f>'6'!$BR$9</f>
        <v>0</v>
      </c>
      <c r="AR11" s="55">
        <f>'6'!$BS$9</f>
        <v>0</v>
      </c>
      <c r="AS11" s="55">
        <f>'6'!$BT$9</f>
        <v>0</v>
      </c>
      <c r="AT11" s="55">
        <f>'6'!$BU$9</f>
        <v>0</v>
      </c>
      <c r="AU11" s="55">
        <f>'6'!$BV$9</f>
        <v>0</v>
      </c>
      <c r="AV11" s="55">
        <f>'6'!$BW$9</f>
        <v>0</v>
      </c>
      <c r="AW11" s="55">
        <f>'6'!$BX$9</f>
        <v>0</v>
      </c>
      <c r="AX11" s="55">
        <f>'6'!$BY$9</f>
        <v>0</v>
      </c>
      <c r="AY11" s="55">
        <f>'6'!$BN$10</f>
        <v>0</v>
      </c>
      <c r="AZ11" s="55">
        <f>'6'!$BO$10</f>
        <v>0</v>
      </c>
      <c r="BA11" s="55">
        <f>'6'!$BP$10</f>
        <v>0</v>
      </c>
      <c r="BB11" s="55">
        <f>'6'!$BQ$10</f>
        <v>0</v>
      </c>
      <c r="BC11" s="55">
        <f>'6'!$BR$10</f>
        <v>0</v>
      </c>
      <c r="BD11" s="55">
        <f>'6'!$BS$10</f>
        <v>0</v>
      </c>
      <c r="BE11" s="55">
        <f>'6'!$BT$10</f>
        <v>0</v>
      </c>
      <c r="BF11" s="55">
        <f>'6'!$BU$10</f>
        <v>0</v>
      </c>
      <c r="BG11" s="55">
        <f>'6'!$BV$10</f>
        <v>0</v>
      </c>
      <c r="BH11" s="55">
        <f>'6'!$BW$10</f>
        <v>0</v>
      </c>
      <c r="BI11" s="55">
        <f>'6'!$BX$10</f>
        <v>0</v>
      </c>
      <c r="BJ11" s="55">
        <f>'6'!$BY$10</f>
        <v>0</v>
      </c>
      <c r="BK11" s="55">
        <f>'6'!$BN$11</f>
        <v>0</v>
      </c>
      <c r="BL11" s="55">
        <f>'6'!$BO$11</f>
        <v>0</v>
      </c>
      <c r="BM11" s="55">
        <f>'6'!$BP$11</f>
        <v>0</v>
      </c>
      <c r="BN11" s="55">
        <f>'6'!$BQ$11</f>
        <v>0</v>
      </c>
      <c r="BO11" s="55">
        <f>'6'!$BR$11</f>
        <v>0</v>
      </c>
      <c r="BP11" s="55">
        <f>'6'!$BS$11</f>
        <v>0</v>
      </c>
      <c r="BQ11" s="55">
        <f>'6'!$BT$11</f>
        <v>0</v>
      </c>
      <c r="BR11" s="55">
        <f>'6'!$BU$11</f>
        <v>0</v>
      </c>
      <c r="BS11" s="55">
        <f>'6'!$BV$11</f>
        <v>0</v>
      </c>
      <c r="BT11" s="55">
        <f>'6'!$BW$11</f>
        <v>0</v>
      </c>
      <c r="BU11" s="55">
        <f>'6'!$BX$11</f>
        <v>0</v>
      </c>
      <c r="BV11" s="55">
        <f>'6'!$BY$11</f>
        <v>0</v>
      </c>
      <c r="BW11" s="55">
        <f>'6'!$BN$12</f>
        <v>0</v>
      </c>
      <c r="BX11" s="55">
        <f>'6'!$BO$12</f>
        <v>0</v>
      </c>
      <c r="BY11" s="55">
        <f>'6'!$BP$12</f>
        <v>0</v>
      </c>
      <c r="BZ11" s="55">
        <f>'6'!$BQ$12</f>
        <v>0</v>
      </c>
      <c r="CA11" s="55">
        <f>'6'!$BR$12</f>
        <v>0</v>
      </c>
      <c r="CB11" s="55">
        <f>'6'!$BS$12</f>
        <v>0</v>
      </c>
      <c r="CC11" s="55">
        <f>'6'!$BT$12</f>
        <v>0</v>
      </c>
      <c r="CD11" s="55">
        <f>'6'!$BU$12</f>
        <v>0</v>
      </c>
      <c r="CE11" s="55">
        <f>'6'!$BV$12</f>
        <v>0</v>
      </c>
      <c r="CF11" s="55">
        <f>'6'!$BW$12</f>
        <v>0</v>
      </c>
      <c r="CG11" s="55">
        <f>'6'!$BX$12</f>
        <v>0</v>
      </c>
      <c r="CH11" s="55">
        <f>'6'!$BY$12</f>
        <v>0</v>
      </c>
      <c r="CI11" s="55">
        <f>'6'!$BN$13</f>
        <v>0</v>
      </c>
      <c r="CJ11" s="55">
        <f>'6'!$BO$13</f>
        <v>0</v>
      </c>
      <c r="CK11" s="55">
        <f>'6'!$BP$13</f>
        <v>0</v>
      </c>
      <c r="CL11" s="55">
        <f>'6'!$BQ$13</f>
        <v>0</v>
      </c>
      <c r="CM11" s="55">
        <f>'6'!$BR$13</f>
        <v>0</v>
      </c>
      <c r="CN11" s="55">
        <f>'6'!$BS$13</f>
        <v>0</v>
      </c>
      <c r="CO11" s="55">
        <f>'6'!$BT$13</f>
        <v>0</v>
      </c>
      <c r="CP11" s="55">
        <f>'6'!$BU$13</f>
        <v>0</v>
      </c>
      <c r="CQ11" s="55">
        <f>'6'!$BV$13</f>
        <v>0</v>
      </c>
      <c r="CR11" s="55">
        <f>'6'!$BW$13</f>
        <v>0</v>
      </c>
      <c r="CS11" s="55">
        <f>'6'!$BX$13</f>
        <v>0</v>
      </c>
      <c r="CT11" s="55">
        <f>'6'!$BY$13</f>
        <v>0</v>
      </c>
      <c r="CU11" s="55">
        <f>'6'!$BN$14</f>
        <v>0</v>
      </c>
      <c r="CV11" s="55">
        <f>'6'!$BO$14</f>
        <v>0</v>
      </c>
      <c r="CW11" s="55">
        <f>'6'!$BP$14</f>
        <v>0</v>
      </c>
      <c r="CX11" s="55">
        <f>'6'!$BQ$14</f>
        <v>0</v>
      </c>
      <c r="CY11" s="55">
        <f>'6'!$BR$14</f>
        <v>0</v>
      </c>
      <c r="CZ11" s="55">
        <f>'6'!$BS$14</f>
        <v>0</v>
      </c>
      <c r="DA11" s="55">
        <f>'6'!$BT$14</f>
        <v>0</v>
      </c>
      <c r="DB11" s="55">
        <f>'6'!$BU$14</f>
        <v>0</v>
      </c>
      <c r="DC11" s="55">
        <f>'6'!$BV$14</f>
        <v>0</v>
      </c>
      <c r="DD11" s="55">
        <f>'6'!$BW$14</f>
        <v>0</v>
      </c>
      <c r="DE11" s="55">
        <f>'6'!$BX$14</f>
        <v>0</v>
      </c>
      <c r="DF11" s="55">
        <f>'6'!$BY$14</f>
        <v>0</v>
      </c>
      <c r="DG11" s="55">
        <f>'6'!$BN$15</f>
        <v>0</v>
      </c>
      <c r="DH11" s="55">
        <f>'6'!$BO$15</f>
        <v>0</v>
      </c>
      <c r="DI11" s="55">
        <f>'6'!$BP$15</f>
        <v>0</v>
      </c>
      <c r="DJ11" s="55">
        <f>'6'!$BQ$15</f>
        <v>0</v>
      </c>
      <c r="DK11" s="55">
        <f>'6'!$BR$15</f>
        <v>0</v>
      </c>
      <c r="DL11" s="55">
        <f>'6'!$BS$15</f>
        <v>0</v>
      </c>
      <c r="DM11" s="55">
        <f>'6'!$BT$15</f>
        <v>0</v>
      </c>
      <c r="DN11" s="55">
        <f>'6'!$BU$15</f>
        <v>0</v>
      </c>
      <c r="DO11" s="55">
        <f>'6'!$BV$15</f>
        <v>0</v>
      </c>
      <c r="DP11" s="55">
        <f>'6'!$BW$15</f>
        <v>0</v>
      </c>
      <c r="DQ11" s="55">
        <f>'6'!$BX$15</f>
        <v>0</v>
      </c>
      <c r="DR11" s="55">
        <f>'6'!$BY$15</f>
        <v>0</v>
      </c>
      <c r="DS11" s="55">
        <f>'6'!$BN$16</f>
        <v>0</v>
      </c>
      <c r="DT11" s="55">
        <f>'6'!$BO$16</f>
        <v>0</v>
      </c>
      <c r="DU11" s="55">
        <f>'6'!$BP$16</f>
        <v>0</v>
      </c>
      <c r="DV11" s="55">
        <f>'6'!$BQ$16</f>
        <v>0</v>
      </c>
      <c r="DW11" s="55">
        <f>'6'!$BR$16</f>
        <v>0</v>
      </c>
      <c r="DX11" s="55">
        <f>'6'!$BS$16</f>
        <v>0</v>
      </c>
      <c r="DY11" s="55">
        <f>'6'!$BT$16</f>
        <v>0</v>
      </c>
      <c r="DZ11" s="55">
        <f>'6'!$BU$16</f>
        <v>0</v>
      </c>
      <c r="EA11" s="55">
        <f>'6'!$BV$16</f>
        <v>0</v>
      </c>
      <c r="EB11" s="55">
        <f>'6'!$BW$16</f>
        <v>0</v>
      </c>
      <c r="EC11" s="55">
        <f>'6'!$BX$16</f>
        <v>0</v>
      </c>
      <c r="ED11" s="55">
        <f>'6'!$BY$16</f>
        <v>0</v>
      </c>
      <c r="EE11" s="55">
        <f>'6'!$BN$17</f>
        <v>0</v>
      </c>
      <c r="EF11" s="55">
        <f>'6'!$BO$17</f>
        <v>0</v>
      </c>
      <c r="EG11" s="55">
        <f>'6'!$BP$17</f>
        <v>0</v>
      </c>
      <c r="EH11" s="55">
        <f>'6'!$BQ$17</f>
        <v>0</v>
      </c>
      <c r="EI11" s="55">
        <f>'6'!$BR$17</f>
        <v>0</v>
      </c>
      <c r="EJ11" s="55">
        <f>'6'!$BS$17</f>
        <v>0</v>
      </c>
      <c r="EK11" s="55">
        <f>'6'!$BT$17</f>
        <v>0</v>
      </c>
      <c r="EL11" s="55">
        <f>'6'!$BU$17</f>
        <v>0</v>
      </c>
      <c r="EM11" s="55">
        <f>'6'!$BV$17</f>
        <v>0</v>
      </c>
      <c r="EN11" s="55">
        <f>'6'!$BW$17</f>
        <v>0</v>
      </c>
      <c r="EO11" s="55">
        <f>'6'!$BX$17</f>
        <v>0</v>
      </c>
      <c r="EP11" s="55">
        <f>'6'!$BY$17</f>
        <v>0</v>
      </c>
      <c r="EQ11" s="55">
        <f>'6'!$BN$18</f>
        <v>0</v>
      </c>
      <c r="ER11" s="55">
        <f>'6'!$BO$18</f>
        <v>0</v>
      </c>
      <c r="ES11" s="55">
        <f>'6'!$BP$18</f>
        <v>0</v>
      </c>
      <c r="ET11" s="55">
        <f>'6'!$BQ$18</f>
        <v>0</v>
      </c>
      <c r="EU11" s="55">
        <f>'6'!$BR$18</f>
        <v>0</v>
      </c>
      <c r="EV11" s="55">
        <f>'6'!$BS$18</f>
        <v>0</v>
      </c>
      <c r="EW11" s="55">
        <f>'6'!$BT$18</f>
        <v>0</v>
      </c>
      <c r="EX11" s="55">
        <f>'6'!$BU$18</f>
        <v>0</v>
      </c>
      <c r="EY11" s="55">
        <f>'6'!$BV$18</f>
        <v>0</v>
      </c>
      <c r="EZ11" s="55">
        <f>'6'!$BW$18</f>
        <v>0</v>
      </c>
      <c r="FA11" s="55">
        <f>'6'!$BX$18</f>
        <v>0</v>
      </c>
      <c r="FB11" s="55">
        <f>'6'!$BY$18</f>
        <v>0</v>
      </c>
      <c r="FC11" s="55">
        <f>'6'!$BN$19</f>
        <v>0</v>
      </c>
      <c r="FD11" s="55">
        <f>'6'!$BO$19</f>
        <v>0</v>
      </c>
      <c r="FE11" s="55">
        <f>'6'!$BP$19</f>
        <v>0</v>
      </c>
      <c r="FF11" s="55">
        <f>'6'!$BQ$19</f>
        <v>0</v>
      </c>
      <c r="FG11" s="55">
        <f>'6'!$BR$19</f>
        <v>0</v>
      </c>
      <c r="FH11" s="55">
        <f>'6'!$BS$19</f>
        <v>0</v>
      </c>
      <c r="FI11" s="55">
        <f>'6'!$BT$19</f>
        <v>0</v>
      </c>
      <c r="FJ11" s="55">
        <f>'6'!$BU$19</f>
        <v>0</v>
      </c>
      <c r="FK11" s="55">
        <f>'6'!$BV$19</f>
        <v>0</v>
      </c>
      <c r="FL11" s="55">
        <f>'6'!$BW$19</f>
        <v>0</v>
      </c>
      <c r="FM11" s="55">
        <f>'6'!$BX$19</f>
        <v>0</v>
      </c>
      <c r="FN11" s="55">
        <f>'6'!$BY$19</f>
        <v>0</v>
      </c>
      <c r="FO11" s="55">
        <f>'6'!$BN$20</f>
        <v>0</v>
      </c>
      <c r="FP11" s="55">
        <f>'6'!$BO$20</f>
        <v>0</v>
      </c>
      <c r="FQ11" s="55">
        <f>'6'!$BP$20</f>
        <v>0</v>
      </c>
      <c r="FR11" s="55">
        <f>'6'!$BQ$20</f>
        <v>0</v>
      </c>
      <c r="FS11" s="55">
        <f>'6'!$BR$20</f>
        <v>0</v>
      </c>
      <c r="FT11" s="55">
        <f>'6'!$BS$20</f>
        <v>0</v>
      </c>
      <c r="FU11" s="55">
        <f>'6'!$BT$20</f>
        <v>0</v>
      </c>
      <c r="FV11" s="55">
        <f>'6'!$BU$20</f>
        <v>0</v>
      </c>
      <c r="FW11" s="55">
        <f>'6'!$BV$20</f>
        <v>0</v>
      </c>
      <c r="FX11" s="55">
        <f>'6'!$BW$20</f>
        <v>0</v>
      </c>
      <c r="FY11" s="55">
        <f>'6'!$BX$20</f>
        <v>0</v>
      </c>
      <c r="FZ11" s="55">
        <f>'6'!$BY$20</f>
        <v>0</v>
      </c>
      <c r="GA11" s="55">
        <f>'6'!$BN$21</f>
        <v>0</v>
      </c>
      <c r="GB11" s="55">
        <f>'6'!$BO$21</f>
        <v>0</v>
      </c>
      <c r="GC11" s="55">
        <f>'6'!$BP$21</f>
        <v>0</v>
      </c>
      <c r="GD11" s="55">
        <f>'6'!$BQ$21</f>
        <v>0</v>
      </c>
      <c r="GE11" s="55">
        <f>'6'!$BR$21</f>
        <v>0</v>
      </c>
      <c r="GF11" s="55">
        <f>'6'!$BS$21</f>
        <v>0</v>
      </c>
      <c r="GG11" s="55">
        <f>'6'!$BT$21</f>
        <v>0</v>
      </c>
      <c r="GH11" s="55">
        <f>'6'!$BU$21</f>
        <v>0</v>
      </c>
      <c r="GI11" s="55">
        <f>'6'!$BV$21</f>
        <v>0</v>
      </c>
      <c r="GJ11" s="55">
        <f>'6'!$BW$21</f>
        <v>0</v>
      </c>
      <c r="GK11" s="55">
        <f>'6'!$BX$21</f>
        <v>0</v>
      </c>
      <c r="GL11" s="55">
        <f>'6'!$BY$21</f>
        <v>0</v>
      </c>
      <c r="GM11" s="55">
        <f>'6'!$BN$22</f>
        <v>0</v>
      </c>
      <c r="GN11" s="55">
        <f>'6'!$BO$22</f>
        <v>0</v>
      </c>
      <c r="GO11" s="55">
        <f>'6'!$BP$22</f>
        <v>0</v>
      </c>
      <c r="GP11" s="55">
        <f>'6'!$BQ$22</f>
        <v>0</v>
      </c>
      <c r="GQ11" s="55">
        <f>'6'!$BR$22</f>
        <v>0</v>
      </c>
      <c r="GR11" s="55">
        <f>'6'!$BS$22</f>
        <v>0</v>
      </c>
      <c r="GS11" s="55">
        <f>'6'!$BT$22</f>
        <v>0</v>
      </c>
      <c r="GT11" s="55">
        <f>'6'!$BU$22</f>
        <v>0</v>
      </c>
      <c r="GU11" s="55">
        <f>'6'!$BV$22</f>
        <v>0</v>
      </c>
      <c r="GV11" s="55">
        <f>'6'!$BW$22</f>
        <v>0</v>
      </c>
      <c r="GW11" s="55">
        <f>'6'!$BX$22</f>
        <v>0</v>
      </c>
      <c r="GX11" s="55">
        <f>'6'!$BY$22</f>
        <v>0</v>
      </c>
      <c r="GY11" s="55">
        <f>'6'!$BN$23</f>
        <v>0</v>
      </c>
      <c r="GZ11" s="55">
        <f>'6'!$BO$23</f>
        <v>0</v>
      </c>
      <c r="HA11" s="55">
        <f>'6'!$BP$23</f>
        <v>0</v>
      </c>
      <c r="HB11" s="55">
        <f>'6'!$BQ$23</f>
        <v>0</v>
      </c>
      <c r="HC11" s="55">
        <f>'6'!$BR$23</f>
        <v>0</v>
      </c>
      <c r="HD11" s="55">
        <f>'6'!$BS$23</f>
        <v>0</v>
      </c>
      <c r="HE11" s="55">
        <f>'6'!$BT$23</f>
        <v>0</v>
      </c>
      <c r="HF11" s="55">
        <f>'6'!$BU$23</f>
        <v>0</v>
      </c>
      <c r="HG11" s="55">
        <f>'6'!$BV$23</f>
        <v>0</v>
      </c>
      <c r="HH11" s="55">
        <f>'6'!$BW$23</f>
        <v>0</v>
      </c>
      <c r="HI11" s="55">
        <f>'6'!$BX$23</f>
        <v>0</v>
      </c>
      <c r="HJ11" s="55">
        <f>'6'!$BY$23</f>
        <v>0</v>
      </c>
      <c r="HK11" s="55">
        <f>'6'!$BN$24</f>
        <v>0</v>
      </c>
      <c r="HL11" s="55">
        <f>'6'!$BO$24</f>
        <v>0</v>
      </c>
      <c r="HM11" s="55">
        <f>'6'!$BP$24</f>
        <v>0</v>
      </c>
      <c r="HN11" s="55">
        <f>'6'!$BQ$24</f>
        <v>0</v>
      </c>
      <c r="HO11" s="55">
        <f>'6'!$BR$24</f>
        <v>0</v>
      </c>
      <c r="HP11" s="55">
        <f>'6'!$BS$24</f>
        <v>0</v>
      </c>
      <c r="HQ11" s="55">
        <f>'6'!$BT$24</f>
        <v>0</v>
      </c>
      <c r="HR11" s="55">
        <f>'6'!$BU$24</f>
        <v>0</v>
      </c>
      <c r="HS11" s="55">
        <f>'6'!$BV$24</f>
        <v>0</v>
      </c>
      <c r="HT11" s="55">
        <f>'6'!$BW$24</f>
        <v>0</v>
      </c>
      <c r="HU11" s="55">
        <f>'6'!$BX$24</f>
        <v>0</v>
      </c>
      <c r="HV11" s="55">
        <f>'6'!$BY$24</f>
        <v>0</v>
      </c>
      <c r="HW11" s="55">
        <f>'6'!$BN$25</f>
        <v>0</v>
      </c>
      <c r="HX11" s="55">
        <f>'6'!$BO$25</f>
        <v>0</v>
      </c>
      <c r="HY11" s="55">
        <f>'6'!$BP$25</f>
        <v>0</v>
      </c>
      <c r="HZ11" s="55">
        <f>'6'!$BQ$25</f>
        <v>0</v>
      </c>
      <c r="IA11" s="55">
        <f>'6'!$BR$25</f>
        <v>0</v>
      </c>
      <c r="IB11" s="55">
        <f>'6'!$BS$25</f>
        <v>0</v>
      </c>
      <c r="IC11" s="55">
        <f>'6'!$BT$25</f>
        <v>0</v>
      </c>
      <c r="ID11" s="55">
        <f>'6'!$BU$25</f>
        <v>0</v>
      </c>
      <c r="IE11" s="55">
        <f>'6'!$BV$25</f>
        <v>0</v>
      </c>
      <c r="IF11" s="55">
        <f>'6'!$BW$25</f>
        <v>0</v>
      </c>
      <c r="IG11" s="55">
        <f>'6'!$BX$25</f>
        <v>0</v>
      </c>
      <c r="IH11" s="55">
        <f>'6'!$BY$25</f>
        <v>0</v>
      </c>
      <c r="II11" s="55">
        <f>'6'!$BN$26</f>
        <v>0</v>
      </c>
      <c r="IJ11" s="55">
        <f>'6'!$BO$26</f>
        <v>0</v>
      </c>
      <c r="IK11" s="55">
        <f>'6'!$BP$26</f>
        <v>0</v>
      </c>
      <c r="IL11" s="55">
        <f>'6'!$BQ$26</f>
        <v>0</v>
      </c>
      <c r="IM11" s="55">
        <f>'6'!$BR$26</f>
        <v>0</v>
      </c>
      <c r="IN11" s="55">
        <f>'6'!$BS$26</f>
        <v>0</v>
      </c>
      <c r="IO11" s="55">
        <f>'6'!$BT$26</f>
        <v>0</v>
      </c>
      <c r="IP11" s="55">
        <f>'6'!$BU$26</f>
        <v>0</v>
      </c>
      <c r="IQ11" s="55">
        <f>'6'!$BV$26</f>
        <v>0</v>
      </c>
      <c r="IR11" s="55">
        <f>'6'!$BW$26</f>
        <v>0</v>
      </c>
      <c r="IS11" s="55">
        <f>'6'!$BX$26</f>
        <v>0</v>
      </c>
      <c r="IT11" s="55">
        <f>'6'!$BY$26</f>
        <v>0</v>
      </c>
      <c r="IU11" s="55">
        <f>'6'!$BN$27</f>
        <v>0</v>
      </c>
      <c r="IV11" s="55">
        <f>'6'!$BO$27</f>
        <v>0</v>
      </c>
      <c r="IW11" s="55">
        <f>'6'!$BP$27</f>
        <v>0</v>
      </c>
      <c r="IX11" s="55">
        <f>'6'!$BQ$27</f>
        <v>0</v>
      </c>
      <c r="IY11" s="55">
        <f>'6'!$BR$27</f>
        <v>0</v>
      </c>
      <c r="IZ11" s="55">
        <f>'6'!$BS$27</f>
        <v>0</v>
      </c>
      <c r="JA11" s="55">
        <f>'6'!$BT$27</f>
        <v>0</v>
      </c>
      <c r="JB11" s="55">
        <f>'6'!$BU$27</f>
        <v>0</v>
      </c>
      <c r="JC11" s="55">
        <f>'6'!$BV$27</f>
        <v>0</v>
      </c>
      <c r="JD11" s="55">
        <f>'6'!$BW$27</f>
        <v>0</v>
      </c>
      <c r="JE11" s="55">
        <f>'6'!$BX$27</f>
        <v>0</v>
      </c>
      <c r="JF11" s="55">
        <f>'6'!$BY$27</f>
        <v>0</v>
      </c>
      <c r="JG11" s="55">
        <f>'6'!$BN$28</f>
        <v>0</v>
      </c>
      <c r="JH11" s="55">
        <f>'6'!$BO$28</f>
        <v>0</v>
      </c>
      <c r="JI11" s="55">
        <f>'6'!$BP$28</f>
        <v>0</v>
      </c>
      <c r="JJ11" s="55">
        <f>'6'!$BQ$28</f>
        <v>0</v>
      </c>
      <c r="JK11" s="55">
        <f>'6'!$BR$28</f>
        <v>0</v>
      </c>
      <c r="JL11" s="55">
        <f>'6'!$BS$28</f>
        <v>0</v>
      </c>
      <c r="JM11" s="55">
        <f>'6'!$BT$28</f>
        <v>0</v>
      </c>
      <c r="JN11" s="55">
        <f>'6'!$BU$28</f>
        <v>0</v>
      </c>
      <c r="JO11" s="55">
        <f>'6'!$BV$28</f>
        <v>0</v>
      </c>
      <c r="JP11" s="55">
        <f>'6'!$BW$28</f>
        <v>0</v>
      </c>
      <c r="JQ11" s="55">
        <f>'6'!$BX$28</f>
        <v>0</v>
      </c>
      <c r="JR11" s="55">
        <f>'6'!$BY$28</f>
        <v>0</v>
      </c>
      <c r="JS11" s="55">
        <f>'6'!$BN$29</f>
        <v>0</v>
      </c>
      <c r="JT11" s="55">
        <f>'6'!$BO$29</f>
        <v>0</v>
      </c>
      <c r="JU11" s="55">
        <f>'6'!$BP$29</f>
        <v>0</v>
      </c>
      <c r="JV11" s="55">
        <f>'6'!$BQ$29</f>
        <v>0</v>
      </c>
      <c r="JW11" s="55">
        <f>'6'!$BR$29</f>
        <v>0</v>
      </c>
      <c r="JX11" s="55">
        <f>'6'!$BS$29</f>
        <v>0</v>
      </c>
      <c r="JY11" s="55">
        <f>'6'!$BT$29</f>
        <v>0</v>
      </c>
      <c r="JZ11" s="55">
        <f>'6'!$BU$29</f>
        <v>0</v>
      </c>
      <c r="KA11" s="55">
        <f>'6'!$BV$29</f>
        <v>0</v>
      </c>
      <c r="KB11" s="55">
        <f>'6'!$BW$29</f>
        <v>0</v>
      </c>
      <c r="KC11" s="55">
        <f>'6'!$BX$29</f>
        <v>0</v>
      </c>
      <c r="KD11" s="55">
        <f>'6'!$BY$29</f>
        <v>0</v>
      </c>
    </row>
    <row r="12" spans="1:290" ht="15" x14ac:dyDescent="0.25">
      <c r="A12" s="50">
        <v>46180</v>
      </c>
      <c r="B12" s="52"/>
      <c r="C12" s="55">
        <f>'7'!$BN$6</f>
        <v>0</v>
      </c>
      <c r="D12" s="55">
        <f>'7'!$BO$6</f>
        <v>0</v>
      </c>
      <c r="E12" s="55">
        <f>'7'!$BP$6</f>
        <v>0</v>
      </c>
      <c r="F12" s="55">
        <f>'7'!$BQ$6</f>
        <v>0</v>
      </c>
      <c r="G12" s="55">
        <f>'7'!$BR$6</f>
        <v>0</v>
      </c>
      <c r="H12" s="55">
        <f>'7'!$BS$6</f>
        <v>0</v>
      </c>
      <c r="I12" s="55">
        <f>'7'!$BT$6</f>
        <v>0</v>
      </c>
      <c r="J12" s="55">
        <f>'7'!$BU$6</f>
        <v>0</v>
      </c>
      <c r="K12" s="55">
        <f>'7'!$BV$6</f>
        <v>0</v>
      </c>
      <c r="L12" s="55">
        <f>'7'!$BW$6</f>
        <v>0</v>
      </c>
      <c r="M12" s="55">
        <f>'7'!$BX$6</f>
        <v>0</v>
      </c>
      <c r="N12" s="55">
        <f>'7'!$BY$6</f>
        <v>0</v>
      </c>
      <c r="O12" s="55">
        <f>'7'!$BN$7</f>
        <v>0</v>
      </c>
      <c r="P12" s="55">
        <f>'7'!$BO$7</f>
        <v>0</v>
      </c>
      <c r="Q12" s="55">
        <f>'7'!$BP$7</f>
        <v>0</v>
      </c>
      <c r="R12" s="55">
        <f>'7'!$BQ$7</f>
        <v>0</v>
      </c>
      <c r="S12" s="55">
        <f>'7'!$BR$7</f>
        <v>0</v>
      </c>
      <c r="T12" s="55">
        <f>'7'!$BS$7</f>
        <v>0</v>
      </c>
      <c r="U12" s="55">
        <f>'7'!$BT$7</f>
        <v>0</v>
      </c>
      <c r="V12" s="55">
        <f>'7'!$BU$7</f>
        <v>0</v>
      </c>
      <c r="W12" s="55">
        <f>'7'!$BV$7</f>
        <v>0</v>
      </c>
      <c r="X12" s="55">
        <f>'7'!$BW$7</f>
        <v>0</v>
      </c>
      <c r="Y12" s="55">
        <f>'7'!$BX$7</f>
        <v>0</v>
      </c>
      <c r="Z12" s="55">
        <f>'7'!$BY$7</f>
        <v>0</v>
      </c>
      <c r="AA12" s="55">
        <f>'7'!$BN$8</f>
        <v>0</v>
      </c>
      <c r="AB12" s="55">
        <f>'7'!$BO$8</f>
        <v>0</v>
      </c>
      <c r="AC12" s="55">
        <f>'7'!$BP$8</f>
        <v>0</v>
      </c>
      <c r="AD12" s="55">
        <f>'7'!$BQ$8</f>
        <v>0</v>
      </c>
      <c r="AE12" s="55">
        <f>'7'!$BR$8</f>
        <v>0</v>
      </c>
      <c r="AF12" s="55">
        <f>'7'!$BS$8</f>
        <v>0</v>
      </c>
      <c r="AG12" s="55">
        <f>'7'!$BT$8</f>
        <v>0</v>
      </c>
      <c r="AH12" s="55">
        <f>'7'!$BU$8</f>
        <v>0</v>
      </c>
      <c r="AI12" s="55">
        <f>'7'!$BV$8</f>
        <v>0</v>
      </c>
      <c r="AJ12" s="55">
        <f>'7'!$BW$8</f>
        <v>0</v>
      </c>
      <c r="AK12" s="55">
        <f>'7'!$BX$8</f>
        <v>0</v>
      </c>
      <c r="AL12" s="55">
        <f>'7'!$BY$8</f>
        <v>0</v>
      </c>
      <c r="AM12" s="55">
        <f>'7'!$BN$9</f>
        <v>0</v>
      </c>
      <c r="AN12" s="55">
        <f>'7'!$BO$9</f>
        <v>0</v>
      </c>
      <c r="AO12" s="55">
        <f>'7'!$BP$9</f>
        <v>0</v>
      </c>
      <c r="AP12" s="55">
        <f>'7'!$BQ$9</f>
        <v>0</v>
      </c>
      <c r="AQ12" s="55">
        <f>'7'!$BR$9</f>
        <v>0</v>
      </c>
      <c r="AR12" s="55">
        <f>'7'!$BS$9</f>
        <v>0</v>
      </c>
      <c r="AS12" s="55">
        <f>'7'!$BT$9</f>
        <v>0</v>
      </c>
      <c r="AT12" s="55">
        <f>'7'!$BU$9</f>
        <v>0</v>
      </c>
      <c r="AU12" s="55">
        <f>'7'!$BV$9</f>
        <v>0</v>
      </c>
      <c r="AV12" s="55">
        <f>'7'!$BW$9</f>
        <v>0</v>
      </c>
      <c r="AW12" s="55">
        <f>'7'!$BX$9</f>
        <v>0</v>
      </c>
      <c r="AX12" s="55">
        <f>'7'!$BY$9</f>
        <v>0</v>
      </c>
      <c r="AY12" s="55">
        <f>'7'!$BN$10</f>
        <v>0</v>
      </c>
      <c r="AZ12" s="55">
        <f>'7'!$BO$10</f>
        <v>0</v>
      </c>
      <c r="BA12" s="55">
        <f>'7'!$BP$10</f>
        <v>0</v>
      </c>
      <c r="BB12" s="55">
        <f>'7'!$BQ$10</f>
        <v>0</v>
      </c>
      <c r="BC12" s="55">
        <f>'7'!$BR$10</f>
        <v>0</v>
      </c>
      <c r="BD12" s="55">
        <f>'7'!$BS$10</f>
        <v>0</v>
      </c>
      <c r="BE12" s="55">
        <f>'7'!$BT$10</f>
        <v>0</v>
      </c>
      <c r="BF12" s="55">
        <f>'7'!$BU$10</f>
        <v>0</v>
      </c>
      <c r="BG12" s="55">
        <f>'7'!$BV$10</f>
        <v>0</v>
      </c>
      <c r="BH12" s="55">
        <f>'7'!$BW$10</f>
        <v>0</v>
      </c>
      <c r="BI12" s="55">
        <f>'7'!$BX$10</f>
        <v>0</v>
      </c>
      <c r="BJ12" s="55">
        <f>'7'!$BY$10</f>
        <v>0</v>
      </c>
      <c r="BK12" s="55">
        <f>'7'!$BN$11</f>
        <v>0</v>
      </c>
      <c r="BL12" s="55">
        <f>'7'!$BO$11</f>
        <v>0</v>
      </c>
      <c r="BM12" s="55">
        <f>'7'!$BP$11</f>
        <v>0</v>
      </c>
      <c r="BN12" s="55">
        <f>'7'!$BQ$11</f>
        <v>0</v>
      </c>
      <c r="BO12" s="55">
        <f>'7'!$BR$11</f>
        <v>0</v>
      </c>
      <c r="BP12" s="55">
        <f>'7'!$BS$11</f>
        <v>0</v>
      </c>
      <c r="BQ12" s="55">
        <f>'7'!$BT$11</f>
        <v>0</v>
      </c>
      <c r="BR12" s="55">
        <f>'7'!$BU$11</f>
        <v>0</v>
      </c>
      <c r="BS12" s="55">
        <f>'7'!$BV$11</f>
        <v>0</v>
      </c>
      <c r="BT12" s="55">
        <f>'7'!$BW$11</f>
        <v>0</v>
      </c>
      <c r="BU12" s="55">
        <f>'7'!$BX$11</f>
        <v>0</v>
      </c>
      <c r="BV12" s="55">
        <f>'7'!$BY$11</f>
        <v>0</v>
      </c>
      <c r="BW12" s="55">
        <f>'7'!$BN$12</f>
        <v>0</v>
      </c>
      <c r="BX12" s="55">
        <f>'7'!$BO$12</f>
        <v>0</v>
      </c>
      <c r="BY12" s="55">
        <f>'7'!$BP$12</f>
        <v>0</v>
      </c>
      <c r="BZ12" s="55">
        <f>'7'!$BQ$12</f>
        <v>0</v>
      </c>
      <c r="CA12" s="55">
        <f>'7'!$BR$12</f>
        <v>0</v>
      </c>
      <c r="CB12" s="55">
        <f>'7'!$BS$12</f>
        <v>0</v>
      </c>
      <c r="CC12" s="55">
        <f>'7'!$BT$12</f>
        <v>0</v>
      </c>
      <c r="CD12" s="55">
        <f>'7'!$BU$12</f>
        <v>0</v>
      </c>
      <c r="CE12" s="55">
        <f>'7'!$BV$12</f>
        <v>0</v>
      </c>
      <c r="CF12" s="55">
        <f>'7'!$BW$12</f>
        <v>0</v>
      </c>
      <c r="CG12" s="55">
        <f>'7'!$BX$12</f>
        <v>0</v>
      </c>
      <c r="CH12" s="55">
        <f>'7'!$BY$12</f>
        <v>0</v>
      </c>
      <c r="CI12" s="55">
        <f>'7'!$BN$13</f>
        <v>0</v>
      </c>
      <c r="CJ12" s="55">
        <f>'7'!$BO$13</f>
        <v>0</v>
      </c>
      <c r="CK12" s="55">
        <f>'7'!$BP$13</f>
        <v>0</v>
      </c>
      <c r="CL12" s="55">
        <f>'7'!$BQ$13</f>
        <v>0</v>
      </c>
      <c r="CM12" s="55">
        <f>'7'!$BR$13</f>
        <v>0</v>
      </c>
      <c r="CN12" s="55">
        <f>'7'!$BS$13</f>
        <v>0</v>
      </c>
      <c r="CO12" s="55">
        <f>'7'!$BT$13</f>
        <v>0</v>
      </c>
      <c r="CP12" s="55">
        <f>'7'!$BU$13</f>
        <v>0</v>
      </c>
      <c r="CQ12" s="55">
        <f>'7'!$BV$13</f>
        <v>0</v>
      </c>
      <c r="CR12" s="55">
        <f>'7'!$BW$13</f>
        <v>0</v>
      </c>
      <c r="CS12" s="55">
        <f>'7'!$BX$13</f>
        <v>0</v>
      </c>
      <c r="CT12" s="55">
        <f>'7'!$BY$13</f>
        <v>0</v>
      </c>
      <c r="CU12" s="55">
        <f>'7'!$BN$14</f>
        <v>0</v>
      </c>
      <c r="CV12" s="55">
        <f>'7'!$BO$14</f>
        <v>0</v>
      </c>
      <c r="CW12" s="55">
        <f>'7'!$BP$14</f>
        <v>0</v>
      </c>
      <c r="CX12" s="55">
        <f>'7'!$BQ$14</f>
        <v>0</v>
      </c>
      <c r="CY12" s="55">
        <f>'7'!$BR$14</f>
        <v>0</v>
      </c>
      <c r="CZ12" s="55">
        <f>'7'!$BS$14</f>
        <v>0</v>
      </c>
      <c r="DA12" s="55">
        <f>'7'!$BT$14</f>
        <v>0</v>
      </c>
      <c r="DB12" s="55">
        <f>'7'!$BU$14</f>
        <v>0</v>
      </c>
      <c r="DC12" s="55">
        <f>'7'!$BV$14</f>
        <v>0</v>
      </c>
      <c r="DD12" s="55">
        <f>'7'!$BW$14</f>
        <v>0</v>
      </c>
      <c r="DE12" s="55">
        <f>'7'!$BX$14</f>
        <v>0</v>
      </c>
      <c r="DF12" s="55">
        <f>'7'!$BY$14</f>
        <v>0</v>
      </c>
      <c r="DG12" s="55">
        <f>'7'!$BN$15</f>
        <v>0</v>
      </c>
      <c r="DH12" s="55">
        <f>'7'!$BO$15</f>
        <v>0</v>
      </c>
      <c r="DI12" s="55">
        <f>'7'!$BP$15</f>
        <v>0</v>
      </c>
      <c r="DJ12" s="55">
        <f>'7'!$BQ$15</f>
        <v>0</v>
      </c>
      <c r="DK12" s="55">
        <f>'7'!$BR$15</f>
        <v>0</v>
      </c>
      <c r="DL12" s="55">
        <f>'7'!$BS$15</f>
        <v>0</v>
      </c>
      <c r="DM12" s="55">
        <f>'7'!$BT$15</f>
        <v>0</v>
      </c>
      <c r="DN12" s="55">
        <f>'7'!$BU$15</f>
        <v>0</v>
      </c>
      <c r="DO12" s="55">
        <f>'7'!$BV$15</f>
        <v>0</v>
      </c>
      <c r="DP12" s="55">
        <f>'7'!$BW$15</f>
        <v>0</v>
      </c>
      <c r="DQ12" s="55">
        <f>'7'!$BX$15</f>
        <v>0</v>
      </c>
      <c r="DR12" s="55">
        <f>'7'!$BY$15</f>
        <v>0</v>
      </c>
      <c r="DS12" s="55">
        <f>'7'!$BN$16</f>
        <v>0</v>
      </c>
      <c r="DT12" s="55">
        <f>'7'!$BO$16</f>
        <v>0</v>
      </c>
      <c r="DU12" s="55">
        <f>'7'!$BP$16</f>
        <v>0</v>
      </c>
      <c r="DV12" s="55">
        <f>'7'!$BQ$16</f>
        <v>0</v>
      </c>
      <c r="DW12" s="55">
        <f>'7'!$BR$16</f>
        <v>0</v>
      </c>
      <c r="DX12" s="55">
        <f>'7'!$BS$16</f>
        <v>0</v>
      </c>
      <c r="DY12" s="55">
        <f>'7'!$BT$16</f>
        <v>0</v>
      </c>
      <c r="DZ12" s="55">
        <f>'7'!$BU$16</f>
        <v>0</v>
      </c>
      <c r="EA12" s="55">
        <f>'7'!$BV$16</f>
        <v>0</v>
      </c>
      <c r="EB12" s="55">
        <f>'7'!$BW$16</f>
        <v>0</v>
      </c>
      <c r="EC12" s="55">
        <f>'7'!$BX$16</f>
        <v>0</v>
      </c>
      <c r="ED12" s="55">
        <f>'7'!$BY$16</f>
        <v>0</v>
      </c>
      <c r="EE12" s="55">
        <f>'7'!$BN$17</f>
        <v>0</v>
      </c>
      <c r="EF12" s="55">
        <f>'7'!$BO$17</f>
        <v>0</v>
      </c>
      <c r="EG12" s="55">
        <f>'7'!$BP$17</f>
        <v>0</v>
      </c>
      <c r="EH12" s="55">
        <f>'7'!$BQ$17</f>
        <v>0</v>
      </c>
      <c r="EI12" s="55">
        <f>'7'!$BR$17</f>
        <v>0</v>
      </c>
      <c r="EJ12" s="55">
        <f>'7'!$BS$17</f>
        <v>0</v>
      </c>
      <c r="EK12" s="55">
        <f>'7'!$BT$17</f>
        <v>0</v>
      </c>
      <c r="EL12" s="55">
        <f>'7'!$BU$17</f>
        <v>0</v>
      </c>
      <c r="EM12" s="55">
        <f>'7'!$BV$17</f>
        <v>0</v>
      </c>
      <c r="EN12" s="55">
        <f>'7'!$BW$17</f>
        <v>0</v>
      </c>
      <c r="EO12" s="55">
        <f>'7'!$BX$17</f>
        <v>0</v>
      </c>
      <c r="EP12" s="55">
        <f>'7'!$BY$17</f>
        <v>0</v>
      </c>
      <c r="EQ12" s="55">
        <f>'7'!$BN$18</f>
        <v>0</v>
      </c>
      <c r="ER12" s="55">
        <f>'7'!$BO$18</f>
        <v>0</v>
      </c>
      <c r="ES12" s="55">
        <f>'7'!$BP$18</f>
        <v>0</v>
      </c>
      <c r="ET12" s="55">
        <f>'7'!$BQ$18</f>
        <v>0</v>
      </c>
      <c r="EU12" s="55">
        <f>'7'!$BR$18</f>
        <v>0</v>
      </c>
      <c r="EV12" s="55">
        <f>'7'!$BS$18</f>
        <v>0</v>
      </c>
      <c r="EW12" s="55">
        <f>'7'!$BT$18</f>
        <v>0</v>
      </c>
      <c r="EX12" s="55">
        <f>'7'!$BU$18</f>
        <v>0</v>
      </c>
      <c r="EY12" s="55">
        <f>'7'!$BV$18</f>
        <v>0</v>
      </c>
      <c r="EZ12" s="55">
        <f>'7'!$BW$18</f>
        <v>0</v>
      </c>
      <c r="FA12" s="55">
        <f>'7'!$BX$18</f>
        <v>0</v>
      </c>
      <c r="FB12" s="55">
        <f>'7'!$BY$18</f>
        <v>0</v>
      </c>
      <c r="FC12" s="55">
        <f>'7'!$BN$19</f>
        <v>0</v>
      </c>
      <c r="FD12" s="55">
        <f>'7'!$BO$19</f>
        <v>0</v>
      </c>
      <c r="FE12" s="55">
        <f>'7'!$BP$19</f>
        <v>0</v>
      </c>
      <c r="FF12" s="55">
        <f>'7'!$BQ$19</f>
        <v>0</v>
      </c>
      <c r="FG12" s="55">
        <f>'7'!$BR$19</f>
        <v>0</v>
      </c>
      <c r="FH12" s="55">
        <f>'7'!$BS$19</f>
        <v>0</v>
      </c>
      <c r="FI12" s="55">
        <f>'7'!$BT$19</f>
        <v>0</v>
      </c>
      <c r="FJ12" s="55">
        <f>'7'!$BU$19</f>
        <v>0</v>
      </c>
      <c r="FK12" s="55">
        <f>'7'!$BV$19</f>
        <v>0</v>
      </c>
      <c r="FL12" s="55">
        <f>'7'!$BW$19</f>
        <v>0</v>
      </c>
      <c r="FM12" s="55">
        <f>'7'!$BX$19</f>
        <v>0</v>
      </c>
      <c r="FN12" s="55">
        <f>'7'!$BY$19</f>
        <v>0</v>
      </c>
      <c r="FO12" s="55">
        <f>'7'!$BN$20</f>
        <v>0</v>
      </c>
      <c r="FP12" s="55">
        <f>'7'!$BO$20</f>
        <v>0</v>
      </c>
      <c r="FQ12" s="55">
        <f>'7'!$BP$20</f>
        <v>0</v>
      </c>
      <c r="FR12" s="55">
        <f>'7'!$BQ$20</f>
        <v>0</v>
      </c>
      <c r="FS12" s="55">
        <f>'7'!$BR$20</f>
        <v>0</v>
      </c>
      <c r="FT12" s="55">
        <f>'7'!$BS$20</f>
        <v>0</v>
      </c>
      <c r="FU12" s="55">
        <f>'7'!$BT$20</f>
        <v>0</v>
      </c>
      <c r="FV12" s="55">
        <f>'7'!$BU$20</f>
        <v>0</v>
      </c>
      <c r="FW12" s="55">
        <f>'7'!$BV$20</f>
        <v>0</v>
      </c>
      <c r="FX12" s="55">
        <f>'7'!$BW$20</f>
        <v>0</v>
      </c>
      <c r="FY12" s="55">
        <f>'7'!$BX$20</f>
        <v>0</v>
      </c>
      <c r="FZ12" s="55">
        <f>'7'!$BY$20</f>
        <v>0</v>
      </c>
      <c r="GA12" s="55">
        <f>'7'!$BN$21</f>
        <v>0</v>
      </c>
      <c r="GB12" s="55">
        <f>'7'!$BO$21</f>
        <v>0</v>
      </c>
      <c r="GC12" s="55">
        <f>'7'!$BP$21</f>
        <v>0</v>
      </c>
      <c r="GD12" s="55">
        <f>'7'!$BQ$21</f>
        <v>0</v>
      </c>
      <c r="GE12" s="55">
        <f>'7'!$BR$21</f>
        <v>0</v>
      </c>
      <c r="GF12" s="55">
        <f>'7'!$BS$21</f>
        <v>0</v>
      </c>
      <c r="GG12" s="55">
        <f>'7'!$BT$21</f>
        <v>0</v>
      </c>
      <c r="GH12" s="55">
        <f>'7'!$BU$21</f>
        <v>0</v>
      </c>
      <c r="GI12" s="55">
        <f>'7'!$BV$21</f>
        <v>0</v>
      </c>
      <c r="GJ12" s="55">
        <f>'7'!$BW$21</f>
        <v>0</v>
      </c>
      <c r="GK12" s="55">
        <f>'7'!$BX$21</f>
        <v>0</v>
      </c>
      <c r="GL12" s="55">
        <f>'7'!$BY$21</f>
        <v>0</v>
      </c>
      <c r="GM12" s="55">
        <f>'7'!$BN$22</f>
        <v>0</v>
      </c>
      <c r="GN12" s="55">
        <f>'7'!$BO$22</f>
        <v>0</v>
      </c>
      <c r="GO12" s="55">
        <f>'7'!$BP$22</f>
        <v>0</v>
      </c>
      <c r="GP12" s="55">
        <f>'7'!$BQ$22</f>
        <v>0</v>
      </c>
      <c r="GQ12" s="55">
        <f>'7'!$BR$22</f>
        <v>0</v>
      </c>
      <c r="GR12" s="55">
        <f>'7'!$BS$22</f>
        <v>0</v>
      </c>
      <c r="GS12" s="55">
        <f>'7'!$BT$22</f>
        <v>0</v>
      </c>
      <c r="GT12" s="55">
        <f>'7'!$BU$22</f>
        <v>0</v>
      </c>
      <c r="GU12" s="55">
        <f>'7'!$BV$22</f>
        <v>0</v>
      </c>
      <c r="GV12" s="55">
        <f>'7'!$BW$22</f>
        <v>0</v>
      </c>
      <c r="GW12" s="55">
        <f>'7'!$BX$22</f>
        <v>0</v>
      </c>
      <c r="GX12" s="55">
        <f>'7'!$BY$22</f>
        <v>0</v>
      </c>
      <c r="GY12" s="55">
        <f>'7'!$BN$23</f>
        <v>0</v>
      </c>
      <c r="GZ12" s="55">
        <f>'7'!$BO$23</f>
        <v>0</v>
      </c>
      <c r="HA12" s="55">
        <f>'7'!$BP$23</f>
        <v>0</v>
      </c>
      <c r="HB12" s="55">
        <f>'7'!$BQ$23</f>
        <v>0</v>
      </c>
      <c r="HC12" s="55">
        <f>'7'!$BR$23</f>
        <v>0</v>
      </c>
      <c r="HD12" s="55">
        <f>'7'!$BS$23</f>
        <v>0</v>
      </c>
      <c r="HE12" s="55">
        <f>'7'!$BT$23</f>
        <v>0</v>
      </c>
      <c r="HF12" s="55">
        <f>'7'!$BU$23</f>
        <v>0</v>
      </c>
      <c r="HG12" s="55">
        <f>'7'!$BV$23</f>
        <v>0</v>
      </c>
      <c r="HH12" s="55">
        <f>'7'!$BW$23</f>
        <v>0</v>
      </c>
      <c r="HI12" s="55">
        <f>'7'!$BX$23</f>
        <v>0</v>
      </c>
      <c r="HJ12" s="55">
        <f>'7'!$BY$23</f>
        <v>0</v>
      </c>
      <c r="HK12" s="55">
        <f>'7'!$BN$24</f>
        <v>0</v>
      </c>
      <c r="HL12" s="55">
        <f>'7'!$BO$24</f>
        <v>0</v>
      </c>
      <c r="HM12" s="55">
        <f>'7'!$BP$24</f>
        <v>0</v>
      </c>
      <c r="HN12" s="55">
        <f>'7'!$BQ$24</f>
        <v>0</v>
      </c>
      <c r="HO12" s="55">
        <f>'7'!$BR$24</f>
        <v>0</v>
      </c>
      <c r="HP12" s="55">
        <f>'7'!$BS$24</f>
        <v>0</v>
      </c>
      <c r="HQ12" s="55">
        <f>'7'!$BT$24</f>
        <v>0</v>
      </c>
      <c r="HR12" s="55">
        <f>'7'!$BU$24</f>
        <v>0</v>
      </c>
      <c r="HS12" s="55">
        <f>'7'!$BV$24</f>
        <v>0</v>
      </c>
      <c r="HT12" s="55">
        <f>'7'!$BW$24</f>
        <v>0</v>
      </c>
      <c r="HU12" s="55">
        <f>'7'!$BX$24</f>
        <v>0</v>
      </c>
      <c r="HV12" s="55">
        <f>'7'!$BY$24</f>
        <v>0</v>
      </c>
      <c r="HW12" s="55">
        <f>'7'!$BN$25</f>
        <v>0</v>
      </c>
      <c r="HX12" s="55">
        <f>'7'!$BO$25</f>
        <v>0</v>
      </c>
      <c r="HY12" s="55">
        <f>'7'!$BP$25</f>
        <v>0</v>
      </c>
      <c r="HZ12" s="55">
        <f>'7'!$BQ$25</f>
        <v>0</v>
      </c>
      <c r="IA12" s="55">
        <f>'7'!$BR$25</f>
        <v>0</v>
      </c>
      <c r="IB12" s="55">
        <f>'7'!$BS$25</f>
        <v>0</v>
      </c>
      <c r="IC12" s="55">
        <f>'7'!$BT$25</f>
        <v>0</v>
      </c>
      <c r="ID12" s="55">
        <f>'7'!$BU$25</f>
        <v>0</v>
      </c>
      <c r="IE12" s="55">
        <f>'7'!$BV$25</f>
        <v>0</v>
      </c>
      <c r="IF12" s="55">
        <f>'7'!$BW$25</f>
        <v>0</v>
      </c>
      <c r="IG12" s="55">
        <f>'7'!$BX$25</f>
        <v>0</v>
      </c>
      <c r="IH12" s="55">
        <f>'7'!$BY$25</f>
        <v>0</v>
      </c>
      <c r="II12" s="55">
        <f>'7'!$BN$26</f>
        <v>0</v>
      </c>
      <c r="IJ12" s="55">
        <f>'7'!$BO$26</f>
        <v>0</v>
      </c>
      <c r="IK12" s="55">
        <f>'7'!$BP$26</f>
        <v>0</v>
      </c>
      <c r="IL12" s="55">
        <f>'7'!$BQ$26</f>
        <v>0</v>
      </c>
      <c r="IM12" s="55">
        <f>'7'!$BR$26</f>
        <v>0</v>
      </c>
      <c r="IN12" s="55">
        <f>'7'!$BS$26</f>
        <v>0</v>
      </c>
      <c r="IO12" s="55">
        <f>'7'!$BT$26</f>
        <v>0</v>
      </c>
      <c r="IP12" s="55">
        <f>'7'!$BU$26</f>
        <v>0</v>
      </c>
      <c r="IQ12" s="55">
        <f>'7'!$BV$26</f>
        <v>0</v>
      </c>
      <c r="IR12" s="55">
        <f>'7'!$BW$26</f>
        <v>0</v>
      </c>
      <c r="IS12" s="55">
        <f>'7'!$BX$26</f>
        <v>0</v>
      </c>
      <c r="IT12" s="55">
        <f>'7'!$BY$26</f>
        <v>0</v>
      </c>
      <c r="IU12" s="55">
        <f>'7'!$BN$27</f>
        <v>0</v>
      </c>
      <c r="IV12" s="55">
        <f>'7'!$BO$27</f>
        <v>0</v>
      </c>
      <c r="IW12" s="55">
        <f>'7'!$BP$27</f>
        <v>0</v>
      </c>
      <c r="IX12" s="55">
        <f>'7'!$BQ$27</f>
        <v>0</v>
      </c>
      <c r="IY12" s="55">
        <f>'7'!$BR$27</f>
        <v>0</v>
      </c>
      <c r="IZ12" s="55">
        <f>'7'!$BS$27</f>
        <v>0</v>
      </c>
      <c r="JA12" s="55">
        <f>'7'!$BT$27</f>
        <v>0</v>
      </c>
      <c r="JB12" s="55">
        <f>'7'!$BU$27</f>
        <v>0</v>
      </c>
      <c r="JC12" s="55">
        <f>'7'!$BV$27</f>
        <v>0</v>
      </c>
      <c r="JD12" s="55">
        <f>'7'!$BW$27</f>
        <v>0</v>
      </c>
      <c r="JE12" s="55">
        <f>'7'!$BX$27</f>
        <v>0</v>
      </c>
      <c r="JF12" s="55">
        <f>'7'!$BY$27</f>
        <v>0</v>
      </c>
      <c r="JG12" s="55">
        <f>'7'!$BN$28</f>
        <v>0</v>
      </c>
      <c r="JH12" s="55">
        <f>'7'!$BO$28</f>
        <v>0</v>
      </c>
      <c r="JI12" s="55">
        <f>'7'!$BP$28</f>
        <v>0</v>
      </c>
      <c r="JJ12" s="55">
        <f>'7'!$BQ$28</f>
        <v>0</v>
      </c>
      <c r="JK12" s="55">
        <f>'7'!$BR$28</f>
        <v>0</v>
      </c>
      <c r="JL12" s="55">
        <f>'7'!$BS$28</f>
        <v>0</v>
      </c>
      <c r="JM12" s="55">
        <f>'7'!$BT$28</f>
        <v>0</v>
      </c>
      <c r="JN12" s="55">
        <f>'7'!$BU$28</f>
        <v>0</v>
      </c>
      <c r="JO12" s="55">
        <f>'7'!$BV$28</f>
        <v>0</v>
      </c>
      <c r="JP12" s="55">
        <f>'7'!$BW$28</f>
        <v>0</v>
      </c>
      <c r="JQ12" s="55">
        <f>'7'!$BX$28</f>
        <v>0</v>
      </c>
      <c r="JR12" s="55">
        <f>'7'!$BY$28</f>
        <v>0</v>
      </c>
      <c r="JS12" s="55">
        <f>'7'!$BN$29</f>
        <v>0</v>
      </c>
      <c r="JT12" s="55">
        <f>'7'!$BO$29</f>
        <v>0</v>
      </c>
      <c r="JU12" s="55">
        <f>'7'!$BP$29</f>
        <v>0</v>
      </c>
      <c r="JV12" s="55">
        <f>'7'!$BQ$29</f>
        <v>0</v>
      </c>
      <c r="JW12" s="55">
        <f>'7'!$BR$29</f>
        <v>0</v>
      </c>
      <c r="JX12" s="55">
        <f>'7'!$BS$29</f>
        <v>0</v>
      </c>
      <c r="JY12" s="55">
        <f>'7'!$BT$29</f>
        <v>0</v>
      </c>
      <c r="JZ12" s="55">
        <f>'7'!$BU$29</f>
        <v>0</v>
      </c>
      <c r="KA12" s="55">
        <f>'7'!$BV$29</f>
        <v>0</v>
      </c>
      <c r="KB12" s="55">
        <f>'7'!$BW$29</f>
        <v>0</v>
      </c>
      <c r="KC12" s="55">
        <f>'7'!$BX$29</f>
        <v>0</v>
      </c>
      <c r="KD12" s="55">
        <f>'7'!$BY$29</f>
        <v>0</v>
      </c>
    </row>
    <row r="13" spans="1:290" ht="15" x14ac:dyDescent="0.25">
      <c r="A13" s="50">
        <v>46181</v>
      </c>
      <c r="B13" s="52"/>
      <c r="C13" s="55">
        <f>'8'!$BN$6</f>
        <v>0</v>
      </c>
      <c r="D13" s="55">
        <f>'8'!$BO$6</f>
        <v>0</v>
      </c>
      <c r="E13" s="55">
        <f>'8'!$BP$6</f>
        <v>0</v>
      </c>
      <c r="F13" s="55">
        <f>'8'!$BQ$6</f>
        <v>0</v>
      </c>
      <c r="G13" s="55">
        <f>'8'!$BR$6</f>
        <v>0</v>
      </c>
      <c r="H13" s="55">
        <f>'8'!$BS$6</f>
        <v>0</v>
      </c>
      <c r="I13" s="55">
        <f>'8'!$BT$6</f>
        <v>0</v>
      </c>
      <c r="J13" s="55">
        <f>'8'!$BU$6</f>
        <v>0</v>
      </c>
      <c r="K13" s="55">
        <f>'8'!$BV$6</f>
        <v>0</v>
      </c>
      <c r="L13" s="55">
        <f>'8'!$BW$6</f>
        <v>0</v>
      </c>
      <c r="M13" s="55">
        <f>'8'!$BX$6</f>
        <v>0</v>
      </c>
      <c r="N13" s="55">
        <f>'8'!$BY$6</f>
        <v>0</v>
      </c>
      <c r="O13" s="55">
        <f>'8'!$BN$7</f>
        <v>0</v>
      </c>
      <c r="P13" s="55">
        <f>'8'!$BO$7</f>
        <v>0</v>
      </c>
      <c r="Q13" s="55">
        <f>'8'!$BP$7</f>
        <v>0</v>
      </c>
      <c r="R13" s="55">
        <f>'8'!$BQ$7</f>
        <v>0</v>
      </c>
      <c r="S13" s="55">
        <f>'8'!$BR$7</f>
        <v>0</v>
      </c>
      <c r="T13" s="55">
        <f>'8'!$BS$7</f>
        <v>0</v>
      </c>
      <c r="U13" s="55">
        <f>'8'!$BT$7</f>
        <v>0</v>
      </c>
      <c r="V13" s="55">
        <f>'8'!$BU$7</f>
        <v>0</v>
      </c>
      <c r="W13" s="55">
        <f>'8'!$BV$7</f>
        <v>0</v>
      </c>
      <c r="X13" s="55">
        <f>'8'!$BW$7</f>
        <v>0</v>
      </c>
      <c r="Y13" s="55">
        <f>'8'!$BX$7</f>
        <v>0</v>
      </c>
      <c r="Z13" s="55">
        <f>'8'!$BY$7</f>
        <v>0</v>
      </c>
      <c r="AA13" s="55">
        <f>'8'!$BN$8</f>
        <v>0</v>
      </c>
      <c r="AB13" s="55">
        <f>'8'!$BO$8</f>
        <v>0</v>
      </c>
      <c r="AC13" s="55">
        <f>'8'!$BP$8</f>
        <v>0</v>
      </c>
      <c r="AD13" s="55">
        <f>'8'!$BQ$8</f>
        <v>0</v>
      </c>
      <c r="AE13" s="55">
        <f>'8'!$BR$8</f>
        <v>0</v>
      </c>
      <c r="AF13" s="55">
        <f>'8'!$BS$8</f>
        <v>0</v>
      </c>
      <c r="AG13" s="55">
        <f>'8'!$BT$8</f>
        <v>0</v>
      </c>
      <c r="AH13" s="55">
        <f>'8'!$BU$8</f>
        <v>0</v>
      </c>
      <c r="AI13" s="55">
        <f>'8'!$BV$8</f>
        <v>0</v>
      </c>
      <c r="AJ13" s="55">
        <f>'8'!$BW$8</f>
        <v>0</v>
      </c>
      <c r="AK13" s="55">
        <f>'8'!$BX$8</f>
        <v>0</v>
      </c>
      <c r="AL13" s="55">
        <f>'8'!$BY$8</f>
        <v>0</v>
      </c>
      <c r="AM13" s="55">
        <f>'8'!$BN$9</f>
        <v>0</v>
      </c>
      <c r="AN13" s="55">
        <f>'8'!$BO$9</f>
        <v>0</v>
      </c>
      <c r="AO13" s="55">
        <f>'8'!$BP$9</f>
        <v>0</v>
      </c>
      <c r="AP13" s="55">
        <f>'8'!$BQ$9</f>
        <v>0</v>
      </c>
      <c r="AQ13" s="55">
        <f>'8'!$BR$9</f>
        <v>0</v>
      </c>
      <c r="AR13" s="55">
        <f>'8'!$BS$9</f>
        <v>0</v>
      </c>
      <c r="AS13" s="55">
        <f>'8'!$BT$9</f>
        <v>0</v>
      </c>
      <c r="AT13" s="55">
        <f>'8'!$BU$9</f>
        <v>0</v>
      </c>
      <c r="AU13" s="55">
        <f>'8'!$BV$9</f>
        <v>0</v>
      </c>
      <c r="AV13" s="55">
        <f>'8'!$BW$9</f>
        <v>0</v>
      </c>
      <c r="AW13" s="55">
        <f>'8'!$BX$9</f>
        <v>0</v>
      </c>
      <c r="AX13" s="55">
        <f>'8'!$BY$9</f>
        <v>0</v>
      </c>
      <c r="AY13" s="55">
        <f>'8'!$BN$10</f>
        <v>0</v>
      </c>
      <c r="AZ13" s="55">
        <f>'8'!$BO$10</f>
        <v>0</v>
      </c>
      <c r="BA13" s="55">
        <f>'8'!$BP$10</f>
        <v>0</v>
      </c>
      <c r="BB13" s="55">
        <f>'8'!$BQ$10</f>
        <v>0</v>
      </c>
      <c r="BC13" s="55">
        <f>'8'!$BR$10</f>
        <v>0</v>
      </c>
      <c r="BD13" s="55">
        <f>'8'!$BS$10</f>
        <v>0</v>
      </c>
      <c r="BE13" s="55">
        <f>'8'!$BT$10</f>
        <v>0</v>
      </c>
      <c r="BF13" s="55">
        <f>'8'!$BU$10</f>
        <v>0</v>
      </c>
      <c r="BG13" s="55">
        <f>'8'!$BV$10</f>
        <v>0</v>
      </c>
      <c r="BH13" s="55">
        <f>'8'!$BW$10</f>
        <v>0</v>
      </c>
      <c r="BI13" s="55">
        <f>'8'!$BX$10</f>
        <v>0</v>
      </c>
      <c r="BJ13" s="55">
        <f>'8'!$BY$10</f>
        <v>0</v>
      </c>
      <c r="BK13" s="55">
        <f>'8'!$BN$11</f>
        <v>0</v>
      </c>
      <c r="BL13" s="55">
        <f>'8'!$BO$11</f>
        <v>0</v>
      </c>
      <c r="BM13" s="55">
        <f>'8'!$BP$11</f>
        <v>0</v>
      </c>
      <c r="BN13" s="55">
        <f>'8'!$BQ$11</f>
        <v>0</v>
      </c>
      <c r="BO13" s="55">
        <f>'8'!$BR$11</f>
        <v>0</v>
      </c>
      <c r="BP13" s="55">
        <f>'8'!$BS$11</f>
        <v>0</v>
      </c>
      <c r="BQ13" s="55">
        <f>'8'!$BT$11</f>
        <v>0</v>
      </c>
      <c r="BR13" s="55">
        <f>'8'!$BU$11</f>
        <v>0</v>
      </c>
      <c r="BS13" s="55">
        <f>'8'!$BV$11</f>
        <v>0</v>
      </c>
      <c r="BT13" s="55">
        <f>'8'!$BW$11</f>
        <v>0</v>
      </c>
      <c r="BU13" s="55">
        <f>'8'!$BX$11</f>
        <v>0</v>
      </c>
      <c r="BV13" s="55">
        <f>'8'!$BY$11</f>
        <v>0</v>
      </c>
      <c r="BW13" s="55">
        <f>'8'!$BN$12</f>
        <v>0</v>
      </c>
      <c r="BX13" s="55">
        <f>'8'!$BO$12</f>
        <v>0</v>
      </c>
      <c r="BY13" s="55">
        <f>'8'!$BP$12</f>
        <v>0</v>
      </c>
      <c r="BZ13" s="55">
        <f>'8'!$BQ$12</f>
        <v>0</v>
      </c>
      <c r="CA13" s="55">
        <f>'8'!$BR$12</f>
        <v>0</v>
      </c>
      <c r="CB13" s="55">
        <f>'8'!$BS$12</f>
        <v>0</v>
      </c>
      <c r="CC13" s="55">
        <f>'8'!$BT$12</f>
        <v>0</v>
      </c>
      <c r="CD13" s="55">
        <f>'8'!$BU$12</f>
        <v>0</v>
      </c>
      <c r="CE13" s="55">
        <f>'8'!$BV$12</f>
        <v>0</v>
      </c>
      <c r="CF13" s="55">
        <f>'8'!$BW$12</f>
        <v>0</v>
      </c>
      <c r="CG13" s="55">
        <f>'8'!$BX$12</f>
        <v>0</v>
      </c>
      <c r="CH13" s="55">
        <f>'8'!$BY$12</f>
        <v>0</v>
      </c>
      <c r="CI13" s="55">
        <f>'8'!$BN$13</f>
        <v>0</v>
      </c>
      <c r="CJ13" s="55">
        <f>'8'!$BO$13</f>
        <v>0</v>
      </c>
      <c r="CK13" s="55">
        <f>'8'!$BP$13</f>
        <v>0</v>
      </c>
      <c r="CL13" s="55">
        <f>'8'!$BQ$13</f>
        <v>0</v>
      </c>
      <c r="CM13" s="55">
        <f>'8'!$BR$13</f>
        <v>0</v>
      </c>
      <c r="CN13" s="55">
        <f>'8'!$BS$13</f>
        <v>0</v>
      </c>
      <c r="CO13" s="55">
        <f>'8'!$BT$13</f>
        <v>0</v>
      </c>
      <c r="CP13" s="55">
        <f>'8'!$BU$13</f>
        <v>0</v>
      </c>
      <c r="CQ13" s="55">
        <f>'8'!$BV$13</f>
        <v>0</v>
      </c>
      <c r="CR13" s="55">
        <f>'8'!$BW$13</f>
        <v>0</v>
      </c>
      <c r="CS13" s="55">
        <f>'8'!$BX$13</f>
        <v>0</v>
      </c>
      <c r="CT13" s="55">
        <f>'8'!$BY$13</f>
        <v>0</v>
      </c>
      <c r="CU13" s="55">
        <f>'8'!$BN$14</f>
        <v>0</v>
      </c>
      <c r="CV13" s="55">
        <f>'8'!$BO$14</f>
        <v>0</v>
      </c>
      <c r="CW13" s="55">
        <f>'8'!$BP$14</f>
        <v>0</v>
      </c>
      <c r="CX13" s="55">
        <f>'8'!$BQ$14</f>
        <v>0</v>
      </c>
      <c r="CY13" s="55">
        <f>'8'!$BR$14</f>
        <v>0</v>
      </c>
      <c r="CZ13" s="55">
        <f>'8'!$BS$14</f>
        <v>0</v>
      </c>
      <c r="DA13" s="55">
        <f>'8'!$BT$14</f>
        <v>0</v>
      </c>
      <c r="DB13" s="55">
        <f>'8'!$BU$14</f>
        <v>0</v>
      </c>
      <c r="DC13" s="55">
        <f>'8'!$BV$14</f>
        <v>0</v>
      </c>
      <c r="DD13" s="55">
        <f>'8'!$BW$14</f>
        <v>0</v>
      </c>
      <c r="DE13" s="55">
        <f>'8'!$BX$14</f>
        <v>0</v>
      </c>
      <c r="DF13" s="55">
        <f>'8'!$BY$14</f>
        <v>0</v>
      </c>
      <c r="DG13" s="55">
        <f>'8'!$BN$15</f>
        <v>0</v>
      </c>
      <c r="DH13" s="55">
        <f>'8'!$BO$15</f>
        <v>0</v>
      </c>
      <c r="DI13" s="55">
        <f>'8'!$BP$15</f>
        <v>0</v>
      </c>
      <c r="DJ13" s="55">
        <f>'8'!$BQ$15</f>
        <v>0</v>
      </c>
      <c r="DK13" s="55">
        <f>'8'!$BR$15</f>
        <v>0</v>
      </c>
      <c r="DL13" s="55">
        <f>'8'!$BS$15</f>
        <v>0</v>
      </c>
      <c r="DM13" s="55">
        <f>'8'!$BT$15</f>
        <v>0</v>
      </c>
      <c r="DN13" s="55">
        <f>'8'!$BU$15</f>
        <v>0</v>
      </c>
      <c r="DO13" s="55">
        <f>'8'!$BV$15</f>
        <v>0</v>
      </c>
      <c r="DP13" s="55">
        <f>'8'!$BW$15</f>
        <v>0</v>
      </c>
      <c r="DQ13" s="55">
        <f>'8'!$BX$15</f>
        <v>0</v>
      </c>
      <c r="DR13" s="55">
        <f>'8'!$BY$15</f>
        <v>0</v>
      </c>
      <c r="DS13" s="55">
        <f>'8'!$BN$16</f>
        <v>0</v>
      </c>
      <c r="DT13" s="55">
        <f>'8'!$BO$16</f>
        <v>0</v>
      </c>
      <c r="DU13" s="55">
        <f>'8'!$BP$16</f>
        <v>0</v>
      </c>
      <c r="DV13" s="55">
        <f>'8'!$BQ$16</f>
        <v>0</v>
      </c>
      <c r="DW13" s="55">
        <f>'8'!$BR$16</f>
        <v>0</v>
      </c>
      <c r="DX13" s="55">
        <f>'8'!$BS$16</f>
        <v>0</v>
      </c>
      <c r="DY13" s="55">
        <f>'8'!$BT$16</f>
        <v>0</v>
      </c>
      <c r="DZ13" s="55">
        <f>'8'!$BU$16</f>
        <v>0</v>
      </c>
      <c r="EA13" s="55">
        <f>'8'!$BV$16</f>
        <v>0</v>
      </c>
      <c r="EB13" s="55">
        <f>'8'!$BW$16</f>
        <v>0</v>
      </c>
      <c r="EC13" s="55">
        <f>'8'!$BX$16</f>
        <v>0</v>
      </c>
      <c r="ED13" s="55">
        <f>'8'!$BY$16</f>
        <v>0</v>
      </c>
      <c r="EE13" s="55">
        <f>'8'!$BN$17</f>
        <v>0</v>
      </c>
      <c r="EF13" s="55">
        <f>'8'!$BO$17</f>
        <v>0</v>
      </c>
      <c r="EG13" s="55">
        <f>'8'!$BP$17</f>
        <v>0</v>
      </c>
      <c r="EH13" s="55">
        <f>'8'!$BQ$17</f>
        <v>0</v>
      </c>
      <c r="EI13" s="55">
        <f>'8'!$BR$17</f>
        <v>0</v>
      </c>
      <c r="EJ13" s="55">
        <f>'8'!$BS$17</f>
        <v>0</v>
      </c>
      <c r="EK13" s="55">
        <f>'8'!$BT$17</f>
        <v>0</v>
      </c>
      <c r="EL13" s="55">
        <f>'8'!$BU$17</f>
        <v>0</v>
      </c>
      <c r="EM13" s="55">
        <f>'8'!$BV$17</f>
        <v>0</v>
      </c>
      <c r="EN13" s="55">
        <f>'8'!$BW$17</f>
        <v>0</v>
      </c>
      <c r="EO13" s="55">
        <f>'8'!$BX$17</f>
        <v>0</v>
      </c>
      <c r="EP13" s="55">
        <f>'8'!$BY$17</f>
        <v>0</v>
      </c>
      <c r="EQ13" s="55">
        <f>'8'!$BN$18</f>
        <v>0</v>
      </c>
      <c r="ER13" s="55">
        <f>'8'!$BO$18</f>
        <v>0</v>
      </c>
      <c r="ES13" s="55">
        <f>'8'!$BP$18</f>
        <v>0</v>
      </c>
      <c r="ET13" s="55">
        <f>'8'!$BQ$18</f>
        <v>0</v>
      </c>
      <c r="EU13" s="55">
        <f>'8'!$BR$18</f>
        <v>0</v>
      </c>
      <c r="EV13" s="55">
        <f>'8'!$BS$18</f>
        <v>0</v>
      </c>
      <c r="EW13" s="55">
        <f>'8'!$BT$18</f>
        <v>0</v>
      </c>
      <c r="EX13" s="55">
        <f>'8'!$BU$18</f>
        <v>0</v>
      </c>
      <c r="EY13" s="55">
        <f>'8'!$BV$18</f>
        <v>0</v>
      </c>
      <c r="EZ13" s="55">
        <f>'8'!$BW$18</f>
        <v>0</v>
      </c>
      <c r="FA13" s="55">
        <f>'8'!$BX$18</f>
        <v>0</v>
      </c>
      <c r="FB13" s="55">
        <f>'8'!$BY$18</f>
        <v>0</v>
      </c>
      <c r="FC13" s="55">
        <f>'8'!$BN$19</f>
        <v>0</v>
      </c>
      <c r="FD13" s="55">
        <f>'8'!$BO$19</f>
        <v>0</v>
      </c>
      <c r="FE13" s="55">
        <f>'8'!$BP$19</f>
        <v>0</v>
      </c>
      <c r="FF13" s="55">
        <f>'8'!$BQ$19</f>
        <v>0</v>
      </c>
      <c r="FG13" s="55">
        <f>'8'!$BR$19</f>
        <v>0</v>
      </c>
      <c r="FH13" s="55">
        <f>'8'!$BS$19</f>
        <v>0</v>
      </c>
      <c r="FI13" s="55">
        <f>'8'!$BT$19</f>
        <v>0</v>
      </c>
      <c r="FJ13" s="55">
        <f>'8'!$BU$19</f>
        <v>0</v>
      </c>
      <c r="FK13" s="55">
        <f>'8'!$BV$19</f>
        <v>0</v>
      </c>
      <c r="FL13" s="55">
        <f>'8'!$BW$19</f>
        <v>0</v>
      </c>
      <c r="FM13" s="55">
        <f>'8'!$BX$19</f>
        <v>0</v>
      </c>
      <c r="FN13" s="55">
        <f>'8'!$BY$19</f>
        <v>0</v>
      </c>
      <c r="FO13" s="55">
        <f>'8'!$BN$20</f>
        <v>0</v>
      </c>
      <c r="FP13" s="55">
        <f>'8'!$BO$20</f>
        <v>0</v>
      </c>
      <c r="FQ13" s="55">
        <f>'8'!$BP$20</f>
        <v>0</v>
      </c>
      <c r="FR13" s="55">
        <f>'8'!$BQ$20</f>
        <v>0</v>
      </c>
      <c r="FS13" s="55">
        <f>'8'!$BR$20</f>
        <v>0</v>
      </c>
      <c r="FT13" s="55">
        <f>'8'!$BS$20</f>
        <v>0</v>
      </c>
      <c r="FU13" s="55">
        <f>'8'!$BT$20</f>
        <v>0</v>
      </c>
      <c r="FV13" s="55">
        <f>'8'!$BU$20</f>
        <v>0</v>
      </c>
      <c r="FW13" s="55">
        <f>'8'!$BV$20</f>
        <v>0</v>
      </c>
      <c r="FX13" s="55">
        <f>'8'!$BW$20</f>
        <v>0</v>
      </c>
      <c r="FY13" s="55">
        <f>'8'!$BX$20</f>
        <v>0</v>
      </c>
      <c r="FZ13" s="55">
        <f>'8'!$BY$20</f>
        <v>0</v>
      </c>
      <c r="GA13" s="55">
        <f>'8'!$BN$21</f>
        <v>0</v>
      </c>
      <c r="GB13" s="55">
        <f>'8'!$BO$21</f>
        <v>0</v>
      </c>
      <c r="GC13" s="55">
        <f>'8'!$BP$21</f>
        <v>0</v>
      </c>
      <c r="GD13" s="55">
        <f>'8'!$BQ$21</f>
        <v>0</v>
      </c>
      <c r="GE13" s="55">
        <f>'8'!$BR$21</f>
        <v>0</v>
      </c>
      <c r="GF13" s="55">
        <f>'8'!$BS$21</f>
        <v>0</v>
      </c>
      <c r="GG13" s="55">
        <f>'8'!$BT$21</f>
        <v>0</v>
      </c>
      <c r="GH13" s="55">
        <f>'8'!$BU$21</f>
        <v>0</v>
      </c>
      <c r="GI13" s="55">
        <f>'8'!$BV$21</f>
        <v>0</v>
      </c>
      <c r="GJ13" s="55">
        <f>'8'!$BW$21</f>
        <v>0</v>
      </c>
      <c r="GK13" s="55">
        <f>'8'!$BX$21</f>
        <v>0</v>
      </c>
      <c r="GL13" s="55">
        <f>'8'!$BY$21</f>
        <v>0</v>
      </c>
      <c r="GM13" s="55">
        <f>'8'!$BN$22</f>
        <v>0</v>
      </c>
      <c r="GN13" s="55">
        <f>'8'!$BO$22</f>
        <v>0</v>
      </c>
      <c r="GO13" s="55">
        <f>'8'!$BP$22</f>
        <v>0</v>
      </c>
      <c r="GP13" s="55">
        <f>'8'!$BQ$22</f>
        <v>0</v>
      </c>
      <c r="GQ13" s="55">
        <f>'8'!$BR$22</f>
        <v>0</v>
      </c>
      <c r="GR13" s="55">
        <f>'8'!$BS$22</f>
        <v>0</v>
      </c>
      <c r="GS13" s="55">
        <f>'8'!$BT$22</f>
        <v>0</v>
      </c>
      <c r="GT13" s="55">
        <f>'8'!$BU$22</f>
        <v>0</v>
      </c>
      <c r="GU13" s="55">
        <f>'8'!$BV$22</f>
        <v>0</v>
      </c>
      <c r="GV13" s="55">
        <f>'8'!$BW$22</f>
        <v>0</v>
      </c>
      <c r="GW13" s="55">
        <f>'8'!$BX$22</f>
        <v>0</v>
      </c>
      <c r="GX13" s="55">
        <f>'8'!$BY$22</f>
        <v>0</v>
      </c>
      <c r="GY13" s="55">
        <f>'8'!$BN$23</f>
        <v>0</v>
      </c>
      <c r="GZ13" s="55">
        <f>'8'!$BO$23</f>
        <v>0</v>
      </c>
      <c r="HA13" s="55">
        <f>'8'!$BP$23</f>
        <v>0</v>
      </c>
      <c r="HB13" s="55">
        <f>'8'!$BQ$23</f>
        <v>0</v>
      </c>
      <c r="HC13" s="55">
        <f>'8'!$BR$23</f>
        <v>0</v>
      </c>
      <c r="HD13" s="55">
        <f>'8'!$BS$23</f>
        <v>0</v>
      </c>
      <c r="HE13" s="55">
        <f>'8'!$BT$23</f>
        <v>0</v>
      </c>
      <c r="HF13" s="55">
        <f>'8'!$BU$23</f>
        <v>0</v>
      </c>
      <c r="HG13" s="55">
        <f>'8'!$BV$23</f>
        <v>0</v>
      </c>
      <c r="HH13" s="55">
        <f>'8'!$BW$23</f>
        <v>0</v>
      </c>
      <c r="HI13" s="55">
        <f>'8'!$BX$23</f>
        <v>0</v>
      </c>
      <c r="HJ13" s="55">
        <f>'8'!$BY$23</f>
        <v>0</v>
      </c>
      <c r="HK13" s="55">
        <f>'8'!$BN$24</f>
        <v>0</v>
      </c>
      <c r="HL13" s="55">
        <f>'8'!$BO$24</f>
        <v>0</v>
      </c>
      <c r="HM13" s="55">
        <f>'8'!$BP$24</f>
        <v>0</v>
      </c>
      <c r="HN13" s="55">
        <f>'8'!$BQ$24</f>
        <v>0</v>
      </c>
      <c r="HO13" s="55">
        <f>'8'!$BR$24</f>
        <v>0</v>
      </c>
      <c r="HP13" s="55">
        <f>'8'!$BS$24</f>
        <v>0</v>
      </c>
      <c r="HQ13" s="55">
        <f>'8'!$BT$24</f>
        <v>0</v>
      </c>
      <c r="HR13" s="55">
        <f>'8'!$BU$24</f>
        <v>0</v>
      </c>
      <c r="HS13" s="55">
        <f>'8'!$BV$24</f>
        <v>0</v>
      </c>
      <c r="HT13" s="55">
        <f>'8'!$BW$24</f>
        <v>0</v>
      </c>
      <c r="HU13" s="55">
        <f>'8'!$BX$24</f>
        <v>0</v>
      </c>
      <c r="HV13" s="55">
        <f>'8'!$BY$24</f>
        <v>0</v>
      </c>
      <c r="HW13" s="55">
        <f>'8'!$BN$25</f>
        <v>0</v>
      </c>
      <c r="HX13" s="55">
        <f>'8'!$BO$25</f>
        <v>0</v>
      </c>
      <c r="HY13" s="55">
        <f>'8'!$BP$25</f>
        <v>0</v>
      </c>
      <c r="HZ13" s="55">
        <f>'8'!$BQ$25</f>
        <v>0</v>
      </c>
      <c r="IA13" s="55">
        <f>'8'!$BR$25</f>
        <v>0</v>
      </c>
      <c r="IB13" s="55">
        <f>'8'!$BS$25</f>
        <v>0</v>
      </c>
      <c r="IC13" s="55">
        <f>'8'!$BT$25</f>
        <v>0</v>
      </c>
      <c r="ID13" s="55">
        <f>'8'!$BU$25</f>
        <v>0</v>
      </c>
      <c r="IE13" s="55">
        <f>'8'!$BV$25</f>
        <v>0</v>
      </c>
      <c r="IF13" s="55">
        <f>'8'!$BW$25</f>
        <v>0</v>
      </c>
      <c r="IG13" s="55">
        <f>'8'!$BX$25</f>
        <v>0</v>
      </c>
      <c r="IH13" s="55">
        <f>'8'!$BY$25</f>
        <v>0</v>
      </c>
      <c r="II13" s="55">
        <f>'8'!$BN$26</f>
        <v>0</v>
      </c>
      <c r="IJ13" s="55">
        <f>'8'!$BO$26</f>
        <v>0</v>
      </c>
      <c r="IK13" s="55">
        <f>'8'!$BP$26</f>
        <v>0</v>
      </c>
      <c r="IL13" s="55">
        <f>'8'!$BQ$26</f>
        <v>0</v>
      </c>
      <c r="IM13" s="55">
        <f>'8'!$BR$26</f>
        <v>0</v>
      </c>
      <c r="IN13" s="55">
        <f>'8'!$BS$26</f>
        <v>0</v>
      </c>
      <c r="IO13" s="55">
        <f>'8'!$BT$26</f>
        <v>0</v>
      </c>
      <c r="IP13" s="55">
        <f>'8'!$BU$26</f>
        <v>0</v>
      </c>
      <c r="IQ13" s="55">
        <f>'8'!$BV$26</f>
        <v>0</v>
      </c>
      <c r="IR13" s="55">
        <f>'8'!$BW$26</f>
        <v>0</v>
      </c>
      <c r="IS13" s="55">
        <f>'8'!$BX$26</f>
        <v>0</v>
      </c>
      <c r="IT13" s="55">
        <f>'8'!$BY$26</f>
        <v>0</v>
      </c>
      <c r="IU13" s="55">
        <f>'8'!$BN$27</f>
        <v>0</v>
      </c>
      <c r="IV13" s="55">
        <f>'8'!$BO$27</f>
        <v>0</v>
      </c>
      <c r="IW13" s="55">
        <f>'8'!$BP$27</f>
        <v>0</v>
      </c>
      <c r="IX13" s="55">
        <f>'8'!$BQ$27</f>
        <v>0</v>
      </c>
      <c r="IY13" s="55">
        <f>'8'!$BR$27</f>
        <v>0</v>
      </c>
      <c r="IZ13" s="55">
        <f>'8'!$BS$27</f>
        <v>0</v>
      </c>
      <c r="JA13" s="55">
        <f>'8'!$BT$27</f>
        <v>0</v>
      </c>
      <c r="JB13" s="55">
        <f>'8'!$BU$27</f>
        <v>0</v>
      </c>
      <c r="JC13" s="55">
        <f>'8'!$BV$27</f>
        <v>0</v>
      </c>
      <c r="JD13" s="55">
        <f>'8'!$BW$27</f>
        <v>0</v>
      </c>
      <c r="JE13" s="55">
        <f>'8'!$BX$27</f>
        <v>0</v>
      </c>
      <c r="JF13" s="55">
        <f>'8'!$BY$27</f>
        <v>0</v>
      </c>
      <c r="JG13" s="55">
        <f>'8'!$BN$28</f>
        <v>0</v>
      </c>
      <c r="JH13" s="55">
        <f>'8'!$BO$28</f>
        <v>0</v>
      </c>
      <c r="JI13" s="55">
        <f>'8'!$BP$28</f>
        <v>0</v>
      </c>
      <c r="JJ13" s="55">
        <f>'8'!$BQ$28</f>
        <v>0</v>
      </c>
      <c r="JK13" s="55">
        <f>'8'!$BR$28</f>
        <v>0</v>
      </c>
      <c r="JL13" s="55">
        <f>'8'!$BS$28</f>
        <v>0</v>
      </c>
      <c r="JM13" s="55">
        <f>'8'!$BT$28</f>
        <v>0</v>
      </c>
      <c r="JN13" s="55">
        <f>'8'!$BU$28</f>
        <v>0</v>
      </c>
      <c r="JO13" s="55">
        <f>'8'!$BV$28</f>
        <v>0</v>
      </c>
      <c r="JP13" s="55">
        <f>'8'!$BW$28</f>
        <v>0</v>
      </c>
      <c r="JQ13" s="55">
        <f>'8'!$BX$28</f>
        <v>0</v>
      </c>
      <c r="JR13" s="55">
        <f>'8'!$BY$28</f>
        <v>0</v>
      </c>
      <c r="JS13" s="55">
        <f>'8'!$BN$29</f>
        <v>0</v>
      </c>
      <c r="JT13" s="55">
        <f>'8'!$BO$29</f>
        <v>0</v>
      </c>
      <c r="JU13" s="55">
        <f>'8'!$BP$29</f>
        <v>0</v>
      </c>
      <c r="JV13" s="55">
        <f>'8'!$BQ$29</f>
        <v>0</v>
      </c>
      <c r="JW13" s="55">
        <f>'8'!$BR$29</f>
        <v>0</v>
      </c>
      <c r="JX13" s="55">
        <f>'8'!$BS$29</f>
        <v>0</v>
      </c>
      <c r="JY13" s="55">
        <f>'8'!$BT$29</f>
        <v>0</v>
      </c>
      <c r="JZ13" s="55">
        <f>'8'!$BU$29</f>
        <v>0</v>
      </c>
      <c r="KA13" s="55">
        <f>'8'!$BV$29</f>
        <v>0</v>
      </c>
      <c r="KB13" s="55">
        <f>'8'!$BW$29</f>
        <v>0</v>
      </c>
      <c r="KC13" s="55">
        <f>'8'!$BX$29</f>
        <v>0</v>
      </c>
      <c r="KD13" s="55">
        <f>'8'!$BY$29</f>
        <v>0</v>
      </c>
    </row>
    <row r="14" spans="1:290" ht="15" x14ac:dyDescent="0.25">
      <c r="A14" s="50">
        <v>46182</v>
      </c>
      <c r="B14" s="52"/>
      <c r="C14" s="55">
        <f>'9'!$BN$6</f>
        <v>0</v>
      </c>
      <c r="D14" s="55">
        <f>'9'!$BO$6</f>
        <v>0</v>
      </c>
      <c r="E14" s="55">
        <f>'9'!$BP$6</f>
        <v>0</v>
      </c>
      <c r="F14" s="55">
        <f>'9'!$BQ$6</f>
        <v>0</v>
      </c>
      <c r="G14" s="55">
        <f>'9'!$BR$6</f>
        <v>0</v>
      </c>
      <c r="H14" s="55">
        <f>'9'!$BS$6</f>
        <v>0</v>
      </c>
      <c r="I14" s="55">
        <f>'9'!$BT$6</f>
        <v>0</v>
      </c>
      <c r="J14" s="55">
        <f>'9'!$BU$6</f>
        <v>0</v>
      </c>
      <c r="K14" s="55">
        <f>'9'!$BV$6</f>
        <v>0</v>
      </c>
      <c r="L14" s="55">
        <f>'9'!$BW$6</f>
        <v>0</v>
      </c>
      <c r="M14" s="55">
        <f>'9'!$BX$6</f>
        <v>0</v>
      </c>
      <c r="N14" s="55">
        <f>'9'!$BY$6</f>
        <v>0</v>
      </c>
      <c r="O14" s="55">
        <f>'9'!$BN$7</f>
        <v>0</v>
      </c>
      <c r="P14" s="55">
        <f>'9'!$BO$7</f>
        <v>0</v>
      </c>
      <c r="Q14" s="55">
        <f>'9'!$BP$7</f>
        <v>0</v>
      </c>
      <c r="R14" s="55">
        <f>'9'!$BQ$7</f>
        <v>0</v>
      </c>
      <c r="S14" s="55">
        <f>'9'!$BR$7</f>
        <v>0</v>
      </c>
      <c r="T14" s="55">
        <f>'9'!$BS$7</f>
        <v>0</v>
      </c>
      <c r="U14" s="55">
        <f>'9'!$BT$7</f>
        <v>0</v>
      </c>
      <c r="V14" s="55">
        <f>'9'!$BU$7</f>
        <v>0</v>
      </c>
      <c r="W14" s="55">
        <f>'9'!$BV$7</f>
        <v>0</v>
      </c>
      <c r="X14" s="55">
        <f>'9'!$BW$7</f>
        <v>0</v>
      </c>
      <c r="Y14" s="55">
        <f>'9'!$BX$7</f>
        <v>0</v>
      </c>
      <c r="Z14" s="55">
        <f>'9'!$BY$7</f>
        <v>0</v>
      </c>
      <c r="AA14" s="55">
        <f>'9'!$BN$8</f>
        <v>0</v>
      </c>
      <c r="AB14" s="55">
        <f>'9'!$BO$8</f>
        <v>0</v>
      </c>
      <c r="AC14" s="55">
        <f>'9'!$BP$8</f>
        <v>0</v>
      </c>
      <c r="AD14" s="55">
        <f>'9'!$BQ$8</f>
        <v>0</v>
      </c>
      <c r="AE14" s="55">
        <f>'9'!$BR$8</f>
        <v>0</v>
      </c>
      <c r="AF14" s="55">
        <f>'9'!$BS$8</f>
        <v>0</v>
      </c>
      <c r="AG14" s="55">
        <f>'9'!$BT$8</f>
        <v>0</v>
      </c>
      <c r="AH14" s="55">
        <f>'9'!$BU$8</f>
        <v>0</v>
      </c>
      <c r="AI14" s="55">
        <f>'9'!$BV$8</f>
        <v>0</v>
      </c>
      <c r="AJ14" s="55">
        <f>'9'!$BW$8</f>
        <v>0</v>
      </c>
      <c r="AK14" s="55">
        <f>'9'!$BX$8</f>
        <v>0</v>
      </c>
      <c r="AL14" s="55">
        <f>'9'!$BY$8</f>
        <v>0</v>
      </c>
      <c r="AM14" s="55">
        <f>'9'!$BN$9</f>
        <v>0</v>
      </c>
      <c r="AN14" s="55">
        <f>'9'!$BO$9</f>
        <v>0</v>
      </c>
      <c r="AO14" s="55">
        <f>'9'!$BP$9</f>
        <v>0</v>
      </c>
      <c r="AP14" s="55">
        <f>'9'!$BQ$9</f>
        <v>0</v>
      </c>
      <c r="AQ14" s="55">
        <f>'9'!$BR$9</f>
        <v>0</v>
      </c>
      <c r="AR14" s="55">
        <f>'9'!$BS$9</f>
        <v>0</v>
      </c>
      <c r="AS14" s="55">
        <f>'9'!$BT$9</f>
        <v>0</v>
      </c>
      <c r="AT14" s="55">
        <f>'9'!$BU$9</f>
        <v>0</v>
      </c>
      <c r="AU14" s="55">
        <f>'9'!$BV$9</f>
        <v>0</v>
      </c>
      <c r="AV14" s="55">
        <f>'9'!$BW$9</f>
        <v>0</v>
      </c>
      <c r="AW14" s="55">
        <f>'9'!$BX$9</f>
        <v>0</v>
      </c>
      <c r="AX14" s="55">
        <f>'9'!$BY$9</f>
        <v>0</v>
      </c>
      <c r="AY14" s="55">
        <f>'9'!$BN$10</f>
        <v>0</v>
      </c>
      <c r="AZ14" s="55">
        <f>'9'!$BO$10</f>
        <v>0</v>
      </c>
      <c r="BA14" s="55">
        <f>'9'!$BP$10</f>
        <v>0</v>
      </c>
      <c r="BB14" s="55">
        <f>'9'!$BQ$10</f>
        <v>0</v>
      </c>
      <c r="BC14" s="55">
        <f>'9'!$BR$10</f>
        <v>0</v>
      </c>
      <c r="BD14" s="55">
        <f>'9'!$BS$10</f>
        <v>0</v>
      </c>
      <c r="BE14" s="55">
        <f>'9'!$BT$10</f>
        <v>0</v>
      </c>
      <c r="BF14" s="55">
        <f>'9'!$BU$10</f>
        <v>0</v>
      </c>
      <c r="BG14" s="55">
        <f>'9'!$BV$10</f>
        <v>0</v>
      </c>
      <c r="BH14" s="55">
        <f>'9'!$BW$10</f>
        <v>0</v>
      </c>
      <c r="BI14" s="55">
        <f>'9'!$BX$10</f>
        <v>0</v>
      </c>
      <c r="BJ14" s="55">
        <f>'9'!$BY$10</f>
        <v>0</v>
      </c>
      <c r="BK14" s="55">
        <f>'9'!$BN$11</f>
        <v>0</v>
      </c>
      <c r="BL14" s="55">
        <f>'9'!$BO$11</f>
        <v>0</v>
      </c>
      <c r="BM14" s="55">
        <f>'9'!$BP$11</f>
        <v>0</v>
      </c>
      <c r="BN14" s="55">
        <f>'9'!$BQ$11</f>
        <v>0</v>
      </c>
      <c r="BO14" s="55">
        <f>'9'!$BR$11</f>
        <v>0</v>
      </c>
      <c r="BP14" s="55">
        <f>'9'!$BS$11</f>
        <v>0</v>
      </c>
      <c r="BQ14" s="55">
        <f>'9'!$BT$11</f>
        <v>0</v>
      </c>
      <c r="BR14" s="55">
        <f>'9'!$BU$11</f>
        <v>0</v>
      </c>
      <c r="BS14" s="55">
        <f>'9'!$BV$11</f>
        <v>0</v>
      </c>
      <c r="BT14" s="55">
        <f>'9'!$BW$11</f>
        <v>0</v>
      </c>
      <c r="BU14" s="55">
        <f>'9'!$BX$11</f>
        <v>0</v>
      </c>
      <c r="BV14" s="55">
        <f>'9'!$BY$11</f>
        <v>0</v>
      </c>
      <c r="BW14" s="55">
        <f>'9'!$BN$12</f>
        <v>0</v>
      </c>
      <c r="BX14" s="55">
        <f>'9'!$BO$12</f>
        <v>0</v>
      </c>
      <c r="BY14" s="55">
        <f>'9'!$BP$12</f>
        <v>0</v>
      </c>
      <c r="BZ14" s="55">
        <f>'9'!$BQ$12</f>
        <v>0</v>
      </c>
      <c r="CA14" s="55">
        <f>'9'!$BR$12</f>
        <v>0</v>
      </c>
      <c r="CB14" s="55">
        <f>'9'!$BS$12</f>
        <v>0</v>
      </c>
      <c r="CC14" s="55">
        <f>'9'!$BT$12</f>
        <v>0</v>
      </c>
      <c r="CD14" s="55">
        <f>'9'!$BU$12</f>
        <v>0</v>
      </c>
      <c r="CE14" s="55">
        <f>'9'!$BV$12</f>
        <v>0</v>
      </c>
      <c r="CF14" s="55">
        <f>'9'!$BW$12</f>
        <v>0</v>
      </c>
      <c r="CG14" s="55">
        <f>'9'!$BX$12</f>
        <v>0</v>
      </c>
      <c r="CH14" s="55">
        <f>'9'!$BY$12</f>
        <v>0</v>
      </c>
      <c r="CI14" s="55">
        <f>'9'!$BN$13</f>
        <v>0</v>
      </c>
      <c r="CJ14" s="55">
        <f>'9'!$BO$13</f>
        <v>0</v>
      </c>
      <c r="CK14" s="55">
        <f>'9'!$BP$13</f>
        <v>0</v>
      </c>
      <c r="CL14" s="55">
        <f>'9'!$BQ$13</f>
        <v>0</v>
      </c>
      <c r="CM14" s="55">
        <f>'9'!$BR$13</f>
        <v>0</v>
      </c>
      <c r="CN14" s="55">
        <f>'9'!$BS$13</f>
        <v>0</v>
      </c>
      <c r="CO14" s="55">
        <f>'9'!$BT$13</f>
        <v>0</v>
      </c>
      <c r="CP14" s="55">
        <f>'9'!$BU$13</f>
        <v>0</v>
      </c>
      <c r="CQ14" s="55">
        <f>'9'!$BV$13</f>
        <v>0</v>
      </c>
      <c r="CR14" s="55">
        <f>'9'!$BW$13</f>
        <v>0</v>
      </c>
      <c r="CS14" s="55">
        <f>'9'!$BX$13</f>
        <v>0</v>
      </c>
      <c r="CT14" s="55">
        <f>'9'!$BY$13</f>
        <v>0</v>
      </c>
      <c r="CU14" s="55">
        <f>'9'!$BN$14</f>
        <v>0</v>
      </c>
      <c r="CV14" s="55">
        <f>'9'!$BO$14</f>
        <v>0</v>
      </c>
      <c r="CW14" s="55">
        <f>'9'!$BP$14</f>
        <v>0</v>
      </c>
      <c r="CX14" s="55">
        <f>'9'!$BQ$14</f>
        <v>0</v>
      </c>
      <c r="CY14" s="55">
        <f>'9'!$BR$14</f>
        <v>0</v>
      </c>
      <c r="CZ14" s="55">
        <f>'9'!$BS$14</f>
        <v>0</v>
      </c>
      <c r="DA14" s="55">
        <f>'9'!$BT$14</f>
        <v>0</v>
      </c>
      <c r="DB14" s="55">
        <f>'9'!$BU$14</f>
        <v>0</v>
      </c>
      <c r="DC14" s="55">
        <f>'9'!$BV$14</f>
        <v>0</v>
      </c>
      <c r="DD14" s="55">
        <f>'9'!$BW$14</f>
        <v>0</v>
      </c>
      <c r="DE14" s="55">
        <f>'9'!$BX$14</f>
        <v>0</v>
      </c>
      <c r="DF14" s="55">
        <f>'9'!$BY$14</f>
        <v>0</v>
      </c>
      <c r="DG14" s="55">
        <f>'9'!$BN$15</f>
        <v>0</v>
      </c>
      <c r="DH14" s="55">
        <f>'9'!$BO$15</f>
        <v>0</v>
      </c>
      <c r="DI14" s="55">
        <f>'9'!$BP$15</f>
        <v>0</v>
      </c>
      <c r="DJ14" s="55">
        <f>'9'!$BQ$15</f>
        <v>0</v>
      </c>
      <c r="DK14" s="55">
        <f>'9'!$BR$15</f>
        <v>0</v>
      </c>
      <c r="DL14" s="55">
        <f>'9'!$BS$15</f>
        <v>0</v>
      </c>
      <c r="DM14" s="55">
        <f>'9'!$BT$15</f>
        <v>0</v>
      </c>
      <c r="DN14" s="55">
        <f>'9'!$BU$15</f>
        <v>0</v>
      </c>
      <c r="DO14" s="55">
        <f>'9'!$BV$15</f>
        <v>0</v>
      </c>
      <c r="DP14" s="55">
        <f>'9'!$BW$15</f>
        <v>0</v>
      </c>
      <c r="DQ14" s="55">
        <f>'9'!$BX$15</f>
        <v>0</v>
      </c>
      <c r="DR14" s="55">
        <f>'9'!$BY$15</f>
        <v>0</v>
      </c>
      <c r="DS14" s="55">
        <f>'9'!$BN$16</f>
        <v>0</v>
      </c>
      <c r="DT14" s="55">
        <f>'9'!$BO$16</f>
        <v>0</v>
      </c>
      <c r="DU14" s="55">
        <f>'9'!$BP$16</f>
        <v>0</v>
      </c>
      <c r="DV14" s="55">
        <f>'9'!$BQ$16</f>
        <v>0</v>
      </c>
      <c r="DW14" s="55">
        <f>'9'!$BR$16</f>
        <v>0</v>
      </c>
      <c r="DX14" s="55">
        <f>'9'!$BS$16</f>
        <v>0</v>
      </c>
      <c r="DY14" s="55">
        <f>'9'!$BT$16</f>
        <v>0</v>
      </c>
      <c r="DZ14" s="55">
        <f>'9'!$BU$16</f>
        <v>0</v>
      </c>
      <c r="EA14" s="55">
        <f>'9'!$BV$16</f>
        <v>0</v>
      </c>
      <c r="EB14" s="55">
        <f>'9'!$BW$16</f>
        <v>0</v>
      </c>
      <c r="EC14" s="55">
        <f>'9'!$BX$16</f>
        <v>0</v>
      </c>
      <c r="ED14" s="55">
        <f>'9'!$BY$16</f>
        <v>0</v>
      </c>
      <c r="EE14" s="55">
        <f>'9'!$BN$17</f>
        <v>0</v>
      </c>
      <c r="EF14" s="55">
        <f>'9'!$BO$17</f>
        <v>0</v>
      </c>
      <c r="EG14" s="55">
        <f>'9'!$BP$17</f>
        <v>0</v>
      </c>
      <c r="EH14" s="55">
        <f>'9'!$BQ$17</f>
        <v>0</v>
      </c>
      <c r="EI14" s="55">
        <f>'9'!$BR$17</f>
        <v>0</v>
      </c>
      <c r="EJ14" s="55">
        <f>'9'!$BS$17</f>
        <v>0</v>
      </c>
      <c r="EK14" s="55">
        <f>'9'!$BT$17</f>
        <v>0</v>
      </c>
      <c r="EL14" s="55">
        <f>'9'!$BU$17</f>
        <v>0</v>
      </c>
      <c r="EM14" s="55">
        <f>'9'!$BV$17</f>
        <v>0</v>
      </c>
      <c r="EN14" s="55">
        <f>'9'!$BW$17</f>
        <v>0</v>
      </c>
      <c r="EO14" s="55">
        <f>'9'!$BX$17</f>
        <v>0</v>
      </c>
      <c r="EP14" s="55">
        <f>'9'!$BY$17</f>
        <v>0</v>
      </c>
      <c r="EQ14" s="55">
        <f>'9'!$BN$18</f>
        <v>0</v>
      </c>
      <c r="ER14" s="55">
        <f>'9'!$BO$18</f>
        <v>0</v>
      </c>
      <c r="ES14" s="55">
        <f>'9'!$BP$18</f>
        <v>0</v>
      </c>
      <c r="ET14" s="55">
        <f>'9'!$BQ$18</f>
        <v>0</v>
      </c>
      <c r="EU14" s="55">
        <f>'9'!$BR$18</f>
        <v>0</v>
      </c>
      <c r="EV14" s="55">
        <f>'9'!$BS$18</f>
        <v>0</v>
      </c>
      <c r="EW14" s="55">
        <f>'9'!$BT$18</f>
        <v>0</v>
      </c>
      <c r="EX14" s="55">
        <f>'9'!$BU$18</f>
        <v>0</v>
      </c>
      <c r="EY14" s="55">
        <f>'9'!$BV$18</f>
        <v>0</v>
      </c>
      <c r="EZ14" s="55">
        <f>'9'!$BW$18</f>
        <v>0</v>
      </c>
      <c r="FA14" s="55">
        <f>'9'!$BX$18</f>
        <v>0</v>
      </c>
      <c r="FB14" s="55">
        <f>'9'!$BY$18</f>
        <v>0</v>
      </c>
      <c r="FC14" s="55">
        <f>'9'!$BN$19</f>
        <v>0</v>
      </c>
      <c r="FD14" s="55">
        <f>'9'!$BO$19</f>
        <v>0</v>
      </c>
      <c r="FE14" s="55">
        <f>'9'!$BP$19</f>
        <v>0</v>
      </c>
      <c r="FF14" s="55">
        <f>'9'!$BQ$19</f>
        <v>0</v>
      </c>
      <c r="FG14" s="55">
        <f>'9'!$BR$19</f>
        <v>0</v>
      </c>
      <c r="FH14" s="55">
        <f>'9'!$BS$19</f>
        <v>0</v>
      </c>
      <c r="FI14" s="55">
        <f>'9'!$BT$19</f>
        <v>0</v>
      </c>
      <c r="FJ14" s="55">
        <f>'9'!$BU$19</f>
        <v>0</v>
      </c>
      <c r="FK14" s="55">
        <f>'9'!$BV$19</f>
        <v>0</v>
      </c>
      <c r="FL14" s="55">
        <f>'9'!$BW$19</f>
        <v>0</v>
      </c>
      <c r="FM14" s="55">
        <f>'9'!$BX$19</f>
        <v>0</v>
      </c>
      <c r="FN14" s="55">
        <f>'9'!$BY$19</f>
        <v>0</v>
      </c>
      <c r="FO14" s="55">
        <f>'9'!$BN$20</f>
        <v>0</v>
      </c>
      <c r="FP14" s="55">
        <f>'9'!$BO$20</f>
        <v>0</v>
      </c>
      <c r="FQ14" s="55">
        <f>'9'!$BP$20</f>
        <v>0</v>
      </c>
      <c r="FR14" s="55">
        <f>'9'!$BQ$20</f>
        <v>0</v>
      </c>
      <c r="FS14" s="55">
        <f>'9'!$BR$20</f>
        <v>0</v>
      </c>
      <c r="FT14" s="55">
        <f>'9'!$BS$20</f>
        <v>0</v>
      </c>
      <c r="FU14" s="55">
        <f>'9'!$BT$20</f>
        <v>0</v>
      </c>
      <c r="FV14" s="55">
        <f>'9'!$BU$20</f>
        <v>0</v>
      </c>
      <c r="FW14" s="55">
        <f>'9'!$BV$20</f>
        <v>0</v>
      </c>
      <c r="FX14" s="55">
        <f>'9'!$BW$20</f>
        <v>0</v>
      </c>
      <c r="FY14" s="55">
        <f>'9'!$BX$20</f>
        <v>0</v>
      </c>
      <c r="FZ14" s="55">
        <f>'9'!$BY$20</f>
        <v>0</v>
      </c>
      <c r="GA14" s="55">
        <f>'9'!$BN$21</f>
        <v>0</v>
      </c>
      <c r="GB14" s="55">
        <f>'9'!$BO$21</f>
        <v>0</v>
      </c>
      <c r="GC14" s="55">
        <f>'9'!$BP$21</f>
        <v>0</v>
      </c>
      <c r="GD14" s="55">
        <f>'9'!$BQ$21</f>
        <v>0</v>
      </c>
      <c r="GE14" s="55">
        <f>'9'!$BR$21</f>
        <v>0</v>
      </c>
      <c r="GF14" s="55">
        <f>'9'!$BS$21</f>
        <v>0</v>
      </c>
      <c r="GG14" s="55">
        <f>'9'!$BT$21</f>
        <v>0</v>
      </c>
      <c r="GH14" s="55">
        <f>'9'!$BU$21</f>
        <v>0</v>
      </c>
      <c r="GI14" s="55">
        <f>'9'!$BV$21</f>
        <v>0</v>
      </c>
      <c r="GJ14" s="55">
        <f>'9'!$BW$21</f>
        <v>0</v>
      </c>
      <c r="GK14" s="55">
        <f>'9'!$BX$21</f>
        <v>0</v>
      </c>
      <c r="GL14" s="55">
        <f>'9'!$BY$21</f>
        <v>0</v>
      </c>
      <c r="GM14" s="55">
        <f>'9'!$BN$22</f>
        <v>0</v>
      </c>
      <c r="GN14" s="55">
        <f>'9'!$BO$22</f>
        <v>0</v>
      </c>
      <c r="GO14" s="55">
        <f>'9'!$BP$22</f>
        <v>0</v>
      </c>
      <c r="GP14" s="55">
        <f>'9'!$BQ$22</f>
        <v>0</v>
      </c>
      <c r="GQ14" s="55">
        <f>'9'!$BR$22</f>
        <v>0</v>
      </c>
      <c r="GR14" s="55">
        <f>'9'!$BS$22</f>
        <v>0</v>
      </c>
      <c r="GS14" s="55">
        <f>'9'!$BT$22</f>
        <v>0</v>
      </c>
      <c r="GT14" s="55">
        <f>'9'!$BU$22</f>
        <v>0</v>
      </c>
      <c r="GU14" s="55">
        <f>'9'!$BV$22</f>
        <v>0</v>
      </c>
      <c r="GV14" s="55">
        <f>'9'!$BW$22</f>
        <v>0</v>
      </c>
      <c r="GW14" s="55">
        <f>'9'!$BX$22</f>
        <v>0</v>
      </c>
      <c r="GX14" s="55">
        <f>'9'!$BY$22</f>
        <v>0</v>
      </c>
      <c r="GY14" s="55">
        <f>'9'!$BN$23</f>
        <v>0</v>
      </c>
      <c r="GZ14" s="55">
        <f>'9'!$BO$23</f>
        <v>0</v>
      </c>
      <c r="HA14" s="55">
        <f>'9'!$BP$23</f>
        <v>0</v>
      </c>
      <c r="HB14" s="55">
        <f>'9'!$BQ$23</f>
        <v>0</v>
      </c>
      <c r="HC14" s="55">
        <f>'9'!$BR$23</f>
        <v>0</v>
      </c>
      <c r="HD14" s="55">
        <f>'9'!$BS$23</f>
        <v>0</v>
      </c>
      <c r="HE14" s="55">
        <f>'9'!$BT$23</f>
        <v>0</v>
      </c>
      <c r="HF14" s="55">
        <f>'9'!$BU$23</f>
        <v>0</v>
      </c>
      <c r="HG14" s="55">
        <f>'9'!$BV$23</f>
        <v>0</v>
      </c>
      <c r="HH14" s="55">
        <f>'9'!$BW$23</f>
        <v>0</v>
      </c>
      <c r="HI14" s="55">
        <f>'9'!$BX$23</f>
        <v>0</v>
      </c>
      <c r="HJ14" s="55">
        <f>'9'!$BY$23</f>
        <v>0</v>
      </c>
      <c r="HK14" s="55">
        <f>'9'!$BN$24</f>
        <v>0</v>
      </c>
      <c r="HL14" s="55">
        <f>'9'!$BO$24</f>
        <v>0</v>
      </c>
      <c r="HM14" s="55">
        <f>'9'!$BP$24</f>
        <v>0</v>
      </c>
      <c r="HN14" s="55">
        <f>'9'!$BQ$24</f>
        <v>0</v>
      </c>
      <c r="HO14" s="55">
        <f>'9'!$BR$24</f>
        <v>0</v>
      </c>
      <c r="HP14" s="55">
        <f>'9'!$BS$24</f>
        <v>0</v>
      </c>
      <c r="HQ14" s="55">
        <f>'9'!$BT$24</f>
        <v>0</v>
      </c>
      <c r="HR14" s="55">
        <f>'9'!$BU$24</f>
        <v>0</v>
      </c>
      <c r="HS14" s="55">
        <f>'9'!$BV$24</f>
        <v>0</v>
      </c>
      <c r="HT14" s="55">
        <f>'9'!$BW$24</f>
        <v>0</v>
      </c>
      <c r="HU14" s="55">
        <f>'9'!$BX$24</f>
        <v>0</v>
      </c>
      <c r="HV14" s="55">
        <f>'9'!$BY$24</f>
        <v>0</v>
      </c>
      <c r="HW14" s="55">
        <f>'9'!$BN$25</f>
        <v>0</v>
      </c>
      <c r="HX14" s="55">
        <f>'9'!$BO$25</f>
        <v>0</v>
      </c>
      <c r="HY14" s="55">
        <f>'9'!$BP$25</f>
        <v>0</v>
      </c>
      <c r="HZ14" s="55">
        <f>'9'!$BQ$25</f>
        <v>0</v>
      </c>
      <c r="IA14" s="55">
        <f>'9'!$BR$25</f>
        <v>0</v>
      </c>
      <c r="IB14" s="55">
        <f>'9'!$BS$25</f>
        <v>0</v>
      </c>
      <c r="IC14" s="55">
        <f>'9'!$BT$25</f>
        <v>0</v>
      </c>
      <c r="ID14" s="55">
        <f>'9'!$BU$25</f>
        <v>0</v>
      </c>
      <c r="IE14" s="55">
        <f>'9'!$BV$25</f>
        <v>0</v>
      </c>
      <c r="IF14" s="55">
        <f>'9'!$BW$25</f>
        <v>0</v>
      </c>
      <c r="IG14" s="55">
        <f>'9'!$BX$25</f>
        <v>0</v>
      </c>
      <c r="IH14" s="55">
        <f>'9'!$BY$25</f>
        <v>0</v>
      </c>
      <c r="II14" s="55">
        <f>'9'!$BN$26</f>
        <v>0</v>
      </c>
      <c r="IJ14" s="55">
        <f>'9'!$BO$26</f>
        <v>0</v>
      </c>
      <c r="IK14" s="55">
        <f>'9'!$BP$26</f>
        <v>0</v>
      </c>
      <c r="IL14" s="55">
        <f>'9'!$BQ$26</f>
        <v>0</v>
      </c>
      <c r="IM14" s="55">
        <f>'9'!$BR$26</f>
        <v>0</v>
      </c>
      <c r="IN14" s="55">
        <f>'9'!$BS$26</f>
        <v>0</v>
      </c>
      <c r="IO14" s="55">
        <f>'9'!$BT$26</f>
        <v>0</v>
      </c>
      <c r="IP14" s="55">
        <f>'9'!$BU$26</f>
        <v>0</v>
      </c>
      <c r="IQ14" s="55">
        <f>'9'!$BV$26</f>
        <v>0</v>
      </c>
      <c r="IR14" s="55">
        <f>'9'!$BW$26</f>
        <v>0</v>
      </c>
      <c r="IS14" s="55">
        <f>'9'!$BX$26</f>
        <v>0</v>
      </c>
      <c r="IT14" s="55">
        <f>'9'!$BY$26</f>
        <v>0</v>
      </c>
      <c r="IU14" s="55">
        <f>'9'!$BN$27</f>
        <v>0</v>
      </c>
      <c r="IV14" s="55">
        <f>'9'!$BO$27</f>
        <v>0</v>
      </c>
      <c r="IW14" s="55">
        <f>'9'!$BP$27</f>
        <v>0</v>
      </c>
      <c r="IX14" s="55">
        <f>'9'!$BQ$27</f>
        <v>0</v>
      </c>
      <c r="IY14" s="55">
        <f>'9'!$BR$27</f>
        <v>0</v>
      </c>
      <c r="IZ14" s="55">
        <f>'9'!$BS$27</f>
        <v>0</v>
      </c>
      <c r="JA14" s="55">
        <f>'9'!$BT$27</f>
        <v>0</v>
      </c>
      <c r="JB14" s="55">
        <f>'9'!$BU$27</f>
        <v>0</v>
      </c>
      <c r="JC14" s="55">
        <f>'9'!$BV$27</f>
        <v>0</v>
      </c>
      <c r="JD14" s="55">
        <f>'9'!$BW$27</f>
        <v>0</v>
      </c>
      <c r="JE14" s="55">
        <f>'9'!$BX$27</f>
        <v>0</v>
      </c>
      <c r="JF14" s="55">
        <f>'9'!$BY$27</f>
        <v>0</v>
      </c>
      <c r="JG14" s="55">
        <f>'9'!$BN$28</f>
        <v>0</v>
      </c>
      <c r="JH14" s="55">
        <f>'9'!$BO$28</f>
        <v>0</v>
      </c>
      <c r="JI14" s="55">
        <f>'9'!$BP$28</f>
        <v>0</v>
      </c>
      <c r="JJ14" s="55">
        <f>'9'!$BQ$28</f>
        <v>0</v>
      </c>
      <c r="JK14" s="55">
        <f>'9'!$BR$28</f>
        <v>0</v>
      </c>
      <c r="JL14" s="55">
        <f>'9'!$BS$28</f>
        <v>0</v>
      </c>
      <c r="JM14" s="55">
        <f>'9'!$BT$28</f>
        <v>0</v>
      </c>
      <c r="JN14" s="55">
        <f>'9'!$BU$28</f>
        <v>0</v>
      </c>
      <c r="JO14" s="55">
        <f>'9'!$BV$28</f>
        <v>0</v>
      </c>
      <c r="JP14" s="55">
        <f>'9'!$BW$28</f>
        <v>0</v>
      </c>
      <c r="JQ14" s="55">
        <f>'9'!$BX$28</f>
        <v>0</v>
      </c>
      <c r="JR14" s="55">
        <f>'9'!$BY$28</f>
        <v>0</v>
      </c>
      <c r="JS14" s="55">
        <f>'9'!$BN$29</f>
        <v>0</v>
      </c>
      <c r="JT14" s="55">
        <f>'9'!$BO$29</f>
        <v>0</v>
      </c>
      <c r="JU14" s="55">
        <f>'9'!$BP$29</f>
        <v>0</v>
      </c>
      <c r="JV14" s="55">
        <f>'9'!$BQ$29</f>
        <v>0</v>
      </c>
      <c r="JW14" s="55">
        <f>'9'!$BR$29</f>
        <v>0</v>
      </c>
      <c r="JX14" s="55">
        <f>'9'!$BS$29</f>
        <v>0</v>
      </c>
      <c r="JY14" s="55">
        <f>'9'!$BT$29</f>
        <v>0</v>
      </c>
      <c r="JZ14" s="55">
        <f>'9'!$BU$29</f>
        <v>0</v>
      </c>
      <c r="KA14" s="55">
        <f>'9'!$BV$29</f>
        <v>0</v>
      </c>
      <c r="KB14" s="55">
        <f>'9'!$BW$29</f>
        <v>0</v>
      </c>
      <c r="KC14" s="55">
        <f>'9'!$BX$29</f>
        <v>0</v>
      </c>
      <c r="KD14" s="55">
        <f>'9'!$BY$29</f>
        <v>0</v>
      </c>
    </row>
    <row r="15" spans="1:290" ht="15" x14ac:dyDescent="0.25">
      <c r="A15" s="50">
        <v>46183</v>
      </c>
      <c r="B15" s="52"/>
      <c r="C15" s="55">
        <f>'10'!$BN$6</f>
        <v>0</v>
      </c>
      <c r="D15" s="55">
        <f>'10'!$BO$6</f>
        <v>0</v>
      </c>
      <c r="E15" s="55">
        <f>'10'!$BP$6</f>
        <v>0</v>
      </c>
      <c r="F15" s="55">
        <f>'10'!$BQ$6</f>
        <v>0</v>
      </c>
      <c r="G15" s="55">
        <f>'10'!$BR$6</f>
        <v>0</v>
      </c>
      <c r="H15" s="55">
        <f>'10'!$BS$6</f>
        <v>0</v>
      </c>
      <c r="I15" s="55">
        <f>'10'!$BT$6</f>
        <v>0</v>
      </c>
      <c r="J15" s="55">
        <f>'10'!$BU$6</f>
        <v>0</v>
      </c>
      <c r="K15" s="55">
        <f>'10'!$BV$6</f>
        <v>0</v>
      </c>
      <c r="L15" s="55">
        <f>'10'!$BW$6</f>
        <v>0</v>
      </c>
      <c r="M15" s="55">
        <f>'10'!$BX$6</f>
        <v>0</v>
      </c>
      <c r="N15" s="55">
        <f>'10'!$BY$6</f>
        <v>0</v>
      </c>
      <c r="O15" s="55">
        <f>'10'!$BN$7</f>
        <v>0</v>
      </c>
      <c r="P15" s="55">
        <f>'10'!$BO$7</f>
        <v>0</v>
      </c>
      <c r="Q15" s="55">
        <f>'10'!$BP$7</f>
        <v>0</v>
      </c>
      <c r="R15" s="55">
        <f>'10'!$BQ$7</f>
        <v>0</v>
      </c>
      <c r="S15" s="55">
        <f>'10'!$BR$7</f>
        <v>0</v>
      </c>
      <c r="T15" s="55">
        <f>'10'!$BS$7</f>
        <v>0</v>
      </c>
      <c r="U15" s="55">
        <f>'10'!$BT$7</f>
        <v>0</v>
      </c>
      <c r="V15" s="55">
        <f>'10'!$BU$7</f>
        <v>0</v>
      </c>
      <c r="W15" s="55">
        <f>'10'!$BV$7</f>
        <v>0</v>
      </c>
      <c r="X15" s="55">
        <f>'10'!$BW$7</f>
        <v>0</v>
      </c>
      <c r="Y15" s="55">
        <f>'10'!$BX$7</f>
        <v>0</v>
      </c>
      <c r="Z15" s="55">
        <f>'10'!$BY$7</f>
        <v>0</v>
      </c>
      <c r="AA15" s="55">
        <f>'10'!$BN$8</f>
        <v>0</v>
      </c>
      <c r="AB15" s="55">
        <f>'10'!$BO$8</f>
        <v>0</v>
      </c>
      <c r="AC15" s="55">
        <f>'10'!$BP$8</f>
        <v>0</v>
      </c>
      <c r="AD15" s="55">
        <f>'10'!$BQ$8</f>
        <v>0</v>
      </c>
      <c r="AE15" s="55">
        <f>'10'!$BR$8</f>
        <v>0</v>
      </c>
      <c r="AF15" s="55">
        <f>'10'!$BS$8</f>
        <v>0</v>
      </c>
      <c r="AG15" s="55">
        <f>'10'!$BT$8</f>
        <v>0</v>
      </c>
      <c r="AH15" s="55">
        <f>'10'!$BU$8</f>
        <v>0</v>
      </c>
      <c r="AI15" s="55">
        <f>'10'!$BV$8</f>
        <v>0</v>
      </c>
      <c r="AJ15" s="55">
        <f>'10'!$BW$8</f>
        <v>0</v>
      </c>
      <c r="AK15" s="55">
        <f>'10'!$BX$8</f>
        <v>0</v>
      </c>
      <c r="AL15" s="55">
        <f>'10'!$BY$8</f>
        <v>0</v>
      </c>
      <c r="AM15" s="55">
        <f>'10'!$BN$9</f>
        <v>0</v>
      </c>
      <c r="AN15" s="55">
        <f>'10'!$BO$9</f>
        <v>0</v>
      </c>
      <c r="AO15" s="55">
        <f>'10'!$BP$9</f>
        <v>0</v>
      </c>
      <c r="AP15" s="55">
        <f>'10'!$BQ$9</f>
        <v>0</v>
      </c>
      <c r="AQ15" s="55">
        <f>'10'!$BR$9</f>
        <v>0</v>
      </c>
      <c r="AR15" s="55">
        <f>'10'!$BS$9</f>
        <v>0</v>
      </c>
      <c r="AS15" s="55">
        <f>'10'!$BT$9</f>
        <v>0</v>
      </c>
      <c r="AT15" s="55">
        <f>'10'!$BU$9</f>
        <v>0</v>
      </c>
      <c r="AU15" s="55">
        <f>'10'!$BV$9</f>
        <v>0</v>
      </c>
      <c r="AV15" s="55">
        <f>'10'!$BW$9</f>
        <v>0</v>
      </c>
      <c r="AW15" s="55">
        <f>'10'!$BX$9</f>
        <v>0</v>
      </c>
      <c r="AX15" s="55">
        <f>'10'!$BY$9</f>
        <v>0</v>
      </c>
      <c r="AY15" s="55">
        <f>'10'!$BN$10</f>
        <v>0</v>
      </c>
      <c r="AZ15" s="55">
        <f>'10'!$BO$10</f>
        <v>0</v>
      </c>
      <c r="BA15" s="55">
        <f>'10'!$BP$10</f>
        <v>0</v>
      </c>
      <c r="BB15" s="55">
        <f>'10'!$BQ$10</f>
        <v>0</v>
      </c>
      <c r="BC15" s="55">
        <f>'10'!$BR$10</f>
        <v>0</v>
      </c>
      <c r="BD15" s="55">
        <f>'10'!$BS$10</f>
        <v>0</v>
      </c>
      <c r="BE15" s="55">
        <f>'10'!$BT$10</f>
        <v>0</v>
      </c>
      <c r="BF15" s="55">
        <f>'10'!$BU$10</f>
        <v>0</v>
      </c>
      <c r="BG15" s="55">
        <f>'10'!$BV$10</f>
        <v>0</v>
      </c>
      <c r="BH15" s="55">
        <f>'10'!$BW$10</f>
        <v>0</v>
      </c>
      <c r="BI15" s="55">
        <f>'10'!$BX$10</f>
        <v>0</v>
      </c>
      <c r="BJ15" s="55">
        <f>'10'!$BY$10</f>
        <v>0</v>
      </c>
      <c r="BK15" s="55">
        <f>'10'!$BN$11</f>
        <v>0</v>
      </c>
      <c r="BL15" s="55">
        <f>'10'!$BO$11</f>
        <v>0</v>
      </c>
      <c r="BM15" s="55">
        <f>'10'!$BP$11</f>
        <v>0</v>
      </c>
      <c r="BN15" s="55">
        <f>'10'!$BQ$11</f>
        <v>0</v>
      </c>
      <c r="BO15" s="55">
        <f>'10'!$BR$11</f>
        <v>0</v>
      </c>
      <c r="BP15" s="55">
        <f>'10'!$BS$11</f>
        <v>0</v>
      </c>
      <c r="BQ15" s="55">
        <f>'10'!$BT$11</f>
        <v>0</v>
      </c>
      <c r="BR15" s="55">
        <f>'10'!$BU$11</f>
        <v>0</v>
      </c>
      <c r="BS15" s="55">
        <f>'10'!$BV$11</f>
        <v>0</v>
      </c>
      <c r="BT15" s="55">
        <f>'10'!$BW$11</f>
        <v>0</v>
      </c>
      <c r="BU15" s="55">
        <f>'10'!$BX$11</f>
        <v>0</v>
      </c>
      <c r="BV15" s="55">
        <f>'10'!$BY$11</f>
        <v>0</v>
      </c>
      <c r="BW15" s="55">
        <f>'10'!$BN$12</f>
        <v>0</v>
      </c>
      <c r="BX15" s="55">
        <f>'10'!$BO$12</f>
        <v>0</v>
      </c>
      <c r="BY15" s="55">
        <f>'10'!$BP$12</f>
        <v>0</v>
      </c>
      <c r="BZ15" s="55">
        <f>'10'!$BQ$12</f>
        <v>0</v>
      </c>
      <c r="CA15" s="55">
        <f>'10'!$BR$12</f>
        <v>0</v>
      </c>
      <c r="CB15" s="55">
        <f>'10'!$BS$12</f>
        <v>0</v>
      </c>
      <c r="CC15" s="55">
        <f>'10'!$BT$12</f>
        <v>0</v>
      </c>
      <c r="CD15" s="55">
        <f>'10'!$BU$12</f>
        <v>0</v>
      </c>
      <c r="CE15" s="55">
        <f>'10'!$BV$12</f>
        <v>0</v>
      </c>
      <c r="CF15" s="55">
        <f>'10'!$BW$12</f>
        <v>0</v>
      </c>
      <c r="CG15" s="55">
        <f>'10'!$BX$12</f>
        <v>0</v>
      </c>
      <c r="CH15" s="55">
        <f>'10'!$BY$12</f>
        <v>0</v>
      </c>
      <c r="CI15" s="55">
        <f>'10'!$BN$13</f>
        <v>0</v>
      </c>
      <c r="CJ15" s="55">
        <f>'10'!$BO$13</f>
        <v>0</v>
      </c>
      <c r="CK15" s="55">
        <f>'10'!$BP$13</f>
        <v>0</v>
      </c>
      <c r="CL15" s="55">
        <f>'10'!$BQ$13</f>
        <v>0</v>
      </c>
      <c r="CM15" s="55">
        <f>'10'!$BR$13</f>
        <v>0</v>
      </c>
      <c r="CN15" s="55">
        <f>'10'!$BS$13</f>
        <v>0</v>
      </c>
      <c r="CO15" s="55">
        <f>'10'!$BT$13</f>
        <v>0</v>
      </c>
      <c r="CP15" s="55">
        <f>'10'!$BU$13</f>
        <v>0</v>
      </c>
      <c r="CQ15" s="55">
        <f>'10'!$BV$13</f>
        <v>0</v>
      </c>
      <c r="CR15" s="55">
        <f>'10'!$BW$13</f>
        <v>0</v>
      </c>
      <c r="CS15" s="55">
        <f>'10'!$BX$13</f>
        <v>0</v>
      </c>
      <c r="CT15" s="55">
        <f>'10'!$BY$13</f>
        <v>0</v>
      </c>
      <c r="CU15" s="55">
        <f>'10'!$BN$14</f>
        <v>0</v>
      </c>
      <c r="CV15" s="55">
        <f>'10'!$BO$14</f>
        <v>0</v>
      </c>
      <c r="CW15" s="55">
        <f>'10'!$BP$14</f>
        <v>0</v>
      </c>
      <c r="CX15" s="55">
        <f>'10'!$BQ$14</f>
        <v>0</v>
      </c>
      <c r="CY15" s="55">
        <f>'10'!$BR$14</f>
        <v>0</v>
      </c>
      <c r="CZ15" s="55">
        <f>'10'!$BS$14</f>
        <v>0</v>
      </c>
      <c r="DA15" s="55">
        <f>'10'!$BT$14</f>
        <v>0</v>
      </c>
      <c r="DB15" s="55">
        <f>'10'!$BU$14</f>
        <v>0</v>
      </c>
      <c r="DC15" s="55">
        <f>'10'!$BV$14</f>
        <v>0</v>
      </c>
      <c r="DD15" s="55">
        <f>'10'!$BW$14</f>
        <v>0</v>
      </c>
      <c r="DE15" s="55">
        <f>'10'!$BX$14</f>
        <v>0</v>
      </c>
      <c r="DF15" s="55">
        <f>'10'!$BY$14</f>
        <v>0</v>
      </c>
      <c r="DG15" s="55">
        <f>'10'!$BN$15</f>
        <v>0</v>
      </c>
      <c r="DH15" s="55">
        <f>'10'!$BO$15</f>
        <v>0</v>
      </c>
      <c r="DI15" s="55">
        <f>'10'!$BP$15</f>
        <v>0</v>
      </c>
      <c r="DJ15" s="55">
        <f>'10'!$BQ$15</f>
        <v>0</v>
      </c>
      <c r="DK15" s="55">
        <f>'10'!$BR$15</f>
        <v>0</v>
      </c>
      <c r="DL15" s="55">
        <f>'10'!$BS$15</f>
        <v>0</v>
      </c>
      <c r="DM15" s="55">
        <f>'10'!$BT$15</f>
        <v>0</v>
      </c>
      <c r="DN15" s="55">
        <f>'10'!$BU$15</f>
        <v>0</v>
      </c>
      <c r="DO15" s="55">
        <f>'10'!$BV$15</f>
        <v>0</v>
      </c>
      <c r="DP15" s="55">
        <f>'10'!$BW$15</f>
        <v>0</v>
      </c>
      <c r="DQ15" s="55">
        <f>'10'!$BX$15</f>
        <v>0</v>
      </c>
      <c r="DR15" s="55">
        <f>'10'!$BY$15</f>
        <v>0</v>
      </c>
      <c r="DS15" s="55">
        <f>'10'!$BN$16</f>
        <v>0</v>
      </c>
      <c r="DT15" s="55">
        <f>'10'!$BO$16</f>
        <v>0</v>
      </c>
      <c r="DU15" s="55">
        <f>'10'!$BP$16</f>
        <v>0</v>
      </c>
      <c r="DV15" s="55">
        <f>'10'!$BQ$16</f>
        <v>0</v>
      </c>
      <c r="DW15" s="55">
        <f>'10'!$BR$16</f>
        <v>0</v>
      </c>
      <c r="DX15" s="55">
        <f>'10'!$BS$16</f>
        <v>0</v>
      </c>
      <c r="DY15" s="55">
        <f>'10'!$BT$16</f>
        <v>0</v>
      </c>
      <c r="DZ15" s="55">
        <f>'10'!$BU$16</f>
        <v>0</v>
      </c>
      <c r="EA15" s="55">
        <f>'10'!$BV$16</f>
        <v>0</v>
      </c>
      <c r="EB15" s="55">
        <f>'10'!$BW$16</f>
        <v>0</v>
      </c>
      <c r="EC15" s="55">
        <f>'10'!$BX$16</f>
        <v>0</v>
      </c>
      <c r="ED15" s="55">
        <f>'10'!$BY$16</f>
        <v>0</v>
      </c>
      <c r="EE15" s="55">
        <f>'10'!$BN$17</f>
        <v>0</v>
      </c>
      <c r="EF15" s="55">
        <f>'10'!$BO$17</f>
        <v>0</v>
      </c>
      <c r="EG15" s="55">
        <f>'10'!$BP$17</f>
        <v>0</v>
      </c>
      <c r="EH15" s="55">
        <f>'10'!$BQ$17</f>
        <v>0</v>
      </c>
      <c r="EI15" s="55">
        <f>'10'!$BR$17</f>
        <v>0</v>
      </c>
      <c r="EJ15" s="55">
        <f>'10'!$BS$17</f>
        <v>0</v>
      </c>
      <c r="EK15" s="55">
        <f>'10'!$BT$17</f>
        <v>0</v>
      </c>
      <c r="EL15" s="55">
        <f>'10'!$BU$17</f>
        <v>0</v>
      </c>
      <c r="EM15" s="55">
        <f>'10'!$BV$17</f>
        <v>0</v>
      </c>
      <c r="EN15" s="55">
        <f>'10'!$BW$17</f>
        <v>0</v>
      </c>
      <c r="EO15" s="55">
        <f>'10'!$BX$17</f>
        <v>0</v>
      </c>
      <c r="EP15" s="55">
        <f>'10'!$BY$17</f>
        <v>0</v>
      </c>
      <c r="EQ15" s="55">
        <f>'10'!$BN$18</f>
        <v>0</v>
      </c>
      <c r="ER15" s="55">
        <f>'10'!$BO$18</f>
        <v>0</v>
      </c>
      <c r="ES15" s="55">
        <f>'10'!$BP$18</f>
        <v>0</v>
      </c>
      <c r="ET15" s="55">
        <f>'10'!$BQ$18</f>
        <v>0</v>
      </c>
      <c r="EU15" s="55">
        <f>'10'!$BR$18</f>
        <v>0</v>
      </c>
      <c r="EV15" s="55">
        <f>'10'!$BS$18</f>
        <v>0</v>
      </c>
      <c r="EW15" s="55">
        <f>'10'!$BT$18</f>
        <v>0</v>
      </c>
      <c r="EX15" s="55">
        <f>'10'!$BU$18</f>
        <v>0</v>
      </c>
      <c r="EY15" s="55">
        <f>'10'!$BV$18</f>
        <v>0</v>
      </c>
      <c r="EZ15" s="55">
        <f>'10'!$BW$18</f>
        <v>0</v>
      </c>
      <c r="FA15" s="55">
        <f>'10'!$BX$18</f>
        <v>0</v>
      </c>
      <c r="FB15" s="55">
        <f>'10'!$BY$18</f>
        <v>0</v>
      </c>
      <c r="FC15" s="55">
        <f>'10'!$BN$19</f>
        <v>0</v>
      </c>
      <c r="FD15" s="55">
        <f>'10'!$BO$19</f>
        <v>0</v>
      </c>
      <c r="FE15" s="55">
        <f>'10'!$BP$19</f>
        <v>0</v>
      </c>
      <c r="FF15" s="55">
        <f>'10'!$BQ$19</f>
        <v>0</v>
      </c>
      <c r="FG15" s="55">
        <f>'10'!$BR$19</f>
        <v>0</v>
      </c>
      <c r="FH15" s="55">
        <f>'10'!$BS$19</f>
        <v>0</v>
      </c>
      <c r="FI15" s="55">
        <f>'10'!$BT$19</f>
        <v>0</v>
      </c>
      <c r="FJ15" s="55">
        <f>'10'!$BU$19</f>
        <v>0</v>
      </c>
      <c r="FK15" s="55">
        <f>'10'!$BV$19</f>
        <v>0</v>
      </c>
      <c r="FL15" s="55">
        <f>'10'!$BW$19</f>
        <v>0</v>
      </c>
      <c r="FM15" s="55">
        <f>'10'!$BX$19</f>
        <v>0</v>
      </c>
      <c r="FN15" s="55">
        <f>'10'!$BY$19</f>
        <v>0</v>
      </c>
      <c r="FO15" s="55">
        <f>'10'!$BN$20</f>
        <v>0</v>
      </c>
      <c r="FP15" s="55">
        <f>'10'!$BO$20</f>
        <v>0</v>
      </c>
      <c r="FQ15" s="55">
        <f>'10'!$BP$20</f>
        <v>0</v>
      </c>
      <c r="FR15" s="55">
        <f>'10'!$BQ$20</f>
        <v>0</v>
      </c>
      <c r="FS15" s="55">
        <f>'10'!$BR$20</f>
        <v>0</v>
      </c>
      <c r="FT15" s="55">
        <f>'10'!$BS$20</f>
        <v>0</v>
      </c>
      <c r="FU15" s="55">
        <f>'10'!$BT$20</f>
        <v>0</v>
      </c>
      <c r="FV15" s="55">
        <f>'10'!$BU$20</f>
        <v>0</v>
      </c>
      <c r="FW15" s="55">
        <f>'10'!$BV$20</f>
        <v>0</v>
      </c>
      <c r="FX15" s="55">
        <f>'10'!$BW$20</f>
        <v>0</v>
      </c>
      <c r="FY15" s="55">
        <f>'10'!$BX$20</f>
        <v>0</v>
      </c>
      <c r="FZ15" s="55">
        <f>'10'!$BY$20</f>
        <v>0</v>
      </c>
      <c r="GA15" s="55">
        <f>'10'!$BN$21</f>
        <v>0</v>
      </c>
      <c r="GB15" s="55">
        <f>'10'!$BO$21</f>
        <v>0</v>
      </c>
      <c r="GC15" s="55">
        <f>'10'!$BP$21</f>
        <v>0</v>
      </c>
      <c r="GD15" s="55">
        <f>'10'!$BQ$21</f>
        <v>0</v>
      </c>
      <c r="GE15" s="55">
        <f>'10'!$BR$21</f>
        <v>0</v>
      </c>
      <c r="GF15" s="55">
        <f>'10'!$BS$21</f>
        <v>0</v>
      </c>
      <c r="GG15" s="55">
        <f>'10'!$BT$21</f>
        <v>0</v>
      </c>
      <c r="GH15" s="55">
        <f>'10'!$BU$21</f>
        <v>0</v>
      </c>
      <c r="GI15" s="55">
        <f>'10'!$BV$21</f>
        <v>0</v>
      </c>
      <c r="GJ15" s="55">
        <f>'10'!$BW$21</f>
        <v>0</v>
      </c>
      <c r="GK15" s="55">
        <f>'10'!$BX$21</f>
        <v>0</v>
      </c>
      <c r="GL15" s="55">
        <f>'10'!$BY$21</f>
        <v>0</v>
      </c>
      <c r="GM15" s="55">
        <f>'10'!$BN$22</f>
        <v>0</v>
      </c>
      <c r="GN15" s="55">
        <f>'10'!$BO$22</f>
        <v>0</v>
      </c>
      <c r="GO15" s="55">
        <f>'10'!$BP$22</f>
        <v>0</v>
      </c>
      <c r="GP15" s="55">
        <f>'10'!$BQ$22</f>
        <v>0</v>
      </c>
      <c r="GQ15" s="55">
        <f>'10'!$BR$22</f>
        <v>0</v>
      </c>
      <c r="GR15" s="55">
        <f>'10'!$BS$22</f>
        <v>0</v>
      </c>
      <c r="GS15" s="55">
        <f>'10'!$BT$22</f>
        <v>0</v>
      </c>
      <c r="GT15" s="55">
        <f>'10'!$BU$22</f>
        <v>0</v>
      </c>
      <c r="GU15" s="55">
        <f>'10'!$BV$22</f>
        <v>0</v>
      </c>
      <c r="GV15" s="55">
        <f>'10'!$BW$22</f>
        <v>0</v>
      </c>
      <c r="GW15" s="55">
        <f>'10'!$BX$22</f>
        <v>0</v>
      </c>
      <c r="GX15" s="55">
        <f>'10'!$BY$22</f>
        <v>0</v>
      </c>
      <c r="GY15" s="55">
        <f>'10'!$BN$23</f>
        <v>0</v>
      </c>
      <c r="GZ15" s="55">
        <f>'10'!$BO$23</f>
        <v>0</v>
      </c>
      <c r="HA15" s="55">
        <f>'10'!$BP$23</f>
        <v>0</v>
      </c>
      <c r="HB15" s="55">
        <f>'10'!$BQ$23</f>
        <v>0</v>
      </c>
      <c r="HC15" s="55">
        <f>'10'!$BR$23</f>
        <v>0</v>
      </c>
      <c r="HD15" s="55">
        <f>'10'!$BS$23</f>
        <v>0</v>
      </c>
      <c r="HE15" s="55">
        <f>'10'!$BT$23</f>
        <v>0</v>
      </c>
      <c r="HF15" s="55">
        <f>'10'!$BU$23</f>
        <v>0</v>
      </c>
      <c r="HG15" s="55">
        <f>'10'!$BV$23</f>
        <v>0</v>
      </c>
      <c r="HH15" s="55">
        <f>'10'!$BW$23</f>
        <v>0</v>
      </c>
      <c r="HI15" s="55">
        <f>'10'!$BX$23</f>
        <v>0</v>
      </c>
      <c r="HJ15" s="55">
        <f>'10'!$BY$23</f>
        <v>0</v>
      </c>
      <c r="HK15" s="55">
        <f>'10'!$BN$24</f>
        <v>0</v>
      </c>
      <c r="HL15" s="55">
        <f>'10'!$BO$24</f>
        <v>0</v>
      </c>
      <c r="HM15" s="55">
        <f>'10'!$BP$24</f>
        <v>0</v>
      </c>
      <c r="HN15" s="55">
        <f>'10'!$BQ$24</f>
        <v>0</v>
      </c>
      <c r="HO15" s="55">
        <f>'10'!$BR$24</f>
        <v>0</v>
      </c>
      <c r="HP15" s="55">
        <f>'10'!$BS$24</f>
        <v>0</v>
      </c>
      <c r="HQ15" s="55">
        <f>'10'!$BT$24</f>
        <v>0</v>
      </c>
      <c r="HR15" s="55">
        <f>'10'!$BU$24</f>
        <v>0</v>
      </c>
      <c r="HS15" s="55">
        <f>'10'!$BV$24</f>
        <v>0</v>
      </c>
      <c r="HT15" s="55">
        <f>'10'!$BW$24</f>
        <v>0</v>
      </c>
      <c r="HU15" s="55">
        <f>'10'!$BX$24</f>
        <v>0</v>
      </c>
      <c r="HV15" s="55">
        <f>'10'!$BY$24</f>
        <v>0</v>
      </c>
      <c r="HW15" s="55">
        <f>'10'!$BN$25</f>
        <v>0</v>
      </c>
      <c r="HX15" s="55">
        <f>'10'!$BO$25</f>
        <v>0</v>
      </c>
      <c r="HY15" s="55">
        <f>'10'!$BP$25</f>
        <v>0</v>
      </c>
      <c r="HZ15" s="55">
        <f>'10'!$BQ$25</f>
        <v>0</v>
      </c>
      <c r="IA15" s="55">
        <f>'10'!$BR$25</f>
        <v>0</v>
      </c>
      <c r="IB15" s="55">
        <f>'10'!$BS$25</f>
        <v>0</v>
      </c>
      <c r="IC15" s="55">
        <f>'10'!$BT$25</f>
        <v>0</v>
      </c>
      <c r="ID15" s="55">
        <f>'10'!$BU$25</f>
        <v>0</v>
      </c>
      <c r="IE15" s="55">
        <f>'10'!$BV$25</f>
        <v>0</v>
      </c>
      <c r="IF15" s="55">
        <f>'10'!$BW$25</f>
        <v>0</v>
      </c>
      <c r="IG15" s="55">
        <f>'10'!$BX$25</f>
        <v>0</v>
      </c>
      <c r="IH15" s="55">
        <f>'10'!$BY$25</f>
        <v>0</v>
      </c>
      <c r="II15" s="55">
        <f>'10'!$BN$26</f>
        <v>0</v>
      </c>
      <c r="IJ15" s="55">
        <f>'10'!$BO$26</f>
        <v>0</v>
      </c>
      <c r="IK15" s="55">
        <f>'10'!$BP$26</f>
        <v>0</v>
      </c>
      <c r="IL15" s="55">
        <f>'10'!$BQ$26</f>
        <v>0</v>
      </c>
      <c r="IM15" s="55">
        <f>'10'!$BR$26</f>
        <v>0</v>
      </c>
      <c r="IN15" s="55">
        <f>'10'!$BS$26</f>
        <v>0</v>
      </c>
      <c r="IO15" s="55">
        <f>'10'!$BT$26</f>
        <v>0</v>
      </c>
      <c r="IP15" s="55">
        <f>'10'!$BU$26</f>
        <v>0</v>
      </c>
      <c r="IQ15" s="55">
        <f>'10'!$BV$26</f>
        <v>0</v>
      </c>
      <c r="IR15" s="55">
        <f>'10'!$BW$26</f>
        <v>0</v>
      </c>
      <c r="IS15" s="55">
        <f>'10'!$BX$26</f>
        <v>0</v>
      </c>
      <c r="IT15" s="55">
        <f>'10'!$BY$26</f>
        <v>0</v>
      </c>
      <c r="IU15" s="55">
        <f>'10'!$BN$27</f>
        <v>0</v>
      </c>
      <c r="IV15" s="55">
        <f>'10'!$BO$27</f>
        <v>0</v>
      </c>
      <c r="IW15" s="55">
        <f>'10'!$BP$27</f>
        <v>0</v>
      </c>
      <c r="IX15" s="55">
        <f>'10'!$BQ$27</f>
        <v>0</v>
      </c>
      <c r="IY15" s="55">
        <f>'10'!$BR$27</f>
        <v>0</v>
      </c>
      <c r="IZ15" s="55">
        <f>'10'!$BS$27</f>
        <v>0</v>
      </c>
      <c r="JA15" s="55">
        <f>'10'!$BT$27</f>
        <v>0</v>
      </c>
      <c r="JB15" s="55">
        <f>'10'!$BU$27</f>
        <v>0</v>
      </c>
      <c r="JC15" s="55">
        <f>'10'!$BV$27</f>
        <v>0</v>
      </c>
      <c r="JD15" s="55">
        <f>'10'!$BW$27</f>
        <v>0</v>
      </c>
      <c r="JE15" s="55">
        <f>'10'!$BX$27</f>
        <v>0</v>
      </c>
      <c r="JF15" s="55">
        <f>'10'!$BY$27</f>
        <v>0</v>
      </c>
      <c r="JG15" s="55">
        <f>'10'!$BN$28</f>
        <v>0</v>
      </c>
      <c r="JH15" s="55">
        <f>'10'!$BO$28</f>
        <v>0</v>
      </c>
      <c r="JI15" s="55">
        <f>'10'!$BP$28</f>
        <v>0</v>
      </c>
      <c r="JJ15" s="55">
        <f>'10'!$BQ$28</f>
        <v>0</v>
      </c>
      <c r="JK15" s="55">
        <f>'10'!$BR$28</f>
        <v>0</v>
      </c>
      <c r="JL15" s="55">
        <f>'10'!$BS$28</f>
        <v>0</v>
      </c>
      <c r="JM15" s="55">
        <f>'10'!$BT$28</f>
        <v>0</v>
      </c>
      <c r="JN15" s="55">
        <f>'10'!$BU$28</f>
        <v>0</v>
      </c>
      <c r="JO15" s="55">
        <f>'10'!$BV$28</f>
        <v>0</v>
      </c>
      <c r="JP15" s="55">
        <f>'10'!$BW$28</f>
        <v>0</v>
      </c>
      <c r="JQ15" s="55">
        <f>'10'!$BX$28</f>
        <v>0</v>
      </c>
      <c r="JR15" s="55">
        <f>'10'!$BY$28</f>
        <v>0</v>
      </c>
      <c r="JS15" s="55">
        <f>'10'!$BN$29</f>
        <v>0</v>
      </c>
      <c r="JT15" s="55">
        <f>'10'!$BO$29</f>
        <v>0</v>
      </c>
      <c r="JU15" s="55">
        <f>'10'!$BP$29</f>
        <v>0</v>
      </c>
      <c r="JV15" s="55">
        <f>'10'!$BQ$29</f>
        <v>0</v>
      </c>
      <c r="JW15" s="55">
        <f>'10'!$BR$29</f>
        <v>0</v>
      </c>
      <c r="JX15" s="55">
        <f>'10'!$BS$29</f>
        <v>0</v>
      </c>
      <c r="JY15" s="55">
        <f>'10'!$BT$29</f>
        <v>0</v>
      </c>
      <c r="JZ15" s="55">
        <f>'10'!$BU$29</f>
        <v>0</v>
      </c>
      <c r="KA15" s="55">
        <f>'10'!$BV$29</f>
        <v>0</v>
      </c>
      <c r="KB15" s="55">
        <f>'10'!$BW$29</f>
        <v>0</v>
      </c>
      <c r="KC15" s="55">
        <f>'10'!$BX$29</f>
        <v>0</v>
      </c>
      <c r="KD15" s="55">
        <f>'10'!$BY$29</f>
        <v>0</v>
      </c>
    </row>
    <row r="16" spans="1:290" ht="15" x14ac:dyDescent="0.25">
      <c r="A16" s="50">
        <v>46184</v>
      </c>
      <c r="B16" s="52"/>
      <c r="C16" s="55">
        <f>'11'!$BN$6</f>
        <v>0</v>
      </c>
      <c r="D16" s="55">
        <f>'11'!$BO$6</f>
        <v>0</v>
      </c>
      <c r="E16" s="55">
        <f>'11'!$BP$6</f>
        <v>0</v>
      </c>
      <c r="F16" s="55">
        <f>'11'!$BQ$6</f>
        <v>0</v>
      </c>
      <c r="G16" s="55">
        <f>'11'!$BR$6</f>
        <v>0</v>
      </c>
      <c r="H16" s="55">
        <f>'11'!$BS$6</f>
        <v>0</v>
      </c>
      <c r="I16" s="55">
        <f>'11'!$BT$6</f>
        <v>0</v>
      </c>
      <c r="J16" s="55">
        <f>'11'!$BU$6</f>
        <v>0</v>
      </c>
      <c r="K16" s="55">
        <f>'11'!$BV$6</f>
        <v>0</v>
      </c>
      <c r="L16" s="55">
        <f>'11'!$BW$6</f>
        <v>0</v>
      </c>
      <c r="M16" s="55">
        <f>'11'!$BX$6</f>
        <v>0</v>
      </c>
      <c r="N16" s="55">
        <f>'11'!$BY$6</f>
        <v>0</v>
      </c>
      <c r="O16" s="55">
        <f>'11'!$BN$7</f>
        <v>0</v>
      </c>
      <c r="P16" s="55">
        <f>'11'!$BO$7</f>
        <v>0</v>
      </c>
      <c r="Q16" s="55">
        <f>'11'!$BP$7</f>
        <v>0</v>
      </c>
      <c r="R16" s="55">
        <f>'11'!$BQ$7</f>
        <v>0</v>
      </c>
      <c r="S16" s="55">
        <f>'11'!$BR$7</f>
        <v>0</v>
      </c>
      <c r="T16" s="55">
        <f>'11'!$BS$7</f>
        <v>0</v>
      </c>
      <c r="U16" s="55">
        <f>'11'!$BT$7</f>
        <v>0</v>
      </c>
      <c r="V16" s="55">
        <f>'11'!$BU$7</f>
        <v>0</v>
      </c>
      <c r="W16" s="55">
        <f>'11'!$BV$7</f>
        <v>0</v>
      </c>
      <c r="X16" s="55">
        <f>'11'!$BW$7</f>
        <v>0</v>
      </c>
      <c r="Y16" s="55">
        <f>'11'!$BX$7</f>
        <v>0</v>
      </c>
      <c r="Z16" s="55">
        <f>'11'!$BY$7</f>
        <v>0</v>
      </c>
      <c r="AA16" s="55">
        <f>'11'!$BN$8</f>
        <v>0</v>
      </c>
      <c r="AB16" s="55">
        <f>'11'!$BO$8</f>
        <v>0</v>
      </c>
      <c r="AC16" s="55">
        <f>'11'!$BP$8</f>
        <v>0</v>
      </c>
      <c r="AD16" s="55">
        <f>'11'!$BQ$8</f>
        <v>0</v>
      </c>
      <c r="AE16" s="55">
        <f>'11'!$BR$8</f>
        <v>0</v>
      </c>
      <c r="AF16" s="55">
        <f>'11'!$BS$8</f>
        <v>0</v>
      </c>
      <c r="AG16" s="55">
        <f>'11'!$BT$8</f>
        <v>0</v>
      </c>
      <c r="AH16" s="55">
        <f>'11'!$BU$8</f>
        <v>0</v>
      </c>
      <c r="AI16" s="55">
        <f>'11'!$BV$8</f>
        <v>0</v>
      </c>
      <c r="AJ16" s="55">
        <f>'11'!$BW$8</f>
        <v>0</v>
      </c>
      <c r="AK16" s="55">
        <f>'11'!$BX$8</f>
        <v>0</v>
      </c>
      <c r="AL16" s="55">
        <f>'11'!$BY$8</f>
        <v>0</v>
      </c>
      <c r="AM16" s="55">
        <f>'11'!$BN$9</f>
        <v>0</v>
      </c>
      <c r="AN16" s="55">
        <f>'11'!$BO$9</f>
        <v>0</v>
      </c>
      <c r="AO16" s="55">
        <f>'11'!$BP$9</f>
        <v>0</v>
      </c>
      <c r="AP16" s="55">
        <f>'11'!$BQ$9</f>
        <v>0</v>
      </c>
      <c r="AQ16" s="55">
        <f>'11'!$BR$9</f>
        <v>0</v>
      </c>
      <c r="AR16" s="55">
        <f>'11'!$BS$9</f>
        <v>0</v>
      </c>
      <c r="AS16" s="55">
        <f>'11'!$BT$9</f>
        <v>0</v>
      </c>
      <c r="AT16" s="55">
        <f>'11'!$BU$9</f>
        <v>0</v>
      </c>
      <c r="AU16" s="55">
        <f>'11'!$BV$9</f>
        <v>0</v>
      </c>
      <c r="AV16" s="55">
        <f>'11'!$BW$9</f>
        <v>0</v>
      </c>
      <c r="AW16" s="55">
        <f>'11'!$BX$9</f>
        <v>0</v>
      </c>
      <c r="AX16" s="55">
        <f>'11'!$BY$9</f>
        <v>0</v>
      </c>
      <c r="AY16" s="55">
        <f>'11'!$BN$10</f>
        <v>0</v>
      </c>
      <c r="AZ16" s="55">
        <f>'11'!$BO$10</f>
        <v>0</v>
      </c>
      <c r="BA16" s="55">
        <f>'11'!$BP$10</f>
        <v>0</v>
      </c>
      <c r="BB16" s="55">
        <f>'11'!$BQ$10</f>
        <v>0</v>
      </c>
      <c r="BC16" s="55">
        <f>'11'!$BR$10</f>
        <v>0</v>
      </c>
      <c r="BD16" s="55">
        <f>'11'!$BS$10</f>
        <v>0</v>
      </c>
      <c r="BE16" s="55">
        <f>'11'!$BT$10</f>
        <v>0</v>
      </c>
      <c r="BF16" s="55">
        <f>'11'!$BU$10</f>
        <v>0</v>
      </c>
      <c r="BG16" s="55">
        <f>'11'!$BV$10</f>
        <v>0</v>
      </c>
      <c r="BH16" s="55">
        <f>'11'!$BW$10</f>
        <v>0</v>
      </c>
      <c r="BI16" s="55">
        <f>'11'!$BX$10</f>
        <v>0</v>
      </c>
      <c r="BJ16" s="55">
        <f>'11'!$BY$10</f>
        <v>0</v>
      </c>
      <c r="BK16" s="55">
        <f>'11'!$BN$11</f>
        <v>0</v>
      </c>
      <c r="BL16" s="55">
        <f>'11'!$BO$11</f>
        <v>0</v>
      </c>
      <c r="BM16" s="55">
        <f>'11'!$BP$11</f>
        <v>0</v>
      </c>
      <c r="BN16" s="55">
        <f>'11'!$BQ$11</f>
        <v>0</v>
      </c>
      <c r="BO16" s="55">
        <f>'11'!$BR$11</f>
        <v>0</v>
      </c>
      <c r="BP16" s="55">
        <f>'11'!$BS$11</f>
        <v>0</v>
      </c>
      <c r="BQ16" s="55">
        <f>'11'!$BT$11</f>
        <v>0</v>
      </c>
      <c r="BR16" s="55">
        <f>'11'!$BU$11</f>
        <v>0</v>
      </c>
      <c r="BS16" s="55">
        <f>'11'!$BV$11</f>
        <v>0</v>
      </c>
      <c r="BT16" s="55">
        <f>'11'!$BW$11</f>
        <v>0</v>
      </c>
      <c r="BU16" s="55">
        <f>'11'!$BX$11</f>
        <v>0</v>
      </c>
      <c r="BV16" s="55">
        <f>'11'!$BY$11</f>
        <v>0</v>
      </c>
      <c r="BW16" s="55">
        <f>'11'!$BN$12</f>
        <v>0</v>
      </c>
      <c r="BX16" s="55">
        <f>'11'!$BO$12</f>
        <v>0</v>
      </c>
      <c r="BY16" s="55">
        <f>'11'!$BP$12</f>
        <v>0</v>
      </c>
      <c r="BZ16" s="55">
        <f>'11'!$BQ$12</f>
        <v>0</v>
      </c>
      <c r="CA16" s="55">
        <f>'11'!$BR$12</f>
        <v>0</v>
      </c>
      <c r="CB16" s="55">
        <f>'11'!$BS$12</f>
        <v>0</v>
      </c>
      <c r="CC16" s="55">
        <f>'11'!$BT$12</f>
        <v>0</v>
      </c>
      <c r="CD16" s="55">
        <f>'11'!$BU$12</f>
        <v>0</v>
      </c>
      <c r="CE16" s="55">
        <f>'11'!$BV$12</f>
        <v>0</v>
      </c>
      <c r="CF16" s="55">
        <f>'11'!$BW$12</f>
        <v>0</v>
      </c>
      <c r="CG16" s="55">
        <f>'11'!$BX$12</f>
        <v>0</v>
      </c>
      <c r="CH16" s="55">
        <f>'11'!$BY$12</f>
        <v>0</v>
      </c>
      <c r="CI16" s="55">
        <f>'11'!$BN$13</f>
        <v>0</v>
      </c>
      <c r="CJ16" s="55">
        <f>'11'!$BO$13</f>
        <v>0</v>
      </c>
      <c r="CK16" s="55">
        <f>'11'!$BP$13</f>
        <v>0</v>
      </c>
      <c r="CL16" s="55">
        <f>'11'!$BQ$13</f>
        <v>0</v>
      </c>
      <c r="CM16" s="55">
        <f>'11'!$BR$13</f>
        <v>0</v>
      </c>
      <c r="CN16" s="55">
        <f>'11'!$BS$13</f>
        <v>0</v>
      </c>
      <c r="CO16" s="55">
        <f>'11'!$BT$13</f>
        <v>0</v>
      </c>
      <c r="CP16" s="55">
        <f>'11'!$BU$13</f>
        <v>0</v>
      </c>
      <c r="CQ16" s="55">
        <f>'11'!$BV$13</f>
        <v>0</v>
      </c>
      <c r="CR16" s="55">
        <f>'11'!$BW$13</f>
        <v>0</v>
      </c>
      <c r="CS16" s="55">
        <f>'11'!$BX$13</f>
        <v>0</v>
      </c>
      <c r="CT16" s="55">
        <f>'11'!$BY$13</f>
        <v>0</v>
      </c>
      <c r="CU16" s="55">
        <f>'11'!$BN$14</f>
        <v>0</v>
      </c>
      <c r="CV16" s="55">
        <f>'11'!$BO$14</f>
        <v>0</v>
      </c>
      <c r="CW16" s="55">
        <f>'11'!$BP$14</f>
        <v>0</v>
      </c>
      <c r="CX16" s="55">
        <f>'11'!$BQ$14</f>
        <v>0</v>
      </c>
      <c r="CY16" s="55">
        <f>'11'!$BR$14</f>
        <v>0</v>
      </c>
      <c r="CZ16" s="55">
        <f>'11'!$BS$14</f>
        <v>0</v>
      </c>
      <c r="DA16" s="55">
        <f>'11'!$BT$14</f>
        <v>0</v>
      </c>
      <c r="DB16" s="55">
        <f>'11'!$BU$14</f>
        <v>0</v>
      </c>
      <c r="DC16" s="55">
        <f>'11'!$BV$14</f>
        <v>0</v>
      </c>
      <c r="DD16" s="55">
        <f>'11'!$BW$14</f>
        <v>0</v>
      </c>
      <c r="DE16" s="55">
        <f>'11'!$BX$14</f>
        <v>0</v>
      </c>
      <c r="DF16" s="55">
        <f>'11'!$BY$14</f>
        <v>0</v>
      </c>
      <c r="DG16" s="55">
        <f>'11'!$BN$15</f>
        <v>0</v>
      </c>
      <c r="DH16" s="55">
        <f>'11'!$BO$15</f>
        <v>0</v>
      </c>
      <c r="DI16" s="55">
        <f>'11'!$BP$15</f>
        <v>0</v>
      </c>
      <c r="DJ16" s="55">
        <f>'11'!$BQ$15</f>
        <v>0</v>
      </c>
      <c r="DK16" s="55">
        <f>'11'!$BR$15</f>
        <v>0</v>
      </c>
      <c r="DL16" s="55">
        <f>'11'!$BS$15</f>
        <v>0</v>
      </c>
      <c r="DM16" s="55">
        <f>'11'!$BT$15</f>
        <v>0</v>
      </c>
      <c r="DN16" s="55">
        <f>'11'!$BU$15</f>
        <v>0</v>
      </c>
      <c r="DO16" s="55">
        <f>'11'!$BV$15</f>
        <v>0</v>
      </c>
      <c r="DP16" s="55">
        <f>'11'!$BW$15</f>
        <v>0</v>
      </c>
      <c r="DQ16" s="55">
        <f>'11'!$BX$15</f>
        <v>0</v>
      </c>
      <c r="DR16" s="55">
        <f>'11'!$BY$15</f>
        <v>0</v>
      </c>
      <c r="DS16" s="55">
        <f>'11'!$BN$16</f>
        <v>0</v>
      </c>
      <c r="DT16" s="55">
        <f>'11'!$BO$16</f>
        <v>0</v>
      </c>
      <c r="DU16" s="55">
        <f>'11'!$BP$16</f>
        <v>0</v>
      </c>
      <c r="DV16" s="55">
        <f>'11'!$BQ$16</f>
        <v>0</v>
      </c>
      <c r="DW16" s="55">
        <f>'11'!$BR$16</f>
        <v>0</v>
      </c>
      <c r="DX16" s="55">
        <f>'11'!$BS$16</f>
        <v>0</v>
      </c>
      <c r="DY16" s="55">
        <f>'11'!$BT$16</f>
        <v>0</v>
      </c>
      <c r="DZ16" s="55">
        <f>'11'!$BU$16</f>
        <v>0</v>
      </c>
      <c r="EA16" s="55">
        <f>'11'!$BV$16</f>
        <v>0</v>
      </c>
      <c r="EB16" s="55">
        <f>'11'!$BW$16</f>
        <v>0</v>
      </c>
      <c r="EC16" s="55">
        <f>'11'!$BX$16</f>
        <v>0</v>
      </c>
      <c r="ED16" s="55">
        <f>'11'!$BY$16</f>
        <v>0</v>
      </c>
      <c r="EE16" s="55">
        <f>'11'!$BN$17</f>
        <v>0</v>
      </c>
      <c r="EF16" s="55">
        <f>'11'!$BO$17</f>
        <v>0</v>
      </c>
      <c r="EG16" s="55">
        <f>'11'!$BP$17</f>
        <v>0</v>
      </c>
      <c r="EH16" s="55">
        <f>'11'!$BQ$17</f>
        <v>0</v>
      </c>
      <c r="EI16" s="55">
        <f>'11'!$BR$17</f>
        <v>0</v>
      </c>
      <c r="EJ16" s="55">
        <f>'11'!$BS$17</f>
        <v>0</v>
      </c>
      <c r="EK16" s="55">
        <f>'11'!$BT$17</f>
        <v>0</v>
      </c>
      <c r="EL16" s="55">
        <f>'11'!$BU$17</f>
        <v>0</v>
      </c>
      <c r="EM16" s="55">
        <f>'11'!$BV$17</f>
        <v>0</v>
      </c>
      <c r="EN16" s="55">
        <f>'11'!$BW$17</f>
        <v>0</v>
      </c>
      <c r="EO16" s="55">
        <f>'11'!$BX$17</f>
        <v>0</v>
      </c>
      <c r="EP16" s="55">
        <f>'11'!$BY$17</f>
        <v>0</v>
      </c>
      <c r="EQ16" s="55">
        <f>'11'!$BN$18</f>
        <v>0</v>
      </c>
      <c r="ER16" s="55">
        <f>'11'!$BO$18</f>
        <v>0</v>
      </c>
      <c r="ES16" s="55">
        <f>'11'!$BP$18</f>
        <v>0</v>
      </c>
      <c r="ET16" s="55">
        <f>'11'!$BQ$18</f>
        <v>0</v>
      </c>
      <c r="EU16" s="55">
        <f>'11'!$BR$18</f>
        <v>0</v>
      </c>
      <c r="EV16" s="55">
        <f>'11'!$BS$18</f>
        <v>0</v>
      </c>
      <c r="EW16" s="55">
        <f>'11'!$BT$18</f>
        <v>0</v>
      </c>
      <c r="EX16" s="55">
        <f>'11'!$BU$18</f>
        <v>0</v>
      </c>
      <c r="EY16" s="55">
        <f>'11'!$BV$18</f>
        <v>0</v>
      </c>
      <c r="EZ16" s="55">
        <f>'11'!$BW$18</f>
        <v>0</v>
      </c>
      <c r="FA16" s="55">
        <f>'11'!$BX$18</f>
        <v>0</v>
      </c>
      <c r="FB16" s="55">
        <f>'11'!$BY$18</f>
        <v>0</v>
      </c>
      <c r="FC16" s="55">
        <f>'11'!$BN$19</f>
        <v>0</v>
      </c>
      <c r="FD16" s="55">
        <f>'11'!$BO$19</f>
        <v>0</v>
      </c>
      <c r="FE16" s="55">
        <f>'11'!$BP$19</f>
        <v>0</v>
      </c>
      <c r="FF16" s="55">
        <f>'11'!$BQ$19</f>
        <v>0</v>
      </c>
      <c r="FG16" s="55">
        <f>'11'!$BR$19</f>
        <v>0</v>
      </c>
      <c r="FH16" s="55">
        <f>'11'!$BS$19</f>
        <v>0</v>
      </c>
      <c r="FI16" s="55">
        <f>'11'!$BT$19</f>
        <v>0</v>
      </c>
      <c r="FJ16" s="55">
        <f>'11'!$BU$19</f>
        <v>0</v>
      </c>
      <c r="FK16" s="55">
        <f>'11'!$BV$19</f>
        <v>0</v>
      </c>
      <c r="FL16" s="55">
        <f>'11'!$BW$19</f>
        <v>0</v>
      </c>
      <c r="FM16" s="55">
        <f>'11'!$BX$19</f>
        <v>0</v>
      </c>
      <c r="FN16" s="55">
        <f>'11'!$BY$19</f>
        <v>0</v>
      </c>
      <c r="FO16" s="55">
        <f>'11'!$BN$20</f>
        <v>0</v>
      </c>
      <c r="FP16" s="55">
        <f>'11'!$BO$20</f>
        <v>0</v>
      </c>
      <c r="FQ16" s="55">
        <f>'11'!$BP$20</f>
        <v>0</v>
      </c>
      <c r="FR16" s="55">
        <f>'11'!$BQ$20</f>
        <v>0</v>
      </c>
      <c r="FS16" s="55">
        <f>'11'!$BR$20</f>
        <v>0</v>
      </c>
      <c r="FT16" s="55">
        <f>'11'!$BS$20</f>
        <v>0</v>
      </c>
      <c r="FU16" s="55">
        <f>'11'!$BT$20</f>
        <v>0</v>
      </c>
      <c r="FV16" s="55">
        <f>'11'!$BU$20</f>
        <v>0</v>
      </c>
      <c r="FW16" s="55">
        <f>'11'!$BV$20</f>
        <v>0</v>
      </c>
      <c r="FX16" s="55">
        <f>'11'!$BW$20</f>
        <v>0</v>
      </c>
      <c r="FY16" s="55">
        <f>'11'!$BX$20</f>
        <v>0</v>
      </c>
      <c r="FZ16" s="55">
        <f>'11'!$BY$20</f>
        <v>0</v>
      </c>
      <c r="GA16" s="55">
        <f>'11'!$BN$21</f>
        <v>0</v>
      </c>
      <c r="GB16" s="55">
        <f>'11'!$BO$21</f>
        <v>0</v>
      </c>
      <c r="GC16" s="55">
        <f>'11'!$BP$21</f>
        <v>0</v>
      </c>
      <c r="GD16" s="55">
        <f>'11'!$BQ$21</f>
        <v>0</v>
      </c>
      <c r="GE16" s="55">
        <f>'11'!$BR$21</f>
        <v>0</v>
      </c>
      <c r="GF16" s="55">
        <f>'11'!$BS$21</f>
        <v>0</v>
      </c>
      <c r="GG16" s="55">
        <f>'11'!$BT$21</f>
        <v>0</v>
      </c>
      <c r="GH16" s="55">
        <f>'11'!$BU$21</f>
        <v>0</v>
      </c>
      <c r="GI16" s="55">
        <f>'11'!$BV$21</f>
        <v>0</v>
      </c>
      <c r="GJ16" s="55">
        <f>'11'!$BW$21</f>
        <v>0</v>
      </c>
      <c r="GK16" s="55">
        <f>'11'!$BX$21</f>
        <v>0</v>
      </c>
      <c r="GL16" s="55">
        <f>'11'!$BY$21</f>
        <v>0</v>
      </c>
      <c r="GM16" s="55">
        <f>'11'!$BN$22</f>
        <v>0</v>
      </c>
      <c r="GN16" s="55">
        <f>'11'!$BO$22</f>
        <v>0</v>
      </c>
      <c r="GO16" s="55">
        <f>'11'!$BP$22</f>
        <v>0</v>
      </c>
      <c r="GP16" s="55">
        <f>'11'!$BQ$22</f>
        <v>0</v>
      </c>
      <c r="GQ16" s="55">
        <f>'11'!$BR$22</f>
        <v>0</v>
      </c>
      <c r="GR16" s="55">
        <f>'11'!$BS$22</f>
        <v>0</v>
      </c>
      <c r="GS16" s="55">
        <f>'11'!$BT$22</f>
        <v>0</v>
      </c>
      <c r="GT16" s="55">
        <f>'11'!$BU$22</f>
        <v>0</v>
      </c>
      <c r="GU16" s="55">
        <f>'11'!$BV$22</f>
        <v>0</v>
      </c>
      <c r="GV16" s="55">
        <f>'11'!$BW$22</f>
        <v>0</v>
      </c>
      <c r="GW16" s="55">
        <f>'11'!$BX$22</f>
        <v>0</v>
      </c>
      <c r="GX16" s="55">
        <f>'11'!$BY$22</f>
        <v>0</v>
      </c>
      <c r="GY16" s="55">
        <f>'11'!$BN$23</f>
        <v>0</v>
      </c>
      <c r="GZ16" s="55">
        <f>'11'!$BO$23</f>
        <v>0</v>
      </c>
      <c r="HA16" s="55">
        <f>'11'!$BP$23</f>
        <v>0</v>
      </c>
      <c r="HB16" s="55">
        <f>'11'!$BQ$23</f>
        <v>0</v>
      </c>
      <c r="HC16" s="55">
        <f>'11'!$BR$23</f>
        <v>0</v>
      </c>
      <c r="HD16" s="55">
        <f>'11'!$BS$23</f>
        <v>0</v>
      </c>
      <c r="HE16" s="55">
        <f>'11'!$BT$23</f>
        <v>0</v>
      </c>
      <c r="HF16" s="55">
        <f>'11'!$BU$23</f>
        <v>0</v>
      </c>
      <c r="HG16" s="55">
        <f>'11'!$BV$23</f>
        <v>0</v>
      </c>
      <c r="HH16" s="55">
        <f>'11'!$BW$23</f>
        <v>0</v>
      </c>
      <c r="HI16" s="55">
        <f>'11'!$BX$23</f>
        <v>0</v>
      </c>
      <c r="HJ16" s="55">
        <f>'11'!$BY$23</f>
        <v>0</v>
      </c>
      <c r="HK16" s="55">
        <f>'11'!$BN$24</f>
        <v>0</v>
      </c>
      <c r="HL16" s="55">
        <f>'11'!$BO$24</f>
        <v>0</v>
      </c>
      <c r="HM16" s="55">
        <f>'11'!$BP$24</f>
        <v>0</v>
      </c>
      <c r="HN16" s="55">
        <f>'11'!$BQ$24</f>
        <v>0</v>
      </c>
      <c r="HO16" s="55">
        <f>'11'!$BR$24</f>
        <v>0</v>
      </c>
      <c r="HP16" s="55">
        <f>'11'!$BS$24</f>
        <v>0</v>
      </c>
      <c r="HQ16" s="55">
        <f>'11'!$BT$24</f>
        <v>0</v>
      </c>
      <c r="HR16" s="55">
        <f>'11'!$BU$24</f>
        <v>0</v>
      </c>
      <c r="HS16" s="55">
        <f>'11'!$BV$24</f>
        <v>0</v>
      </c>
      <c r="HT16" s="55">
        <f>'11'!$BW$24</f>
        <v>0</v>
      </c>
      <c r="HU16" s="55">
        <f>'11'!$BX$24</f>
        <v>0</v>
      </c>
      <c r="HV16" s="55">
        <f>'11'!$BY$24</f>
        <v>0</v>
      </c>
      <c r="HW16" s="55">
        <f>'11'!$BN$25</f>
        <v>0</v>
      </c>
      <c r="HX16" s="55">
        <f>'11'!$BO$25</f>
        <v>0</v>
      </c>
      <c r="HY16" s="55">
        <f>'11'!$BP$25</f>
        <v>0</v>
      </c>
      <c r="HZ16" s="55">
        <f>'11'!$BQ$25</f>
        <v>0</v>
      </c>
      <c r="IA16" s="55">
        <f>'11'!$BR$25</f>
        <v>0</v>
      </c>
      <c r="IB16" s="55">
        <f>'11'!$BS$25</f>
        <v>0</v>
      </c>
      <c r="IC16" s="55">
        <f>'11'!$BT$25</f>
        <v>0</v>
      </c>
      <c r="ID16" s="55">
        <f>'11'!$BU$25</f>
        <v>0</v>
      </c>
      <c r="IE16" s="55">
        <f>'11'!$BV$25</f>
        <v>0</v>
      </c>
      <c r="IF16" s="55">
        <f>'11'!$BW$25</f>
        <v>0</v>
      </c>
      <c r="IG16" s="55">
        <f>'11'!$BX$25</f>
        <v>0</v>
      </c>
      <c r="IH16" s="55">
        <f>'11'!$BY$25</f>
        <v>0</v>
      </c>
      <c r="II16" s="55">
        <f>'11'!$BN$26</f>
        <v>0</v>
      </c>
      <c r="IJ16" s="55">
        <f>'11'!$BO$26</f>
        <v>0</v>
      </c>
      <c r="IK16" s="55">
        <f>'11'!$BP$26</f>
        <v>0</v>
      </c>
      <c r="IL16" s="55">
        <f>'11'!$BQ$26</f>
        <v>0</v>
      </c>
      <c r="IM16" s="55">
        <f>'11'!$BR$26</f>
        <v>0</v>
      </c>
      <c r="IN16" s="55">
        <f>'11'!$BS$26</f>
        <v>0</v>
      </c>
      <c r="IO16" s="55">
        <f>'11'!$BT$26</f>
        <v>0</v>
      </c>
      <c r="IP16" s="55">
        <f>'11'!$BU$26</f>
        <v>0</v>
      </c>
      <c r="IQ16" s="55">
        <f>'11'!$BV$26</f>
        <v>0</v>
      </c>
      <c r="IR16" s="55">
        <f>'11'!$BW$26</f>
        <v>0</v>
      </c>
      <c r="IS16" s="55">
        <f>'11'!$BX$26</f>
        <v>0</v>
      </c>
      <c r="IT16" s="55">
        <f>'11'!$BY$26</f>
        <v>0</v>
      </c>
      <c r="IU16" s="55">
        <f>'11'!$BN$27</f>
        <v>0</v>
      </c>
      <c r="IV16" s="55">
        <f>'11'!$BO$27</f>
        <v>0</v>
      </c>
      <c r="IW16" s="55">
        <f>'11'!$BP$27</f>
        <v>0</v>
      </c>
      <c r="IX16" s="55">
        <f>'11'!$BQ$27</f>
        <v>0</v>
      </c>
      <c r="IY16" s="55">
        <f>'11'!$BR$27</f>
        <v>0</v>
      </c>
      <c r="IZ16" s="55">
        <f>'11'!$BS$27</f>
        <v>0</v>
      </c>
      <c r="JA16" s="55">
        <f>'11'!$BT$27</f>
        <v>0</v>
      </c>
      <c r="JB16" s="55">
        <f>'11'!$BU$27</f>
        <v>0</v>
      </c>
      <c r="JC16" s="55">
        <f>'11'!$BV$27</f>
        <v>0</v>
      </c>
      <c r="JD16" s="55">
        <f>'11'!$BW$27</f>
        <v>0</v>
      </c>
      <c r="JE16" s="55">
        <f>'11'!$BX$27</f>
        <v>0</v>
      </c>
      <c r="JF16" s="55">
        <f>'11'!$BY$27</f>
        <v>0</v>
      </c>
      <c r="JG16" s="55">
        <f>'11'!$BN$28</f>
        <v>0</v>
      </c>
      <c r="JH16" s="55">
        <f>'11'!$BO$28</f>
        <v>0</v>
      </c>
      <c r="JI16" s="55">
        <f>'11'!$BP$28</f>
        <v>0</v>
      </c>
      <c r="JJ16" s="55">
        <f>'11'!$BQ$28</f>
        <v>0</v>
      </c>
      <c r="JK16" s="55">
        <f>'11'!$BR$28</f>
        <v>0</v>
      </c>
      <c r="JL16" s="55">
        <f>'11'!$BS$28</f>
        <v>0</v>
      </c>
      <c r="JM16" s="55">
        <f>'11'!$BT$28</f>
        <v>0</v>
      </c>
      <c r="JN16" s="55">
        <f>'11'!$BU$28</f>
        <v>0</v>
      </c>
      <c r="JO16" s="55">
        <f>'11'!$BV$28</f>
        <v>0</v>
      </c>
      <c r="JP16" s="55">
        <f>'11'!$BW$28</f>
        <v>0</v>
      </c>
      <c r="JQ16" s="55">
        <f>'11'!$BX$28</f>
        <v>0</v>
      </c>
      <c r="JR16" s="55">
        <f>'11'!$BY$28</f>
        <v>0</v>
      </c>
      <c r="JS16" s="55">
        <f>'11'!$BN$29</f>
        <v>0</v>
      </c>
      <c r="JT16" s="55">
        <f>'11'!$BO$29</f>
        <v>0</v>
      </c>
      <c r="JU16" s="55">
        <f>'11'!$BP$29</f>
        <v>0</v>
      </c>
      <c r="JV16" s="55">
        <f>'11'!$BQ$29</f>
        <v>0</v>
      </c>
      <c r="JW16" s="55">
        <f>'11'!$BR$29</f>
        <v>0</v>
      </c>
      <c r="JX16" s="55">
        <f>'11'!$BS$29</f>
        <v>0</v>
      </c>
      <c r="JY16" s="55">
        <f>'11'!$BT$29</f>
        <v>0</v>
      </c>
      <c r="JZ16" s="55">
        <f>'11'!$BU$29</f>
        <v>0</v>
      </c>
      <c r="KA16" s="55">
        <f>'11'!$BV$29</f>
        <v>0</v>
      </c>
      <c r="KB16" s="55">
        <f>'11'!$BW$29</f>
        <v>0</v>
      </c>
      <c r="KC16" s="55">
        <f>'11'!$BX$29</f>
        <v>0</v>
      </c>
      <c r="KD16" s="55">
        <f>'11'!$BY$29</f>
        <v>0</v>
      </c>
    </row>
    <row r="17" spans="1:290" ht="15" x14ac:dyDescent="0.25">
      <c r="A17" s="50">
        <v>46185</v>
      </c>
      <c r="B17" s="52"/>
      <c r="C17" s="55">
        <f>'12'!$BN$6</f>
        <v>0</v>
      </c>
      <c r="D17" s="55">
        <f>'12'!$BO$6</f>
        <v>0</v>
      </c>
      <c r="E17" s="55">
        <f>'12'!$BP$6</f>
        <v>0</v>
      </c>
      <c r="F17" s="55">
        <f>'12'!$BQ$6</f>
        <v>0</v>
      </c>
      <c r="G17" s="55">
        <f>'12'!$BR$6</f>
        <v>0</v>
      </c>
      <c r="H17" s="55">
        <f>'12'!$BS$6</f>
        <v>0</v>
      </c>
      <c r="I17" s="55">
        <f>'12'!$BT$6</f>
        <v>0</v>
      </c>
      <c r="J17" s="55">
        <f>'12'!$BU$6</f>
        <v>0</v>
      </c>
      <c r="K17" s="55">
        <f>'12'!$BV$6</f>
        <v>0</v>
      </c>
      <c r="L17" s="55">
        <f>'12'!$BW$6</f>
        <v>0</v>
      </c>
      <c r="M17" s="55">
        <f>'12'!$BX$6</f>
        <v>0</v>
      </c>
      <c r="N17" s="55">
        <f>'12'!$BY$6</f>
        <v>0</v>
      </c>
      <c r="O17" s="55">
        <f>'12'!$BN$7</f>
        <v>0</v>
      </c>
      <c r="P17" s="55">
        <f>'12'!$BO$7</f>
        <v>0</v>
      </c>
      <c r="Q17" s="55">
        <f>'12'!$BP$7</f>
        <v>0</v>
      </c>
      <c r="R17" s="55">
        <f>'12'!$BQ$7</f>
        <v>0</v>
      </c>
      <c r="S17" s="55">
        <f>'12'!$BR$7</f>
        <v>0</v>
      </c>
      <c r="T17" s="55">
        <f>'12'!$BS$7</f>
        <v>0</v>
      </c>
      <c r="U17" s="55">
        <f>'12'!$BT$7</f>
        <v>0</v>
      </c>
      <c r="V17" s="55">
        <f>'12'!$BU$7</f>
        <v>0</v>
      </c>
      <c r="W17" s="55">
        <f>'12'!$BV$7</f>
        <v>0</v>
      </c>
      <c r="X17" s="55">
        <f>'12'!$BW$7</f>
        <v>0</v>
      </c>
      <c r="Y17" s="55">
        <f>'12'!$BX$7</f>
        <v>0</v>
      </c>
      <c r="Z17" s="55">
        <f>'12'!$BY$7</f>
        <v>0</v>
      </c>
      <c r="AA17" s="55">
        <f>'12'!$BN$8</f>
        <v>0</v>
      </c>
      <c r="AB17" s="55">
        <f>'12'!$BO$8</f>
        <v>0</v>
      </c>
      <c r="AC17" s="55">
        <f>'12'!$BP$8</f>
        <v>0</v>
      </c>
      <c r="AD17" s="55">
        <f>'12'!$BQ$8</f>
        <v>0</v>
      </c>
      <c r="AE17" s="55">
        <f>'12'!$BR$8</f>
        <v>0</v>
      </c>
      <c r="AF17" s="55">
        <f>'12'!$BS$8</f>
        <v>0</v>
      </c>
      <c r="AG17" s="55">
        <f>'12'!$BT$8</f>
        <v>0</v>
      </c>
      <c r="AH17" s="55">
        <f>'12'!$BU$8</f>
        <v>0</v>
      </c>
      <c r="AI17" s="55">
        <f>'12'!$BV$8</f>
        <v>0</v>
      </c>
      <c r="AJ17" s="55">
        <f>'12'!$BW$8</f>
        <v>0</v>
      </c>
      <c r="AK17" s="55">
        <f>'12'!$BX$8</f>
        <v>0</v>
      </c>
      <c r="AL17" s="55">
        <f>'12'!$BY$8</f>
        <v>0</v>
      </c>
      <c r="AM17" s="55">
        <f>'12'!$BN$9</f>
        <v>0</v>
      </c>
      <c r="AN17" s="55">
        <f>'12'!$BO$9</f>
        <v>0</v>
      </c>
      <c r="AO17" s="55">
        <f>'12'!$BP$9</f>
        <v>0</v>
      </c>
      <c r="AP17" s="55">
        <f>'12'!$BQ$9</f>
        <v>0</v>
      </c>
      <c r="AQ17" s="55">
        <f>'12'!$BR$9</f>
        <v>0</v>
      </c>
      <c r="AR17" s="55">
        <f>'12'!$BS$9</f>
        <v>0</v>
      </c>
      <c r="AS17" s="55">
        <f>'12'!$BT$9</f>
        <v>0</v>
      </c>
      <c r="AT17" s="55">
        <f>'12'!$BU$9</f>
        <v>0</v>
      </c>
      <c r="AU17" s="55">
        <f>'12'!$BV$9</f>
        <v>0</v>
      </c>
      <c r="AV17" s="55">
        <f>'12'!$BW$9</f>
        <v>0</v>
      </c>
      <c r="AW17" s="55">
        <f>'12'!$BX$9</f>
        <v>0</v>
      </c>
      <c r="AX17" s="55">
        <f>'12'!$BY$9</f>
        <v>0</v>
      </c>
      <c r="AY17" s="55">
        <f>'12'!$BN$10</f>
        <v>0</v>
      </c>
      <c r="AZ17" s="55">
        <f>'12'!$BO$10</f>
        <v>0</v>
      </c>
      <c r="BA17" s="55">
        <f>'12'!$BP$10</f>
        <v>0</v>
      </c>
      <c r="BB17" s="55">
        <f>'12'!$BQ$10</f>
        <v>0</v>
      </c>
      <c r="BC17" s="55">
        <f>'12'!$BR$10</f>
        <v>0</v>
      </c>
      <c r="BD17" s="55">
        <f>'12'!$BS$10</f>
        <v>0</v>
      </c>
      <c r="BE17" s="55">
        <f>'12'!$BT$10</f>
        <v>0</v>
      </c>
      <c r="BF17" s="55">
        <f>'12'!$BU$10</f>
        <v>0</v>
      </c>
      <c r="BG17" s="55">
        <f>'12'!$BV$10</f>
        <v>0</v>
      </c>
      <c r="BH17" s="55">
        <f>'12'!$BW$10</f>
        <v>0</v>
      </c>
      <c r="BI17" s="55">
        <f>'12'!$BX$10</f>
        <v>0</v>
      </c>
      <c r="BJ17" s="55">
        <f>'12'!$BY$10</f>
        <v>0</v>
      </c>
      <c r="BK17" s="55">
        <f>'12'!$BN$11</f>
        <v>0</v>
      </c>
      <c r="BL17" s="55">
        <f>'12'!$BO$11</f>
        <v>0</v>
      </c>
      <c r="BM17" s="55">
        <f>'12'!$BP$11</f>
        <v>0</v>
      </c>
      <c r="BN17" s="55">
        <f>'12'!$BQ$11</f>
        <v>0</v>
      </c>
      <c r="BO17" s="55">
        <f>'12'!$BR$11</f>
        <v>0</v>
      </c>
      <c r="BP17" s="55">
        <f>'12'!$BS$11</f>
        <v>0</v>
      </c>
      <c r="BQ17" s="55">
        <f>'12'!$BT$11</f>
        <v>0</v>
      </c>
      <c r="BR17" s="55">
        <f>'12'!$BU$11</f>
        <v>0</v>
      </c>
      <c r="BS17" s="55">
        <f>'12'!$BV$11</f>
        <v>0</v>
      </c>
      <c r="BT17" s="55">
        <f>'12'!$BW$11</f>
        <v>0</v>
      </c>
      <c r="BU17" s="55">
        <f>'12'!$BX$11</f>
        <v>0</v>
      </c>
      <c r="BV17" s="55">
        <f>'12'!$BY$11</f>
        <v>0</v>
      </c>
      <c r="BW17" s="55">
        <f>'12'!$BN$12</f>
        <v>0</v>
      </c>
      <c r="BX17" s="55">
        <f>'12'!$BO$12</f>
        <v>0</v>
      </c>
      <c r="BY17" s="55">
        <f>'12'!$BP$12</f>
        <v>0</v>
      </c>
      <c r="BZ17" s="55">
        <f>'12'!$BQ$12</f>
        <v>0</v>
      </c>
      <c r="CA17" s="55">
        <f>'12'!$BR$12</f>
        <v>0</v>
      </c>
      <c r="CB17" s="55">
        <f>'12'!$BS$12</f>
        <v>0</v>
      </c>
      <c r="CC17" s="55">
        <f>'12'!$BT$12</f>
        <v>0</v>
      </c>
      <c r="CD17" s="55">
        <f>'12'!$BU$12</f>
        <v>0</v>
      </c>
      <c r="CE17" s="55">
        <f>'12'!$BV$12</f>
        <v>0</v>
      </c>
      <c r="CF17" s="55">
        <f>'12'!$BW$12</f>
        <v>0</v>
      </c>
      <c r="CG17" s="55">
        <f>'12'!$BX$12</f>
        <v>0</v>
      </c>
      <c r="CH17" s="55">
        <f>'12'!$BY$12</f>
        <v>0</v>
      </c>
      <c r="CI17" s="55">
        <f>'12'!$BN$13</f>
        <v>0</v>
      </c>
      <c r="CJ17" s="55">
        <f>'12'!$BO$13</f>
        <v>0</v>
      </c>
      <c r="CK17" s="55">
        <f>'12'!$BP$13</f>
        <v>0</v>
      </c>
      <c r="CL17" s="55">
        <f>'12'!$BQ$13</f>
        <v>0</v>
      </c>
      <c r="CM17" s="55">
        <f>'12'!$BR$13</f>
        <v>0</v>
      </c>
      <c r="CN17" s="55">
        <f>'12'!$BS$13</f>
        <v>0</v>
      </c>
      <c r="CO17" s="55">
        <f>'12'!$BT$13</f>
        <v>0</v>
      </c>
      <c r="CP17" s="55">
        <f>'12'!$BU$13</f>
        <v>0</v>
      </c>
      <c r="CQ17" s="55">
        <f>'12'!$BV$13</f>
        <v>0</v>
      </c>
      <c r="CR17" s="55">
        <f>'12'!$BW$13</f>
        <v>0</v>
      </c>
      <c r="CS17" s="55">
        <f>'12'!$BX$13</f>
        <v>0</v>
      </c>
      <c r="CT17" s="55">
        <f>'12'!$BY$13</f>
        <v>0</v>
      </c>
      <c r="CU17" s="55">
        <f>'12'!$BN$14</f>
        <v>0</v>
      </c>
      <c r="CV17" s="55">
        <f>'12'!$BO$14</f>
        <v>0</v>
      </c>
      <c r="CW17" s="55">
        <f>'12'!$BP$14</f>
        <v>0</v>
      </c>
      <c r="CX17" s="55">
        <f>'12'!$BQ$14</f>
        <v>0</v>
      </c>
      <c r="CY17" s="55">
        <f>'12'!$BR$14</f>
        <v>0</v>
      </c>
      <c r="CZ17" s="55">
        <f>'12'!$BS$14</f>
        <v>0</v>
      </c>
      <c r="DA17" s="55">
        <f>'12'!$BT$14</f>
        <v>0</v>
      </c>
      <c r="DB17" s="55">
        <f>'12'!$BU$14</f>
        <v>0</v>
      </c>
      <c r="DC17" s="55">
        <f>'12'!$BV$14</f>
        <v>0</v>
      </c>
      <c r="DD17" s="55">
        <f>'12'!$BW$14</f>
        <v>0</v>
      </c>
      <c r="DE17" s="55">
        <f>'12'!$BX$14</f>
        <v>0</v>
      </c>
      <c r="DF17" s="55">
        <f>'12'!$BY$14</f>
        <v>0</v>
      </c>
      <c r="DG17" s="55">
        <f>'12'!$BN$15</f>
        <v>0</v>
      </c>
      <c r="DH17" s="55">
        <f>'12'!$BO$15</f>
        <v>0</v>
      </c>
      <c r="DI17" s="55">
        <f>'12'!$BP$15</f>
        <v>0</v>
      </c>
      <c r="DJ17" s="55">
        <f>'12'!$BQ$15</f>
        <v>0</v>
      </c>
      <c r="DK17" s="55">
        <f>'12'!$BR$15</f>
        <v>0</v>
      </c>
      <c r="DL17" s="55">
        <f>'12'!$BS$15</f>
        <v>0</v>
      </c>
      <c r="DM17" s="55">
        <f>'12'!$BT$15</f>
        <v>0</v>
      </c>
      <c r="DN17" s="55">
        <f>'12'!$BU$15</f>
        <v>0</v>
      </c>
      <c r="DO17" s="55">
        <f>'12'!$BV$15</f>
        <v>0</v>
      </c>
      <c r="DP17" s="55">
        <f>'12'!$BW$15</f>
        <v>0</v>
      </c>
      <c r="DQ17" s="55">
        <f>'12'!$BX$15</f>
        <v>0</v>
      </c>
      <c r="DR17" s="55">
        <f>'12'!$BY$15</f>
        <v>0</v>
      </c>
      <c r="DS17" s="55">
        <f>'12'!$BN$16</f>
        <v>0</v>
      </c>
      <c r="DT17" s="55">
        <f>'12'!$BO$16</f>
        <v>0</v>
      </c>
      <c r="DU17" s="55">
        <f>'12'!$BP$16</f>
        <v>0</v>
      </c>
      <c r="DV17" s="55">
        <f>'12'!$BQ$16</f>
        <v>0</v>
      </c>
      <c r="DW17" s="55">
        <f>'12'!$BR$16</f>
        <v>0</v>
      </c>
      <c r="DX17" s="55">
        <f>'12'!$BS$16</f>
        <v>0</v>
      </c>
      <c r="DY17" s="55">
        <f>'12'!$BT$16</f>
        <v>0</v>
      </c>
      <c r="DZ17" s="55">
        <f>'12'!$BU$16</f>
        <v>0</v>
      </c>
      <c r="EA17" s="55">
        <f>'12'!$BV$16</f>
        <v>0</v>
      </c>
      <c r="EB17" s="55">
        <f>'12'!$BW$16</f>
        <v>0</v>
      </c>
      <c r="EC17" s="55">
        <f>'12'!$BX$16</f>
        <v>0</v>
      </c>
      <c r="ED17" s="55">
        <f>'12'!$BY$16</f>
        <v>0</v>
      </c>
      <c r="EE17" s="55">
        <f>'12'!$BN$17</f>
        <v>0</v>
      </c>
      <c r="EF17" s="55">
        <f>'12'!$BO$17</f>
        <v>0</v>
      </c>
      <c r="EG17" s="55">
        <f>'12'!$BP$17</f>
        <v>0</v>
      </c>
      <c r="EH17" s="55">
        <f>'12'!$BQ$17</f>
        <v>0</v>
      </c>
      <c r="EI17" s="55">
        <f>'12'!$BR$17</f>
        <v>0</v>
      </c>
      <c r="EJ17" s="55">
        <f>'12'!$BS$17</f>
        <v>0</v>
      </c>
      <c r="EK17" s="55">
        <f>'12'!$BT$17</f>
        <v>0</v>
      </c>
      <c r="EL17" s="55">
        <f>'12'!$BU$17</f>
        <v>0</v>
      </c>
      <c r="EM17" s="55">
        <f>'12'!$BV$17</f>
        <v>0</v>
      </c>
      <c r="EN17" s="55">
        <f>'12'!$BW$17</f>
        <v>0</v>
      </c>
      <c r="EO17" s="55">
        <f>'12'!$BX$17</f>
        <v>0</v>
      </c>
      <c r="EP17" s="55">
        <f>'12'!$BY$17</f>
        <v>0</v>
      </c>
      <c r="EQ17" s="55">
        <f>'12'!$BN$18</f>
        <v>0</v>
      </c>
      <c r="ER17" s="55">
        <f>'12'!$BO$18</f>
        <v>0</v>
      </c>
      <c r="ES17" s="55">
        <f>'12'!$BP$18</f>
        <v>0</v>
      </c>
      <c r="ET17" s="55">
        <f>'12'!$BQ$18</f>
        <v>0</v>
      </c>
      <c r="EU17" s="55">
        <f>'12'!$BR$18</f>
        <v>0</v>
      </c>
      <c r="EV17" s="55">
        <f>'12'!$BS$18</f>
        <v>0</v>
      </c>
      <c r="EW17" s="55">
        <f>'12'!$BT$18</f>
        <v>0</v>
      </c>
      <c r="EX17" s="55">
        <f>'12'!$BU$18</f>
        <v>0</v>
      </c>
      <c r="EY17" s="55">
        <f>'12'!$BV$18</f>
        <v>0</v>
      </c>
      <c r="EZ17" s="55">
        <f>'12'!$BW$18</f>
        <v>0</v>
      </c>
      <c r="FA17" s="55">
        <f>'12'!$BX$18</f>
        <v>0</v>
      </c>
      <c r="FB17" s="55">
        <f>'12'!$BY$18</f>
        <v>0</v>
      </c>
      <c r="FC17" s="55">
        <f>'12'!$BN$19</f>
        <v>0</v>
      </c>
      <c r="FD17" s="55">
        <f>'12'!$BO$19</f>
        <v>0</v>
      </c>
      <c r="FE17" s="55">
        <f>'12'!$BP$19</f>
        <v>0</v>
      </c>
      <c r="FF17" s="55">
        <f>'12'!$BQ$19</f>
        <v>0</v>
      </c>
      <c r="FG17" s="55">
        <f>'12'!$BR$19</f>
        <v>0</v>
      </c>
      <c r="FH17" s="55">
        <f>'12'!$BS$19</f>
        <v>0</v>
      </c>
      <c r="FI17" s="55">
        <f>'12'!$BT$19</f>
        <v>0</v>
      </c>
      <c r="FJ17" s="55">
        <f>'12'!$BU$19</f>
        <v>0</v>
      </c>
      <c r="FK17" s="55">
        <f>'12'!$BV$19</f>
        <v>0</v>
      </c>
      <c r="FL17" s="55">
        <f>'12'!$BW$19</f>
        <v>0</v>
      </c>
      <c r="FM17" s="55">
        <f>'12'!$BX$19</f>
        <v>0</v>
      </c>
      <c r="FN17" s="55">
        <f>'12'!$BY$19</f>
        <v>0</v>
      </c>
      <c r="FO17" s="55">
        <f>'12'!$BN$20</f>
        <v>0</v>
      </c>
      <c r="FP17" s="55">
        <f>'12'!$BO$20</f>
        <v>0</v>
      </c>
      <c r="FQ17" s="55">
        <f>'12'!$BP$20</f>
        <v>0</v>
      </c>
      <c r="FR17" s="55">
        <f>'12'!$BQ$20</f>
        <v>0</v>
      </c>
      <c r="FS17" s="55">
        <f>'12'!$BR$20</f>
        <v>0</v>
      </c>
      <c r="FT17" s="55">
        <f>'12'!$BS$20</f>
        <v>0</v>
      </c>
      <c r="FU17" s="55">
        <f>'12'!$BT$20</f>
        <v>0</v>
      </c>
      <c r="FV17" s="55">
        <f>'12'!$BU$20</f>
        <v>0</v>
      </c>
      <c r="FW17" s="55">
        <f>'12'!$BV$20</f>
        <v>0</v>
      </c>
      <c r="FX17" s="55">
        <f>'12'!$BW$20</f>
        <v>0</v>
      </c>
      <c r="FY17" s="55">
        <f>'12'!$BX$20</f>
        <v>0</v>
      </c>
      <c r="FZ17" s="55">
        <f>'12'!$BY$20</f>
        <v>0</v>
      </c>
      <c r="GA17" s="55">
        <f>'12'!$BN$21</f>
        <v>0</v>
      </c>
      <c r="GB17" s="55">
        <f>'12'!$BO$21</f>
        <v>0</v>
      </c>
      <c r="GC17" s="55">
        <f>'12'!$BP$21</f>
        <v>0</v>
      </c>
      <c r="GD17" s="55">
        <f>'12'!$BQ$21</f>
        <v>0</v>
      </c>
      <c r="GE17" s="55">
        <f>'12'!$BR$21</f>
        <v>0</v>
      </c>
      <c r="GF17" s="55">
        <f>'12'!$BS$21</f>
        <v>0</v>
      </c>
      <c r="GG17" s="55">
        <f>'12'!$BT$21</f>
        <v>0</v>
      </c>
      <c r="GH17" s="55">
        <f>'12'!$BU$21</f>
        <v>0</v>
      </c>
      <c r="GI17" s="55">
        <f>'12'!$BV$21</f>
        <v>0</v>
      </c>
      <c r="GJ17" s="55">
        <f>'12'!$BW$21</f>
        <v>0</v>
      </c>
      <c r="GK17" s="55">
        <f>'12'!$BX$21</f>
        <v>0</v>
      </c>
      <c r="GL17" s="55">
        <f>'12'!$BY$21</f>
        <v>0</v>
      </c>
      <c r="GM17" s="55">
        <f>'12'!$BN$22</f>
        <v>0</v>
      </c>
      <c r="GN17" s="55">
        <f>'12'!$BO$22</f>
        <v>0</v>
      </c>
      <c r="GO17" s="55">
        <f>'12'!$BP$22</f>
        <v>0</v>
      </c>
      <c r="GP17" s="55">
        <f>'12'!$BQ$22</f>
        <v>0</v>
      </c>
      <c r="GQ17" s="55">
        <f>'12'!$BR$22</f>
        <v>0</v>
      </c>
      <c r="GR17" s="55">
        <f>'12'!$BS$22</f>
        <v>0</v>
      </c>
      <c r="GS17" s="55">
        <f>'12'!$BT$22</f>
        <v>0</v>
      </c>
      <c r="GT17" s="55">
        <f>'12'!$BU$22</f>
        <v>0</v>
      </c>
      <c r="GU17" s="55">
        <f>'12'!$BV$22</f>
        <v>0</v>
      </c>
      <c r="GV17" s="55">
        <f>'12'!$BW$22</f>
        <v>0</v>
      </c>
      <c r="GW17" s="55">
        <f>'12'!$BX$22</f>
        <v>0</v>
      </c>
      <c r="GX17" s="55">
        <f>'12'!$BY$22</f>
        <v>0</v>
      </c>
      <c r="GY17" s="55">
        <f>'12'!$BN$23</f>
        <v>0</v>
      </c>
      <c r="GZ17" s="55">
        <f>'12'!$BO$23</f>
        <v>0</v>
      </c>
      <c r="HA17" s="55">
        <f>'12'!$BP$23</f>
        <v>0</v>
      </c>
      <c r="HB17" s="55">
        <f>'12'!$BQ$23</f>
        <v>0</v>
      </c>
      <c r="HC17" s="55">
        <f>'12'!$BR$23</f>
        <v>0</v>
      </c>
      <c r="HD17" s="55">
        <f>'12'!$BS$23</f>
        <v>0</v>
      </c>
      <c r="HE17" s="55">
        <f>'12'!$BT$23</f>
        <v>0</v>
      </c>
      <c r="HF17" s="55">
        <f>'12'!$BU$23</f>
        <v>0</v>
      </c>
      <c r="HG17" s="55">
        <f>'12'!$BV$23</f>
        <v>0</v>
      </c>
      <c r="HH17" s="55">
        <f>'12'!$BW$23</f>
        <v>0</v>
      </c>
      <c r="HI17" s="55">
        <f>'12'!$BX$23</f>
        <v>0</v>
      </c>
      <c r="HJ17" s="55">
        <f>'12'!$BY$23</f>
        <v>0</v>
      </c>
      <c r="HK17" s="55">
        <f>'12'!$BN$24</f>
        <v>0</v>
      </c>
      <c r="HL17" s="55">
        <f>'12'!$BO$24</f>
        <v>0</v>
      </c>
      <c r="HM17" s="55">
        <f>'12'!$BP$24</f>
        <v>0</v>
      </c>
      <c r="HN17" s="55">
        <f>'12'!$BQ$24</f>
        <v>0</v>
      </c>
      <c r="HO17" s="55">
        <f>'12'!$BR$24</f>
        <v>0</v>
      </c>
      <c r="HP17" s="55">
        <f>'12'!$BS$24</f>
        <v>0</v>
      </c>
      <c r="HQ17" s="55">
        <f>'12'!$BT$24</f>
        <v>0</v>
      </c>
      <c r="HR17" s="55">
        <f>'12'!$BU$24</f>
        <v>0</v>
      </c>
      <c r="HS17" s="55">
        <f>'12'!$BV$24</f>
        <v>0</v>
      </c>
      <c r="HT17" s="55">
        <f>'12'!$BW$24</f>
        <v>0</v>
      </c>
      <c r="HU17" s="55">
        <f>'12'!$BX$24</f>
        <v>0</v>
      </c>
      <c r="HV17" s="55">
        <f>'12'!$BY$24</f>
        <v>0</v>
      </c>
      <c r="HW17" s="55">
        <f>'12'!$BN$25</f>
        <v>0</v>
      </c>
      <c r="HX17" s="55">
        <f>'12'!$BO$25</f>
        <v>0</v>
      </c>
      <c r="HY17" s="55">
        <f>'12'!$BP$25</f>
        <v>0</v>
      </c>
      <c r="HZ17" s="55">
        <f>'12'!$BQ$25</f>
        <v>0</v>
      </c>
      <c r="IA17" s="55">
        <f>'12'!$BR$25</f>
        <v>0</v>
      </c>
      <c r="IB17" s="55">
        <f>'12'!$BS$25</f>
        <v>0</v>
      </c>
      <c r="IC17" s="55">
        <f>'12'!$BT$25</f>
        <v>0</v>
      </c>
      <c r="ID17" s="55">
        <f>'12'!$BU$25</f>
        <v>0</v>
      </c>
      <c r="IE17" s="55">
        <f>'12'!$BV$25</f>
        <v>0</v>
      </c>
      <c r="IF17" s="55">
        <f>'12'!$BW$25</f>
        <v>0</v>
      </c>
      <c r="IG17" s="55">
        <f>'12'!$BX$25</f>
        <v>0</v>
      </c>
      <c r="IH17" s="55">
        <f>'12'!$BY$25</f>
        <v>0</v>
      </c>
      <c r="II17" s="55">
        <f>'12'!$BN$26</f>
        <v>0</v>
      </c>
      <c r="IJ17" s="55">
        <f>'12'!$BO$26</f>
        <v>0</v>
      </c>
      <c r="IK17" s="55">
        <f>'12'!$BP$26</f>
        <v>0</v>
      </c>
      <c r="IL17" s="55">
        <f>'12'!$BQ$26</f>
        <v>0</v>
      </c>
      <c r="IM17" s="55">
        <f>'12'!$BR$26</f>
        <v>0</v>
      </c>
      <c r="IN17" s="55">
        <f>'12'!$BS$26</f>
        <v>0</v>
      </c>
      <c r="IO17" s="55">
        <f>'12'!$BT$26</f>
        <v>0</v>
      </c>
      <c r="IP17" s="55">
        <f>'12'!$BU$26</f>
        <v>0</v>
      </c>
      <c r="IQ17" s="55">
        <f>'12'!$BV$26</f>
        <v>0</v>
      </c>
      <c r="IR17" s="55">
        <f>'12'!$BW$26</f>
        <v>0</v>
      </c>
      <c r="IS17" s="55">
        <f>'12'!$BX$26</f>
        <v>0</v>
      </c>
      <c r="IT17" s="55">
        <f>'12'!$BY$26</f>
        <v>0</v>
      </c>
      <c r="IU17" s="55">
        <f>'12'!$BN$27</f>
        <v>0</v>
      </c>
      <c r="IV17" s="55">
        <f>'12'!$BO$27</f>
        <v>0</v>
      </c>
      <c r="IW17" s="55">
        <f>'12'!$BP$27</f>
        <v>0</v>
      </c>
      <c r="IX17" s="55">
        <f>'12'!$BQ$27</f>
        <v>0</v>
      </c>
      <c r="IY17" s="55">
        <f>'12'!$BR$27</f>
        <v>0</v>
      </c>
      <c r="IZ17" s="55">
        <f>'12'!$BS$27</f>
        <v>0</v>
      </c>
      <c r="JA17" s="55">
        <f>'12'!$BT$27</f>
        <v>0</v>
      </c>
      <c r="JB17" s="55">
        <f>'12'!$BU$27</f>
        <v>0</v>
      </c>
      <c r="JC17" s="55">
        <f>'12'!$BV$27</f>
        <v>0</v>
      </c>
      <c r="JD17" s="55">
        <f>'12'!$BW$27</f>
        <v>0</v>
      </c>
      <c r="JE17" s="55">
        <f>'12'!$BX$27</f>
        <v>0</v>
      </c>
      <c r="JF17" s="55">
        <f>'12'!$BY$27</f>
        <v>0</v>
      </c>
      <c r="JG17" s="55">
        <f>'12'!$BN$28</f>
        <v>0</v>
      </c>
      <c r="JH17" s="55">
        <f>'12'!$BO$28</f>
        <v>0</v>
      </c>
      <c r="JI17" s="55">
        <f>'12'!$BP$28</f>
        <v>0</v>
      </c>
      <c r="JJ17" s="55">
        <f>'12'!$BQ$28</f>
        <v>0</v>
      </c>
      <c r="JK17" s="55">
        <f>'12'!$BR$28</f>
        <v>0</v>
      </c>
      <c r="JL17" s="55">
        <f>'12'!$BS$28</f>
        <v>0</v>
      </c>
      <c r="JM17" s="55">
        <f>'12'!$BT$28</f>
        <v>0</v>
      </c>
      <c r="JN17" s="55">
        <f>'12'!$BU$28</f>
        <v>0</v>
      </c>
      <c r="JO17" s="55">
        <f>'12'!$BV$28</f>
        <v>0</v>
      </c>
      <c r="JP17" s="55">
        <f>'12'!$BW$28</f>
        <v>0</v>
      </c>
      <c r="JQ17" s="55">
        <f>'12'!$BX$28</f>
        <v>0</v>
      </c>
      <c r="JR17" s="55">
        <f>'12'!$BY$28</f>
        <v>0</v>
      </c>
      <c r="JS17" s="55">
        <f>'12'!$BN$29</f>
        <v>0</v>
      </c>
      <c r="JT17" s="55">
        <f>'12'!$BO$29</f>
        <v>0</v>
      </c>
      <c r="JU17" s="55">
        <f>'12'!$BP$29</f>
        <v>0</v>
      </c>
      <c r="JV17" s="55">
        <f>'12'!$BQ$29</f>
        <v>0</v>
      </c>
      <c r="JW17" s="55">
        <f>'12'!$BR$29</f>
        <v>0</v>
      </c>
      <c r="JX17" s="55">
        <f>'12'!$BS$29</f>
        <v>0</v>
      </c>
      <c r="JY17" s="55">
        <f>'12'!$BT$29</f>
        <v>0</v>
      </c>
      <c r="JZ17" s="55">
        <f>'12'!$BU$29</f>
        <v>0</v>
      </c>
      <c r="KA17" s="55">
        <f>'12'!$BV$29</f>
        <v>0</v>
      </c>
      <c r="KB17" s="55">
        <f>'12'!$BW$29</f>
        <v>0</v>
      </c>
      <c r="KC17" s="55">
        <f>'12'!$BX$29</f>
        <v>0</v>
      </c>
      <c r="KD17" s="55">
        <f>'12'!$BY$29</f>
        <v>0</v>
      </c>
    </row>
    <row r="18" spans="1:290" ht="15" x14ac:dyDescent="0.25">
      <c r="A18" s="50">
        <v>46186</v>
      </c>
      <c r="B18" s="52"/>
      <c r="C18" s="55">
        <f>'13'!$BN$6</f>
        <v>0</v>
      </c>
      <c r="D18" s="55">
        <f>'13'!$BO$6</f>
        <v>0</v>
      </c>
      <c r="E18" s="55">
        <f>'13'!$BP$6</f>
        <v>0</v>
      </c>
      <c r="F18" s="55">
        <f>'13'!$BQ$6</f>
        <v>0</v>
      </c>
      <c r="G18" s="55">
        <f>'13'!$BR$6</f>
        <v>0</v>
      </c>
      <c r="H18" s="55">
        <f>'13'!$BS$6</f>
        <v>0</v>
      </c>
      <c r="I18" s="55">
        <f>'13'!$BT$6</f>
        <v>0</v>
      </c>
      <c r="J18" s="55">
        <f>'13'!$BU$6</f>
        <v>0</v>
      </c>
      <c r="K18" s="55">
        <f>'13'!$BV$6</f>
        <v>0</v>
      </c>
      <c r="L18" s="55">
        <f>'13'!$BW$6</f>
        <v>0</v>
      </c>
      <c r="M18" s="55">
        <f>'13'!$BX$6</f>
        <v>0</v>
      </c>
      <c r="N18" s="55">
        <f>'13'!$BY$6</f>
        <v>0</v>
      </c>
      <c r="O18" s="55">
        <f>'13'!$BN$7</f>
        <v>0</v>
      </c>
      <c r="P18" s="55">
        <f>'13'!$BO$7</f>
        <v>0</v>
      </c>
      <c r="Q18" s="55">
        <f>'13'!$BP$7</f>
        <v>0</v>
      </c>
      <c r="R18" s="55">
        <f>'13'!$BQ$7</f>
        <v>0</v>
      </c>
      <c r="S18" s="55">
        <f>'13'!$BR$7</f>
        <v>0</v>
      </c>
      <c r="T18" s="55">
        <f>'13'!$BS$7</f>
        <v>0</v>
      </c>
      <c r="U18" s="55">
        <f>'13'!$BT$7</f>
        <v>0</v>
      </c>
      <c r="V18" s="55">
        <f>'13'!$BU$7</f>
        <v>0</v>
      </c>
      <c r="W18" s="55">
        <f>'13'!$BV$7</f>
        <v>0</v>
      </c>
      <c r="X18" s="55">
        <f>'13'!$BW$7</f>
        <v>0</v>
      </c>
      <c r="Y18" s="55">
        <f>'13'!$BX$7</f>
        <v>0</v>
      </c>
      <c r="Z18" s="55">
        <f>'13'!$BY$7</f>
        <v>0</v>
      </c>
      <c r="AA18" s="55">
        <f>'13'!$BN$8</f>
        <v>0</v>
      </c>
      <c r="AB18" s="55">
        <f>'13'!$BO$8</f>
        <v>0</v>
      </c>
      <c r="AC18" s="55">
        <f>'13'!$BP$8</f>
        <v>0</v>
      </c>
      <c r="AD18" s="55">
        <f>'13'!$BQ$8</f>
        <v>0</v>
      </c>
      <c r="AE18" s="55">
        <f>'13'!$BR$8</f>
        <v>0</v>
      </c>
      <c r="AF18" s="55">
        <f>'13'!$BS$8</f>
        <v>0</v>
      </c>
      <c r="AG18" s="55">
        <f>'13'!$BT$8</f>
        <v>0</v>
      </c>
      <c r="AH18" s="55">
        <f>'13'!$BU$8</f>
        <v>0</v>
      </c>
      <c r="AI18" s="55">
        <f>'13'!$BV$8</f>
        <v>0</v>
      </c>
      <c r="AJ18" s="55">
        <f>'13'!$BW$8</f>
        <v>0</v>
      </c>
      <c r="AK18" s="55">
        <f>'13'!$BX$8</f>
        <v>0</v>
      </c>
      <c r="AL18" s="55">
        <f>'13'!$BY$8</f>
        <v>0</v>
      </c>
      <c r="AM18" s="55">
        <f>'13'!$BN$9</f>
        <v>0</v>
      </c>
      <c r="AN18" s="55">
        <f>'13'!$BO$9</f>
        <v>0</v>
      </c>
      <c r="AO18" s="55">
        <f>'13'!$BP$9</f>
        <v>0</v>
      </c>
      <c r="AP18" s="55">
        <f>'13'!$BQ$9</f>
        <v>0</v>
      </c>
      <c r="AQ18" s="55">
        <f>'13'!$BR$9</f>
        <v>0</v>
      </c>
      <c r="AR18" s="55">
        <f>'13'!$BS$9</f>
        <v>0</v>
      </c>
      <c r="AS18" s="55">
        <f>'13'!$BT$9</f>
        <v>0</v>
      </c>
      <c r="AT18" s="55">
        <f>'13'!$BU$9</f>
        <v>0</v>
      </c>
      <c r="AU18" s="55">
        <f>'13'!$BV$9</f>
        <v>0</v>
      </c>
      <c r="AV18" s="55">
        <f>'13'!$BW$9</f>
        <v>0</v>
      </c>
      <c r="AW18" s="55">
        <f>'13'!$BX$9</f>
        <v>0</v>
      </c>
      <c r="AX18" s="55">
        <f>'13'!$BY$9</f>
        <v>0</v>
      </c>
      <c r="AY18" s="55">
        <f>'13'!$BN$10</f>
        <v>0</v>
      </c>
      <c r="AZ18" s="55">
        <f>'13'!$BO$10</f>
        <v>0</v>
      </c>
      <c r="BA18" s="55">
        <f>'13'!$BP$10</f>
        <v>0</v>
      </c>
      <c r="BB18" s="55">
        <f>'13'!$BQ$10</f>
        <v>0</v>
      </c>
      <c r="BC18" s="55">
        <f>'13'!$BR$10</f>
        <v>0</v>
      </c>
      <c r="BD18" s="55">
        <f>'13'!$BS$10</f>
        <v>0</v>
      </c>
      <c r="BE18" s="55">
        <f>'13'!$BT$10</f>
        <v>0</v>
      </c>
      <c r="BF18" s="55">
        <f>'13'!$BU$10</f>
        <v>0</v>
      </c>
      <c r="BG18" s="55">
        <f>'13'!$BV$10</f>
        <v>0</v>
      </c>
      <c r="BH18" s="55">
        <f>'13'!$BW$10</f>
        <v>0</v>
      </c>
      <c r="BI18" s="55">
        <f>'13'!$BX$10</f>
        <v>0</v>
      </c>
      <c r="BJ18" s="55">
        <f>'13'!$BY$10</f>
        <v>0</v>
      </c>
      <c r="BK18" s="55">
        <f>'13'!$BN$11</f>
        <v>0</v>
      </c>
      <c r="BL18" s="55">
        <f>'13'!$BO$11</f>
        <v>0</v>
      </c>
      <c r="BM18" s="55">
        <f>'13'!$BP$11</f>
        <v>0</v>
      </c>
      <c r="BN18" s="55">
        <f>'13'!$BQ$11</f>
        <v>0</v>
      </c>
      <c r="BO18" s="55">
        <f>'13'!$BR$11</f>
        <v>0</v>
      </c>
      <c r="BP18" s="55">
        <f>'13'!$BS$11</f>
        <v>0</v>
      </c>
      <c r="BQ18" s="55">
        <f>'13'!$BT$11</f>
        <v>0</v>
      </c>
      <c r="BR18" s="55">
        <f>'13'!$BU$11</f>
        <v>0</v>
      </c>
      <c r="BS18" s="55">
        <f>'13'!$BV$11</f>
        <v>0</v>
      </c>
      <c r="BT18" s="55">
        <f>'13'!$BW$11</f>
        <v>0</v>
      </c>
      <c r="BU18" s="55">
        <f>'13'!$BX$11</f>
        <v>0</v>
      </c>
      <c r="BV18" s="55">
        <f>'13'!$BY$11</f>
        <v>0</v>
      </c>
      <c r="BW18" s="55">
        <f>'13'!$BN$12</f>
        <v>0</v>
      </c>
      <c r="BX18" s="55">
        <f>'13'!$BO$12</f>
        <v>0</v>
      </c>
      <c r="BY18" s="55">
        <f>'13'!$BP$12</f>
        <v>0</v>
      </c>
      <c r="BZ18" s="55">
        <f>'13'!$BQ$12</f>
        <v>0</v>
      </c>
      <c r="CA18" s="55">
        <f>'13'!$BR$12</f>
        <v>0</v>
      </c>
      <c r="CB18" s="55">
        <f>'13'!$BS$12</f>
        <v>0</v>
      </c>
      <c r="CC18" s="55">
        <f>'13'!$BT$12</f>
        <v>0</v>
      </c>
      <c r="CD18" s="55">
        <f>'13'!$BU$12</f>
        <v>0</v>
      </c>
      <c r="CE18" s="55">
        <f>'13'!$BV$12</f>
        <v>0</v>
      </c>
      <c r="CF18" s="55">
        <f>'13'!$BW$12</f>
        <v>0</v>
      </c>
      <c r="CG18" s="55">
        <f>'13'!$BX$12</f>
        <v>0</v>
      </c>
      <c r="CH18" s="55">
        <f>'13'!$BY$12</f>
        <v>0</v>
      </c>
      <c r="CI18" s="55">
        <f>'13'!$BN$13</f>
        <v>0</v>
      </c>
      <c r="CJ18" s="55">
        <f>'13'!$BO$13</f>
        <v>0</v>
      </c>
      <c r="CK18" s="55">
        <f>'13'!$BP$13</f>
        <v>0</v>
      </c>
      <c r="CL18" s="55">
        <f>'13'!$BQ$13</f>
        <v>0</v>
      </c>
      <c r="CM18" s="55">
        <f>'13'!$BR$13</f>
        <v>0</v>
      </c>
      <c r="CN18" s="55">
        <f>'13'!$BS$13</f>
        <v>0</v>
      </c>
      <c r="CO18" s="55">
        <f>'13'!$BT$13</f>
        <v>0</v>
      </c>
      <c r="CP18" s="55">
        <f>'13'!$BU$13</f>
        <v>0</v>
      </c>
      <c r="CQ18" s="55">
        <f>'13'!$BV$13</f>
        <v>0</v>
      </c>
      <c r="CR18" s="55">
        <f>'13'!$BW$13</f>
        <v>0</v>
      </c>
      <c r="CS18" s="55">
        <f>'13'!$BX$13</f>
        <v>0</v>
      </c>
      <c r="CT18" s="55">
        <f>'13'!$BY$13</f>
        <v>0</v>
      </c>
      <c r="CU18" s="55">
        <f>'13'!$BN$14</f>
        <v>0</v>
      </c>
      <c r="CV18" s="55">
        <f>'13'!$BO$14</f>
        <v>0</v>
      </c>
      <c r="CW18" s="55">
        <f>'13'!$BP$14</f>
        <v>0</v>
      </c>
      <c r="CX18" s="55">
        <f>'13'!$BQ$14</f>
        <v>0</v>
      </c>
      <c r="CY18" s="55">
        <f>'13'!$BR$14</f>
        <v>0</v>
      </c>
      <c r="CZ18" s="55">
        <f>'13'!$BS$14</f>
        <v>0</v>
      </c>
      <c r="DA18" s="55">
        <f>'13'!$BT$14</f>
        <v>0</v>
      </c>
      <c r="DB18" s="55">
        <f>'13'!$BU$14</f>
        <v>0</v>
      </c>
      <c r="DC18" s="55">
        <f>'13'!$BV$14</f>
        <v>0</v>
      </c>
      <c r="DD18" s="55">
        <f>'13'!$BW$14</f>
        <v>0</v>
      </c>
      <c r="DE18" s="55">
        <f>'13'!$BX$14</f>
        <v>0</v>
      </c>
      <c r="DF18" s="55">
        <f>'13'!$BY$14</f>
        <v>0</v>
      </c>
      <c r="DG18" s="55">
        <f>'13'!$BN$15</f>
        <v>0</v>
      </c>
      <c r="DH18" s="55">
        <f>'13'!$BO$15</f>
        <v>0</v>
      </c>
      <c r="DI18" s="55">
        <f>'13'!$BP$15</f>
        <v>0</v>
      </c>
      <c r="DJ18" s="55">
        <f>'13'!$BQ$15</f>
        <v>0</v>
      </c>
      <c r="DK18" s="55">
        <f>'13'!$BR$15</f>
        <v>0</v>
      </c>
      <c r="DL18" s="55">
        <f>'13'!$BS$15</f>
        <v>0</v>
      </c>
      <c r="DM18" s="55">
        <f>'13'!$BT$15</f>
        <v>0</v>
      </c>
      <c r="DN18" s="55">
        <f>'13'!$BU$15</f>
        <v>0</v>
      </c>
      <c r="DO18" s="55">
        <f>'13'!$BV$15</f>
        <v>0</v>
      </c>
      <c r="DP18" s="55">
        <f>'13'!$BW$15</f>
        <v>0</v>
      </c>
      <c r="DQ18" s="55">
        <f>'13'!$BX$15</f>
        <v>0</v>
      </c>
      <c r="DR18" s="55">
        <f>'13'!$BY$15</f>
        <v>0</v>
      </c>
      <c r="DS18" s="55">
        <f>'13'!$BN$16</f>
        <v>0</v>
      </c>
      <c r="DT18" s="55">
        <f>'13'!$BO$16</f>
        <v>0</v>
      </c>
      <c r="DU18" s="55">
        <f>'13'!$BP$16</f>
        <v>0</v>
      </c>
      <c r="DV18" s="55">
        <f>'13'!$BQ$16</f>
        <v>0</v>
      </c>
      <c r="DW18" s="55">
        <f>'13'!$BR$16</f>
        <v>0</v>
      </c>
      <c r="DX18" s="55">
        <f>'13'!$BS$16</f>
        <v>0</v>
      </c>
      <c r="DY18" s="55">
        <f>'13'!$BT$16</f>
        <v>0</v>
      </c>
      <c r="DZ18" s="55">
        <f>'13'!$BU$16</f>
        <v>0</v>
      </c>
      <c r="EA18" s="55">
        <f>'13'!$BV$16</f>
        <v>0</v>
      </c>
      <c r="EB18" s="55">
        <f>'13'!$BW$16</f>
        <v>0</v>
      </c>
      <c r="EC18" s="55">
        <f>'13'!$BX$16</f>
        <v>0</v>
      </c>
      <c r="ED18" s="55">
        <f>'13'!$BY$16</f>
        <v>0</v>
      </c>
      <c r="EE18" s="55">
        <f>'13'!$BN$17</f>
        <v>0</v>
      </c>
      <c r="EF18" s="55">
        <f>'13'!$BO$17</f>
        <v>0</v>
      </c>
      <c r="EG18" s="55">
        <f>'13'!$BP$17</f>
        <v>0</v>
      </c>
      <c r="EH18" s="55">
        <f>'13'!$BQ$17</f>
        <v>0</v>
      </c>
      <c r="EI18" s="55">
        <f>'13'!$BR$17</f>
        <v>0</v>
      </c>
      <c r="EJ18" s="55">
        <f>'13'!$BS$17</f>
        <v>0</v>
      </c>
      <c r="EK18" s="55">
        <f>'13'!$BT$17</f>
        <v>0</v>
      </c>
      <c r="EL18" s="55">
        <f>'13'!$BU$17</f>
        <v>0</v>
      </c>
      <c r="EM18" s="55">
        <f>'13'!$BV$17</f>
        <v>0</v>
      </c>
      <c r="EN18" s="55">
        <f>'13'!$BW$17</f>
        <v>0</v>
      </c>
      <c r="EO18" s="55">
        <f>'13'!$BX$17</f>
        <v>0</v>
      </c>
      <c r="EP18" s="55">
        <f>'13'!$BY$17</f>
        <v>0</v>
      </c>
      <c r="EQ18" s="55">
        <f>'13'!$BN$18</f>
        <v>0</v>
      </c>
      <c r="ER18" s="55">
        <f>'13'!$BO$18</f>
        <v>0</v>
      </c>
      <c r="ES18" s="55">
        <f>'13'!$BP$18</f>
        <v>0</v>
      </c>
      <c r="ET18" s="55">
        <f>'13'!$BQ$18</f>
        <v>0</v>
      </c>
      <c r="EU18" s="55">
        <f>'13'!$BR$18</f>
        <v>0</v>
      </c>
      <c r="EV18" s="55">
        <f>'13'!$BS$18</f>
        <v>0</v>
      </c>
      <c r="EW18" s="55">
        <f>'13'!$BT$18</f>
        <v>0</v>
      </c>
      <c r="EX18" s="55">
        <f>'13'!$BU$18</f>
        <v>0</v>
      </c>
      <c r="EY18" s="55">
        <f>'13'!$BV$18</f>
        <v>0</v>
      </c>
      <c r="EZ18" s="55">
        <f>'13'!$BW$18</f>
        <v>0</v>
      </c>
      <c r="FA18" s="55">
        <f>'13'!$BX$18</f>
        <v>0</v>
      </c>
      <c r="FB18" s="55">
        <f>'13'!$BY$18</f>
        <v>0</v>
      </c>
      <c r="FC18" s="55">
        <f>'13'!$BN$19</f>
        <v>0</v>
      </c>
      <c r="FD18" s="55">
        <f>'13'!$BO$19</f>
        <v>0</v>
      </c>
      <c r="FE18" s="55">
        <f>'13'!$BP$19</f>
        <v>0</v>
      </c>
      <c r="FF18" s="55">
        <f>'13'!$BQ$19</f>
        <v>0</v>
      </c>
      <c r="FG18" s="55">
        <f>'13'!$BR$19</f>
        <v>0</v>
      </c>
      <c r="FH18" s="55">
        <f>'13'!$BS$19</f>
        <v>0</v>
      </c>
      <c r="FI18" s="55">
        <f>'13'!$BT$19</f>
        <v>0</v>
      </c>
      <c r="FJ18" s="55">
        <f>'13'!$BU$19</f>
        <v>0</v>
      </c>
      <c r="FK18" s="55">
        <f>'13'!$BV$19</f>
        <v>0</v>
      </c>
      <c r="FL18" s="55">
        <f>'13'!$BW$19</f>
        <v>0</v>
      </c>
      <c r="FM18" s="55">
        <f>'13'!$BX$19</f>
        <v>0</v>
      </c>
      <c r="FN18" s="55">
        <f>'13'!$BY$19</f>
        <v>0</v>
      </c>
      <c r="FO18" s="55">
        <f>'13'!$BN$20</f>
        <v>0</v>
      </c>
      <c r="FP18" s="55">
        <f>'13'!$BO$20</f>
        <v>0</v>
      </c>
      <c r="FQ18" s="55">
        <f>'13'!$BP$20</f>
        <v>0</v>
      </c>
      <c r="FR18" s="55">
        <f>'13'!$BQ$20</f>
        <v>0</v>
      </c>
      <c r="FS18" s="55">
        <f>'13'!$BR$20</f>
        <v>0</v>
      </c>
      <c r="FT18" s="55">
        <f>'13'!$BS$20</f>
        <v>0</v>
      </c>
      <c r="FU18" s="55">
        <f>'13'!$BT$20</f>
        <v>0</v>
      </c>
      <c r="FV18" s="55">
        <f>'13'!$BU$20</f>
        <v>0</v>
      </c>
      <c r="FW18" s="55">
        <f>'13'!$BV$20</f>
        <v>0</v>
      </c>
      <c r="FX18" s="55">
        <f>'13'!$BW$20</f>
        <v>0</v>
      </c>
      <c r="FY18" s="55">
        <f>'13'!$BX$20</f>
        <v>0</v>
      </c>
      <c r="FZ18" s="55">
        <f>'13'!$BY$20</f>
        <v>0</v>
      </c>
      <c r="GA18" s="55">
        <f>'13'!$BN$21</f>
        <v>0</v>
      </c>
      <c r="GB18" s="55">
        <f>'13'!$BO$21</f>
        <v>0</v>
      </c>
      <c r="GC18" s="55">
        <f>'13'!$BP$21</f>
        <v>0</v>
      </c>
      <c r="GD18" s="55">
        <f>'13'!$BQ$21</f>
        <v>0</v>
      </c>
      <c r="GE18" s="55">
        <f>'13'!$BR$21</f>
        <v>0</v>
      </c>
      <c r="GF18" s="55">
        <f>'13'!$BS$21</f>
        <v>0</v>
      </c>
      <c r="GG18" s="55">
        <f>'13'!$BT$21</f>
        <v>0</v>
      </c>
      <c r="GH18" s="55">
        <f>'13'!$BU$21</f>
        <v>0</v>
      </c>
      <c r="GI18" s="55">
        <f>'13'!$BV$21</f>
        <v>0</v>
      </c>
      <c r="GJ18" s="55">
        <f>'13'!$BW$21</f>
        <v>0</v>
      </c>
      <c r="GK18" s="55">
        <f>'13'!$BX$21</f>
        <v>0</v>
      </c>
      <c r="GL18" s="55">
        <f>'13'!$BY$21</f>
        <v>0</v>
      </c>
      <c r="GM18" s="55">
        <f>'13'!$BN$22</f>
        <v>0</v>
      </c>
      <c r="GN18" s="55">
        <f>'13'!$BO$22</f>
        <v>0</v>
      </c>
      <c r="GO18" s="55">
        <f>'13'!$BP$22</f>
        <v>0</v>
      </c>
      <c r="GP18" s="55">
        <f>'13'!$BQ$22</f>
        <v>0</v>
      </c>
      <c r="GQ18" s="55">
        <f>'13'!$BR$22</f>
        <v>0</v>
      </c>
      <c r="GR18" s="55">
        <f>'13'!$BS$22</f>
        <v>0</v>
      </c>
      <c r="GS18" s="55">
        <f>'13'!$BT$22</f>
        <v>0</v>
      </c>
      <c r="GT18" s="55">
        <f>'13'!$BU$22</f>
        <v>0</v>
      </c>
      <c r="GU18" s="55">
        <f>'13'!$BV$22</f>
        <v>0</v>
      </c>
      <c r="GV18" s="55">
        <f>'13'!$BW$22</f>
        <v>0</v>
      </c>
      <c r="GW18" s="55">
        <f>'13'!$BX$22</f>
        <v>0</v>
      </c>
      <c r="GX18" s="55">
        <f>'13'!$BY$22</f>
        <v>0</v>
      </c>
      <c r="GY18" s="55">
        <f>'13'!$BN$23</f>
        <v>0</v>
      </c>
      <c r="GZ18" s="55">
        <f>'13'!$BO$23</f>
        <v>0</v>
      </c>
      <c r="HA18" s="55">
        <f>'13'!$BP$23</f>
        <v>0</v>
      </c>
      <c r="HB18" s="55">
        <f>'13'!$BQ$23</f>
        <v>0</v>
      </c>
      <c r="HC18" s="55">
        <f>'13'!$BR$23</f>
        <v>0</v>
      </c>
      <c r="HD18" s="55">
        <f>'13'!$BS$23</f>
        <v>0</v>
      </c>
      <c r="HE18" s="55">
        <f>'13'!$BT$23</f>
        <v>0</v>
      </c>
      <c r="HF18" s="55">
        <f>'13'!$BU$23</f>
        <v>0</v>
      </c>
      <c r="HG18" s="55">
        <f>'13'!$BV$23</f>
        <v>0</v>
      </c>
      <c r="HH18" s="55">
        <f>'13'!$BW$23</f>
        <v>0</v>
      </c>
      <c r="HI18" s="55">
        <f>'13'!$BX$23</f>
        <v>0</v>
      </c>
      <c r="HJ18" s="55">
        <f>'13'!$BY$23</f>
        <v>0</v>
      </c>
      <c r="HK18" s="55">
        <f>'13'!$BN$24</f>
        <v>0</v>
      </c>
      <c r="HL18" s="55">
        <f>'13'!$BO$24</f>
        <v>0</v>
      </c>
      <c r="HM18" s="55">
        <f>'13'!$BP$24</f>
        <v>0</v>
      </c>
      <c r="HN18" s="55">
        <f>'13'!$BQ$24</f>
        <v>0</v>
      </c>
      <c r="HO18" s="55">
        <f>'13'!$BR$24</f>
        <v>0</v>
      </c>
      <c r="HP18" s="55">
        <f>'13'!$BS$24</f>
        <v>0</v>
      </c>
      <c r="HQ18" s="55">
        <f>'13'!$BT$24</f>
        <v>0</v>
      </c>
      <c r="HR18" s="55">
        <f>'13'!$BU$24</f>
        <v>0</v>
      </c>
      <c r="HS18" s="55">
        <f>'13'!$BV$24</f>
        <v>0</v>
      </c>
      <c r="HT18" s="55">
        <f>'13'!$BW$24</f>
        <v>0</v>
      </c>
      <c r="HU18" s="55">
        <f>'13'!$BX$24</f>
        <v>0</v>
      </c>
      <c r="HV18" s="55">
        <f>'13'!$BY$24</f>
        <v>0</v>
      </c>
      <c r="HW18" s="55">
        <f>'13'!$BN$25</f>
        <v>0</v>
      </c>
      <c r="HX18" s="55">
        <f>'13'!$BO$25</f>
        <v>0</v>
      </c>
      <c r="HY18" s="55">
        <f>'13'!$BP$25</f>
        <v>0</v>
      </c>
      <c r="HZ18" s="55">
        <f>'13'!$BQ$25</f>
        <v>0</v>
      </c>
      <c r="IA18" s="55">
        <f>'13'!$BR$25</f>
        <v>0</v>
      </c>
      <c r="IB18" s="55">
        <f>'13'!$BS$25</f>
        <v>0</v>
      </c>
      <c r="IC18" s="55">
        <f>'13'!$BT$25</f>
        <v>0</v>
      </c>
      <c r="ID18" s="55">
        <f>'13'!$BU$25</f>
        <v>0</v>
      </c>
      <c r="IE18" s="55">
        <f>'13'!$BV$25</f>
        <v>0</v>
      </c>
      <c r="IF18" s="55">
        <f>'13'!$BW$25</f>
        <v>0</v>
      </c>
      <c r="IG18" s="55">
        <f>'13'!$BX$25</f>
        <v>0</v>
      </c>
      <c r="IH18" s="55">
        <f>'13'!$BY$25</f>
        <v>0</v>
      </c>
      <c r="II18" s="55">
        <f>'13'!$BN$26</f>
        <v>0</v>
      </c>
      <c r="IJ18" s="55">
        <f>'13'!$BO$26</f>
        <v>0</v>
      </c>
      <c r="IK18" s="55">
        <f>'13'!$BP$26</f>
        <v>0</v>
      </c>
      <c r="IL18" s="55">
        <f>'13'!$BQ$26</f>
        <v>0</v>
      </c>
      <c r="IM18" s="55">
        <f>'13'!$BR$26</f>
        <v>0</v>
      </c>
      <c r="IN18" s="55">
        <f>'13'!$BS$26</f>
        <v>0</v>
      </c>
      <c r="IO18" s="55">
        <f>'13'!$BT$26</f>
        <v>0</v>
      </c>
      <c r="IP18" s="55">
        <f>'13'!$BU$26</f>
        <v>0</v>
      </c>
      <c r="IQ18" s="55">
        <f>'13'!$BV$26</f>
        <v>0</v>
      </c>
      <c r="IR18" s="55">
        <f>'13'!$BW$26</f>
        <v>0</v>
      </c>
      <c r="IS18" s="55">
        <f>'13'!$BX$26</f>
        <v>0</v>
      </c>
      <c r="IT18" s="55">
        <f>'13'!$BY$26</f>
        <v>0</v>
      </c>
      <c r="IU18" s="55">
        <f>'13'!$BN$27</f>
        <v>0</v>
      </c>
      <c r="IV18" s="55">
        <f>'13'!$BO$27</f>
        <v>0</v>
      </c>
      <c r="IW18" s="55">
        <f>'13'!$BP$27</f>
        <v>0</v>
      </c>
      <c r="IX18" s="55">
        <f>'13'!$BQ$27</f>
        <v>0</v>
      </c>
      <c r="IY18" s="55">
        <f>'13'!$BR$27</f>
        <v>0</v>
      </c>
      <c r="IZ18" s="55">
        <f>'13'!$BS$27</f>
        <v>0</v>
      </c>
      <c r="JA18" s="55">
        <f>'13'!$BT$27</f>
        <v>0</v>
      </c>
      <c r="JB18" s="55">
        <f>'13'!$BU$27</f>
        <v>0</v>
      </c>
      <c r="JC18" s="55">
        <f>'13'!$BV$27</f>
        <v>0</v>
      </c>
      <c r="JD18" s="55">
        <f>'13'!$BW$27</f>
        <v>0</v>
      </c>
      <c r="JE18" s="55">
        <f>'13'!$BX$27</f>
        <v>0</v>
      </c>
      <c r="JF18" s="55">
        <f>'13'!$BY$27</f>
        <v>0</v>
      </c>
      <c r="JG18" s="55">
        <f>'13'!$BN$28</f>
        <v>0</v>
      </c>
      <c r="JH18" s="55">
        <f>'13'!$BO$28</f>
        <v>0</v>
      </c>
      <c r="JI18" s="55">
        <f>'13'!$BP$28</f>
        <v>0</v>
      </c>
      <c r="JJ18" s="55">
        <f>'13'!$BQ$28</f>
        <v>0</v>
      </c>
      <c r="JK18" s="55">
        <f>'13'!$BR$28</f>
        <v>0</v>
      </c>
      <c r="JL18" s="55">
        <f>'13'!$BS$28</f>
        <v>0</v>
      </c>
      <c r="JM18" s="55">
        <f>'13'!$BT$28</f>
        <v>0</v>
      </c>
      <c r="JN18" s="55">
        <f>'13'!$BU$28</f>
        <v>0</v>
      </c>
      <c r="JO18" s="55">
        <f>'13'!$BV$28</f>
        <v>0</v>
      </c>
      <c r="JP18" s="55">
        <f>'13'!$BW$28</f>
        <v>0</v>
      </c>
      <c r="JQ18" s="55">
        <f>'13'!$BX$28</f>
        <v>0</v>
      </c>
      <c r="JR18" s="55">
        <f>'13'!$BY$28</f>
        <v>0</v>
      </c>
      <c r="JS18" s="55">
        <f>'13'!$BN$29</f>
        <v>0</v>
      </c>
      <c r="JT18" s="55">
        <f>'13'!$BO$29</f>
        <v>0</v>
      </c>
      <c r="JU18" s="55">
        <f>'13'!$BP$29</f>
        <v>0</v>
      </c>
      <c r="JV18" s="55">
        <f>'13'!$BQ$29</f>
        <v>0</v>
      </c>
      <c r="JW18" s="55">
        <f>'13'!$BR$29</f>
        <v>0</v>
      </c>
      <c r="JX18" s="55">
        <f>'13'!$BS$29</f>
        <v>0</v>
      </c>
      <c r="JY18" s="55">
        <f>'13'!$BT$29</f>
        <v>0</v>
      </c>
      <c r="JZ18" s="55">
        <f>'13'!$BU$29</f>
        <v>0</v>
      </c>
      <c r="KA18" s="55">
        <f>'13'!$BV$29</f>
        <v>0</v>
      </c>
      <c r="KB18" s="55">
        <f>'13'!$BW$29</f>
        <v>0</v>
      </c>
      <c r="KC18" s="55">
        <f>'13'!$BX$29</f>
        <v>0</v>
      </c>
      <c r="KD18" s="55">
        <f>'13'!$BY$29</f>
        <v>0</v>
      </c>
    </row>
    <row r="19" spans="1:290" ht="15" x14ac:dyDescent="0.25">
      <c r="A19" s="50">
        <v>46187</v>
      </c>
      <c r="B19" s="52"/>
      <c r="C19" s="55">
        <f>'14'!$BN$6</f>
        <v>0</v>
      </c>
      <c r="D19" s="55">
        <f>'14'!$BO$6</f>
        <v>0</v>
      </c>
      <c r="E19" s="55">
        <f>'14'!$BP$6</f>
        <v>0</v>
      </c>
      <c r="F19" s="55">
        <f>'14'!$BQ$6</f>
        <v>0</v>
      </c>
      <c r="G19" s="55">
        <f>'14'!$BR$6</f>
        <v>0</v>
      </c>
      <c r="H19" s="55">
        <f>'14'!$BS$6</f>
        <v>0</v>
      </c>
      <c r="I19" s="55">
        <f>'14'!$BT$6</f>
        <v>0</v>
      </c>
      <c r="J19" s="55">
        <f>'14'!$BU$6</f>
        <v>0</v>
      </c>
      <c r="K19" s="55">
        <f>'14'!$BV$6</f>
        <v>0</v>
      </c>
      <c r="L19" s="55">
        <f>'14'!$BW$6</f>
        <v>0</v>
      </c>
      <c r="M19" s="55">
        <f>'14'!$BX$6</f>
        <v>0</v>
      </c>
      <c r="N19" s="55">
        <f>'14'!$BY$6</f>
        <v>0</v>
      </c>
      <c r="O19" s="55">
        <f>'14'!$BN$7</f>
        <v>0</v>
      </c>
      <c r="P19" s="55">
        <f>'14'!$BO$7</f>
        <v>0</v>
      </c>
      <c r="Q19" s="55">
        <f>'14'!$BP$7</f>
        <v>0</v>
      </c>
      <c r="R19" s="55">
        <f>'14'!$BQ$7</f>
        <v>0</v>
      </c>
      <c r="S19" s="55">
        <f>'14'!$BR$7</f>
        <v>0</v>
      </c>
      <c r="T19" s="55">
        <f>'14'!$BS$7</f>
        <v>0</v>
      </c>
      <c r="U19" s="55">
        <f>'14'!$BT$7</f>
        <v>0</v>
      </c>
      <c r="V19" s="55">
        <f>'14'!$BU$7</f>
        <v>0</v>
      </c>
      <c r="W19" s="55">
        <f>'14'!$BV$7</f>
        <v>0</v>
      </c>
      <c r="X19" s="55">
        <f>'14'!$BW$7</f>
        <v>0</v>
      </c>
      <c r="Y19" s="55">
        <f>'14'!$BX$7</f>
        <v>0</v>
      </c>
      <c r="Z19" s="55">
        <f>'14'!$BY$7</f>
        <v>0</v>
      </c>
      <c r="AA19" s="55">
        <f>'14'!$BN$8</f>
        <v>0</v>
      </c>
      <c r="AB19" s="55">
        <f>'14'!$BO$8</f>
        <v>0</v>
      </c>
      <c r="AC19" s="55">
        <f>'14'!$BP$8</f>
        <v>0</v>
      </c>
      <c r="AD19" s="55">
        <f>'14'!$BQ$8</f>
        <v>0</v>
      </c>
      <c r="AE19" s="55">
        <f>'14'!$BR$8</f>
        <v>0</v>
      </c>
      <c r="AF19" s="55">
        <f>'14'!$BS$8</f>
        <v>0</v>
      </c>
      <c r="AG19" s="55">
        <f>'14'!$BT$8</f>
        <v>0</v>
      </c>
      <c r="AH19" s="55">
        <f>'14'!$BU$8</f>
        <v>0</v>
      </c>
      <c r="AI19" s="55">
        <f>'14'!$BV$8</f>
        <v>0</v>
      </c>
      <c r="AJ19" s="55">
        <f>'14'!$BW$8</f>
        <v>0</v>
      </c>
      <c r="AK19" s="55">
        <f>'14'!$BX$8</f>
        <v>0</v>
      </c>
      <c r="AL19" s="55">
        <f>'14'!$BY$8</f>
        <v>0</v>
      </c>
      <c r="AM19" s="55">
        <f>'14'!$BN$9</f>
        <v>0</v>
      </c>
      <c r="AN19" s="55">
        <f>'14'!$BO$9</f>
        <v>0</v>
      </c>
      <c r="AO19" s="55">
        <f>'14'!$BP$9</f>
        <v>0</v>
      </c>
      <c r="AP19" s="55">
        <f>'14'!$BQ$9</f>
        <v>0</v>
      </c>
      <c r="AQ19" s="55">
        <f>'14'!$BR$9</f>
        <v>0</v>
      </c>
      <c r="AR19" s="55">
        <f>'14'!$BS$9</f>
        <v>0</v>
      </c>
      <c r="AS19" s="55">
        <f>'14'!$BT$9</f>
        <v>0</v>
      </c>
      <c r="AT19" s="55">
        <f>'14'!$BU$9</f>
        <v>0</v>
      </c>
      <c r="AU19" s="55">
        <f>'14'!$BV$9</f>
        <v>0</v>
      </c>
      <c r="AV19" s="55">
        <f>'14'!$BW$9</f>
        <v>0</v>
      </c>
      <c r="AW19" s="55">
        <f>'14'!$BX$9</f>
        <v>0</v>
      </c>
      <c r="AX19" s="55">
        <f>'14'!$BY$9</f>
        <v>0</v>
      </c>
      <c r="AY19" s="55">
        <f>'14'!$BN$10</f>
        <v>0</v>
      </c>
      <c r="AZ19" s="55">
        <f>'14'!$BO$10</f>
        <v>0</v>
      </c>
      <c r="BA19" s="55">
        <f>'14'!$BP$10</f>
        <v>0</v>
      </c>
      <c r="BB19" s="55">
        <f>'14'!$BQ$10</f>
        <v>0</v>
      </c>
      <c r="BC19" s="55">
        <f>'14'!$BR$10</f>
        <v>0</v>
      </c>
      <c r="BD19" s="55">
        <f>'14'!$BS$10</f>
        <v>0</v>
      </c>
      <c r="BE19" s="55">
        <f>'14'!$BT$10</f>
        <v>0</v>
      </c>
      <c r="BF19" s="55">
        <f>'14'!$BU$10</f>
        <v>0</v>
      </c>
      <c r="BG19" s="55">
        <f>'14'!$BV$10</f>
        <v>0</v>
      </c>
      <c r="BH19" s="55">
        <f>'14'!$BW$10</f>
        <v>0</v>
      </c>
      <c r="BI19" s="55">
        <f>'14'!$BX$10</f>
        <v>0</v>
      </c>
      <c r="BJ19" s="55">
        <f>'14'!$BY$10</f>
        <v>0</v>
      </c>
      <c r="BK19" s="55">
        <f>'14'!$BN$11</f>
        <v>0</v>
      </c>
      <c r="BL19" s="55">
        <f>'14'!$BO$11</f>
        <v>0</v>
      </c>
      <c r="BM19" s="55">
        <f>'14'!$BP$11</f>
        <v>0</v>
      </c>
      <c r="BN19" s="55">
        <f>'14'!$BQ$11</f>
        <v>0</v>
      </c>
      <c r="BO19" s="55">
        <f>'14'!$BR$11</f>
        <v>0</v>
      </c>
      <c r="BP19" s="55">
        <f>'14'!$BS$11</f>
        <v>0</v>
      </c>
      <c r="BQ19" s="55">
        <f>'14'!$BT$11</f>
        <v>0</v>
      </c>
      <c r="BR19" s="55">
        <f>'14'!$BU$11</f>
        <v>0</v>
      </c>
      <c r="BS19" s="55">
        <f>'14'!$BV$11</f>
        <v>0</v>
      </c>
      <c r="BT19" s="55">
        <f>'14'!$BW$11</f>
        <v>0</v>
      </c>
      <c r="BU19" s="55">
        <f>'14'!$BX$11</f>
        <v>0</v>
      </c>
      <c r="BV19" s="55">
        <f>'14'!$BY$11</f>
        <v>0</v>
      </c>
      <c r="BW19" s="55">
        <f>'14'!$BN$12</f>
        <v>0</v>
      </c>
      <c r="BX19" s="55">
        <f>'14'!$BO$12</f>
        <v>0</v>
      </c>
      <c r="BY19" s="55">
        <f>'14'!$BP$12</f>
        <v>0</v>
      </c>
      <c r="BZ19" s="55">
        <f>'14'!$BQ$12</f>
        <v>0</v>
      </c>
      <c r="CA19" s="55">
        <f>'14'!$BR$12</f>
        <v>0</v>
      </c>
      <c r="CB19" s="55">
        <f>'14'!$BS$12</f>
        <v>0</v>
      </c>
      <c r="CC19" s="55">
        <f>'14'!$BT$12</f>
        <v>0</v>
      </c>
      <c r="CD19" s="55">
        <f>'14'!$BU$12</f>
        <v>0</v>
      </c>
      <c r="CE19" s="55">
        <f>'14'!$BV$12</f>
        <v>0</v>
      </c>
      <c r="CF19" s="55">
        <f>'14'!$BW$12</f>
        <v>0</v>
      </c>
      <c r="CG19" s="55">
        <f>'14'!$BX$12</f>
        <v>0</v>
      </c>
      <c r="CH19" s="55">
        <f>'14'!$BY$12</f>
        <v>0</v>
      </c>
      <c r="CI19" s="55">
        <f>'14'!$BN$13</f>
        <v>0</v>
      </c>
      <c r="CJ19" s="55">
        <f>'14'!$BO$13</f>
        <v>0</v>
      </c>
      <c r="CK19" s="55">
        <f>'14'!$BP$13</f>
        <v>0</v>
      </c>
      <c r="CL19" s="55">
        <f>'14'!$BQ$13</f>
        <v>0</v>
      </c>
      <c r="CM19" s="55">
        <f>'14'!$BR$13</f>
        <v>0</v>
      </c>
      <c r="CN19" s="55">
        <f>'14'!$BS$13</f>
        <v>0</v>
      </c>
      <c r="CO19" s="55">
        <f>'14'!$BT$13</f>
        <v>0</v>
      </c>
      <c r="CP19" s="55">
        <f>'14'!$BU$13</f>
        <v>0</v>
      </c>
      <c r="CQ19" s="55">
        <f>'14'!$BV$13</f>
        <v>0</v>
      </c>
      <c r="CR19" s="55">
        <f>'14'!$BW$13</f>
        <v>0</v>
      </c>
      <c r="CS19" s="55">
        <f>'14'!$BX$13</f>
        <v>0</v>
      </c>
      <c r="CT19" s="55">
        <f>'14'!$BY$13</f>
        <v>0</v>
      </c>
      <c r="CU19" s="55">
        <f>'14'!$BN$14</f>
        <v>0</v>
      </c>
      <c r="CV19" s="55">
        <f>'14'!$BO$14</f>
        <v>0</v>
      </c>
      <c r="CW19" s="55">
        <f>'14'!$BP$14</f>
        <v>0</v>
      </c>
      <c r="CX19" s="55">
        <f>'14'!$BQ$14</f>
        <v>0</v>
      </c>
      <c r="CY19" s="55">
        <f>'14'!$BR$14</f>
        <v>0</v>
      </c>
      <c r="CZ19" s="55">
        <f>'14'!$BS$14</f>
        <v>0</v>
      </c>
      <c r="DA19" s="55">
        <f>'14'!$BT$14</f>
        <v>0</v>
      </c>
      <c r="DB19" s="55">
        <f>'14'!$BU$14</f>
        <v>0</v>
      </c>
      <c r="DC19" s="55">
        <f>'14'!$BV$14</f>
        <v>0</v>
      </c>
      <c r="DD19" s="55">
        <f>'14'!$BW$14</f>
        <v>0</v>
      </c>
      <c r="DE19" s="55">
        <f>'14'!$BX$14</f>
        <v>0</v>
      </c>
      <c r="DF19" s="55">
        <f>'14'!$BY$14</f>
        <v>0</v>
      </c>
      <c r="DG19" s="55">
        <f>'14'!$BN$15</f>
        <v>0</v>
      </c>
      <c r="DH19" s="55">
        <f>'14'!$BO$15</f>
        <v>0</v>
      </c>
      <c r="DI19" s="55">
        <f>'14'!$BP$15</f>
        <v>0</v>
      </c>
      <c r="DJ19" s="55">
        <f>'14'!$BQ$15</f>
        <v>0</v>
      </c>
      <c r="DK19" s="55">
        <f>'14'!$BR$15</f>
        <v>0</v>
      </c>
      <c r="DL19" s="55">
        <f>'14'!$BS$15</f>
        <v>0</v>
      </c>
      <c r="DM19" s="55">
        <f>'14'!$BT$15</f>
        <v>0</v>
      </c>
      <c r="DN19" s="55">
        <f>'14'!$BU$15</f>
        <v>0</v>
      </c>
      <c r="DO19" s="55">
        <f>'14'!$BV$15</f>
        <v>0</v>
      </c>
      <c r="DP19" s="55">
        <f>'14'!$BW$15</f>
        <v>0</v>
      </c>
      <c r="DQ19" s="55">
        <f>'14'!$BX$15</f>
        <v>0</v>
      </c>
      <c r="DR19" s="55">
        <f>'14'!$BY$15</f>
        <v>0</v>
      </c>
      <c r="DS19" s="55">
        <f>'14'!$BN$16</f>
        <v>0</v>
      </c>
      <c r="DT19" s="55">
        <f>'14'!$BO$16</f>
        <v>0</v>
      </c>
      <c r="DU19" s="55">
        <f>'14'!$BP$16</f>
        <v>0</v>
      </c>
      <c r="DV19" s="55">
        <f>'14'!$BQ$16</f>
        <v>0</v>
      </c>
      <c r="DW19" s="55">
        <f>'14'!$BR$16</f>
        <v>0</v>
      </c>
      <c r="DX19" s="55">
        <f>'14'!$BS$16</f>
        <v>0</v>
      </c>
      <c r="DY19" s="55">
        <f>'14'!$BT$16</f>
        <v>0</v>
      </c>
      <c r="DZ19" s="55">
        <f>'14'!$BU$16</f>
        <v>0</v>
      </c>
      <c r="EA19" s="55">
        <f>'14'!$BV$16</f>
        <v>0</v>
      </c>
      <c r="EB19" s="55">
        <f>'14'!$BW$16</f>
        <v>0</v>
      </c>
      <c r="EC19" s="55">
        <f>'14'!$BX$16</f>
        <v>0</v>
      </c>
      <c r="ED19" s="55">
        <f>'14'!$BY$16</f>
        <v>0</v>
      </c>
      <c r="EE19" s="55">
        <f>'14'!$BN$17</f>
        <v>0</v>
      </c>
      <c r="EF19" s="55">
        <f>'14'!$BO$17</f>
        <v>0</v>
      </c>
      <c r="EG19" s="55">
        <f>'14'!$BP$17</f>
        <v>0</v>
      </c>
      <c r="EH19" s="55">
        <f>'14'!$BQ$17</f>
        <v>0</v>
      </c>
      <c r="EI19" s="55">
        <f>'14'!$BR$17</f>
        <v>0</v>
      </c>
      <c r="EJ19" s="55">
        <f>'14'!$BS$17</f>
        <v>0</v>
      </c>
      <c r="EK19" s="55">
        <f>'14'!$BT$17</f>
        <v>0</v>
      </c>
      <c r="EL19" s="55">
        <f>'14'!$BU$17</f>
        <v>0</v>
      </c>
      <c r="EM19" s="55">
        <f>'14'!$BV$17</f>
        <v>0</v>
      </c>
      <c r="EN19" s="55">
        <f>'14'!$BW$17</f>
        <v>0</v>
      </c>
      <c r="EO19" s="55">
        <f>'14'!$BX$17</f>
        <v>0</v>
      </c>
      <c r="EP19" s="55">
        <f>'14'!$BY$17</f>
        <v>0</v>
      </c>
      <c r="EQ19" s="55">
        <f>'14'!$BN$18</f>
        <v>0</v>
      </c>
      <c r="ER19" s="55">
        <f>'14'!$BO$18</f>
        <v>0</v>
      </c>
      <c r="ES19" s="55">
        <f>'14'!$BP$18</f>
        <v>0</v>
      </c>
      <c r="ET19" s="55">
        <f>'14'!$BQ$18</f>
        <v>0</v>
      </c>
      <c r="EU19" s="55">
        <f>'14'!$BR$18</f>
        <v>0</v>
      </c>
      <c r="EV19" s="55">
        <f>'14'!$BS$18</f>
        <v>0</v>
      </c>
      <c r="EW19" s="55">
        <f>'14'!$BT$18</f>
        <v>0</v>
      </c>
      <c r="EX19" s="55">
        <f>'14'!$BU$18</f>
        <v>0</v>
      </c>
      <c r="EY19" s="55">
        <f>'14'!$BV$18</f>
        <v>0</v>
      </c>
      <c r="EZ19" s="55">
        <f>'14'!$BW$18</f>
        <v>0</v>
      </c>
      <c r="FA19" s="55">
        <f>'14'!$BX$18</f>
        <v>0</v>
      </c>
      <c r="FB19" s="55">
        <f>'14'!$BY$18</f>
        <v>0</v>
      </c>
      <c r="FC19" s="55">
        <f>'14'!$BN$19</f>
        <v>0</v>
      </c>
      <c r="FD19" s="55">
        <f>'14'!$BO$19</f>
        <v>0</v>
      </c>
      <c r="FE19" s="55">
        <f>'14'!$BP$19</f>
        <v>0</v>
      </c>
      <c r="FF19" s="55">
        <f>'14'!$BQ$19</f>
        <v>0</v>
      </c>
      <c r="FG19" s="55">
        <f>'14'!$BR$19</f>
        <v>0</v>
      </c>
      <c r="FH19" s="55">
        <f>'14'!$BS$19</f>
        <v>0</v>
      </c>
      <c r="FI19" s="55">
        <f>'14'!$BT$19</f>
        <v>0</v>
      </c>
      <c r="FJ19" s="55">
        <f>'14'!$BU$19</f>
        <v>0</v>
      </c>
      <c r="FK19" s="55">
        <f>'14'!$BV$19</f>
        <v>0</v>
      </c>
      <c r="FL19" s="55">
        <f>'14'!$BW$19</f>
        <v>0</v>
      </c>
      <c r="FM19" s="55">
        <f>'14'!$BX$19</f>
        <v>0</v>
      </c>
      <c r="FN19" s="55">
        <f>'14'!$BY$19</f>
        <v>0</v>
      </c>
      <c r="FO19" s="55">
        <f>'14'!$BN$20</f>
        <v>0</v>
      </c>
      <c r="FP19" s="55">
        <f>'14'!$BO$20</f>
        <v>0</v>
      </c>
      <c r="FQ19" s="55">
        <f>'14'!$BP$20</f>
        <v>0</v>
      </c>
      <c r="FR19" s="55">
        <f>'14'!$BQ$20</f>
        <v>0</v>
      </c>
      <c r="FS19" s="55">
        <f>'14'!$BR$20</f>
        <v>0</v>
      </c>
      <c r="FT19" s="55">
        <f>'14'!$BS$20</f>
        <v>0</v>
      </c>
      <c r="FU19" s="55">
        <f>'14'!$BT$20</f>
        <v>0</v>
      </c>
      <c r="FV19" s="55">
        <f>'14'!$BU$20</f>
        <v>0</v>
      </c>
      <c r="FW19" s="55">
        <f>'14'!$BV$20</f>
        <v>0</v>
      </c>
      <c r="FX19" s="55">
        <f>'14'!$BW$20</f>
        <v>0</v>
      </c>
      <c r="FY19" s="55">
        <f>'14'!$BX$20</f>
        <v>0</v>
      </c>
      <c r="FZ19" s="55">
        <f>'14'!$BY$20</f>
        <v>0</v>
      </c>
      <c r="GA19" s="55">
        <f>'14'!$BN$21</f>
        <v>0</v>
      </c>
      <c r="GB19" s="55">
        <f>'14'!$BO$21</f>
        <v>0</v>
      </c>
      <c r="GC19" s="55">
        <f>'14'!$BP$21</f>
        <v>0</v>
      </c>
      <c r="GD19" s="55">
        <f>'14'!$BQ$21</f>
        <v>0</v>
      </c>
      <c r="GE19" s="55">
        <f>'14'!$BR$21</f>
        <v>0</v>
      </c>
      <c r="GF19" s="55">
        <f>'14'!$BS$21</f>
        <v>0</v>
      </c>
      <c r="GG19" s="55">
        <f>'14'!$BT$21</f>
        <v>0</v>
      </c>
      <c r="GH19" s="55">
        <f>'14'!$BU$21</f>
        <v>0</v>
      </c>
      <c r="GI19" s="55">
        <f>'14'!$BV$21</f>
        <v>0</v>
      </c>
      <c r="GJ19" s="55">
        <f>'14'!$BW$21</f>
        <v>0</v>
      </c>
      <c r="GK19" s="55">
        <f>'14'!$BX$21</f>
        <v>0</v>
      </c>
      <c r="GL19" s="55">
        <f>'14'!$BY$21</f>
        <v>0</v>
      </c>
      <c r="GM19" s="55">
        <f>'14'!$BN$22</f>
        <v>0</v>
      </c>
      <c r="GN19" s="55">
        <f>'14'!$BO$22</f>
        <v>0</v>
      </c>
      <c r="GO19" s="55">
        <f>'14'!$BP$22</f>
        <v>0</v>
      </c>
      <c r="GP19" s="55">
        <f>'14'!$BQ$22</f>
        <v>0</v>
      </c>
      <c r="GQ19" s="55">
        <f>'14'!$BR$22</f>
        <v>0</v>
      </c>
      <c r="GR19" s="55">
        <f>'14'!$BS$22</f>
        <v>0</v>
      </c>
      <c r="GS19" s="55">
        <f>'14'!$BT$22</f>
        <v>0</v>
      </c>
      <c r="GT19" s="55">
        <f>'14'!$BU$22</f>
        <v>0</v>
      </c>
      <c r="GU19" s="55">
        <f>'14'!$BV$22</f>
        <v>0</v>
      </c>
      <c r="GV19" s="55">
        <f>'14'!$BW$22</f>
        <v>0</v>
      </c>
      <c r="GW19" s="55">
        <f>'14'!$BX$22</f>
        <v>0</v>
      </c>
      <c r="GX19" s="55">
        <f>'14'!$BY$22</f>
        <v>0</v>
      </c>
      <c r="GY19" s="55">
        <f>'14'!$BN$23</f>
        <v>0</v>
      </c>
      <c r="GZ19" s="55">
        <f>'14'!$BO$23</f>
        <v>0</v>
      </c>
      <c r="HA19" s="55">
        <f>'14'!$BP$23</f>
        <v>0</v>
      </c>
      <c r="HB19" s="55">
        <f>'14'!$BQ$23</f>
        <v>0</v>
      </c>
      <c r="HC19" s="55">
        <f>'14'!$BR$23</f>
        <v>0</v>
      </c>
      <c r="HD19" s="55">
        <f>'14'!$BS$23</f>
        <v>0</v>
      </c>
      <c r="HE19" s="55">
        <f>'14'!$BT$23</f>
        <v>0</v>
      </c>
      <c r="HF19" s="55">
        <f>'14'!$BU$23</f>
        <v>0</v>
      </c>
      <c r="HG19" s="55">
        <f>'14'!$BV$23</f>
        <v>0</v>
      </c>
      <c r="HH19" s="55">
        <f>'14'!$BW$23</f>
        <v>0</v>
      </c>
      <c r="HI19" s="55">
        <f>'14'!$BX$23</f>
        <v>0</v>
      </c>
      <c r="HJ19" s="55">
        <f>'14'!$BY$23</f>
        <v>0</v>
      </c>
      <c r="HK19" s="55">
        <f>'14'!$BN$24</f>
        <v>0</v>
      </c>
      <c r="HL19" s="55">
        <f>'14'!$BO$24</f>
        <v>0</v>
      </c>
      <c r="HM19" s="55">
        <f>'14'!$BP$24</f>
        <v>0</v>
      </c>
      <c r="HN19" s="55">
        <f>'14'!$BQ$24</f>
        <v>0</v>
      </c>
      <c r="HO19" s="55">
        <f>'14'!$BR$24</f>
        <v>0</v>
      </c>
      <c r="HP19" s="55">
        <f>'14'!$BS$24</f>
        <v>0</v>
      </c>
      <c r="HQ19" s="55">
        <f>'14'!$BT$24</f>
        <v>0</v>
      </c>
      <c r="HR19" s="55">
        <f>'14'!$BU$24</f>
        <v>0</v>
      </c>
      <c r="HS19" s="55">
        <f>'14'!$BV$24</f>
        <v>0</v>
      </c>
      <c r="HT19" s="55">
        <f>'14'!$BW$24</f>
        <v>0</v>
      </c>
      <c r="HU19" s="55">
        <f>'14'!$BX$24</f>
        <v>0</v>
      </c>
      <c r="HV19" s="55">
        <f>'14'!$BY$24</f>
        <v>0</v>
      </c>
      <c r="HW19" s="55">
        <f>'14'!$BN$25</f>
        <v>0</v>
      </c>
      <c r="HX19" s="55">
        <f>'14'!$BO$25</f>
        <v>0</v>
      </c>
      <c r="HY19" s="55">
        <f>'14'!$BP$25</f>
        <v>0</v>
      </c>
      <c r="HZ19" s="55">
        <f>'14'!$BQ$25</f>
        <v>0</v>
      </c>
      <c r="IA19" s="55">
        <f>'14'!$BR$25</f>
        <v>0</v>
      </c>
      <c r="IB19" s="55">
        <f>'14'!$BS$25</f>
        <v>0</v>
      </c>
      <c r="IC19" s="55">
        <f>'14'!$BT$25</f>
        <v>0</v>
      </c>
      <c r="ID19" s="55">
        <f>'14'!$BU$25</f>
        <v>0</v>
      </c>
      <c r="IE19" s="55">
        <f>'14'!$BV$25</f>
        <v>0</v>
      </c>
      <c r="IF19" s="55">
        <f>'14'!$BW$25</f>
        <v>0</v>
      </c>
      <c r="IG19" s="55">
        <f>'14'!$BX$25</f>
        <v>0</v>
      </c>
      <c r="IH19" s="55">
        <f>'14'!$BY$25</f>
        <v>0</v>
      </c>
      <c r="II19" s="55">
        <f>'14'!$BN$26</f>
        <v>0</v>
      </c>
      <c r="IJ19" s="55">
        <f>'14'!$BO$26</f>
        <v>0</v>
      </c>
      <c r="IK19" s="55">
        <f>'14'!$BP$26</f>
        <v>0</v>
      </c>
      <c r="IL19" s="55">
        <f>'14'!$BQ$26</f>
        <v>0</v>
      </c>
      <c r="IM19" s="55">
        <f>'14'!$BR$26</f>
        <v>0</v>
      </c>
      <c r="IN19" s="55">
        <f>'14'!$BS$26</f>
        <v>0</v>
      </c>
      <c r="IO19" s="55">
        <f>'14'!$BT$26</f>
        <v>0</v>
      </c>
      <c r="IP19" s="55">
        <f>'14'!$BU$26</f>
        <v>0</v>
      </c>
      <c r="IQ19" s="55">
        <f>'14'!$BV$26</f>
        <v>0</v>
      </c>
      <c r="IR19" s="55">
        <f>'14'!$BW$26</f>
        <v>0</v>
      </c>
      <c r="IS19" s="55">
        <f>'14'!$BX$26</f>
        <v>0</v>
      </c>
      <c r="IT19" s="55">
        <f>'14'!$BY$26</f>
        <v>0</v>
      </c>
      <c r="IU19" s="55">
        <f>'14'!$BN$27</f>
        <v>0</v>
      </c>
      <c r="IV19" s="55">
        <f>'14'!$BO$27</f>
        <v>0</v>
      </c>
      <c r="IW19" s="55">
        <f>'14'!$BP$27</f>
        <v>0</v>
      </c>
      <c r="IX19" s="55">
        <f>'14'!$BQ$27</f>
        <v>0</v>
      </c>
      <c r="IY19" s="55">
        <f>'14'!$BR$27</f>
        <v>0</v>
      </c>
      <c r="IZ19" s="55">
        <f>'14'!$BS$27</f>
        <v>0</v>
      </c>
      <c r="JA19" s="55">
        <f>'14'!$BT$27</f>
        <v>0</v>
      </c>
      <c r="JB19" s="55">
        <f>'14'!$BU$27</f>
        <v>0</v>
      </c>
      <c r="JC19" s="55">
        <f>'14'!$BV$27</f>
        <v>0</v>
      </c>
      <c r="JD19" s="55">
        <f>'14'!$BW$27</f>
        <v>0</v>
      </c>
      <c r="JE19" s="55">
        <f>'14'!$BX$27</f>
        <v>0</v>
      </c>
      <c r="JF19" s="55">
        <f>'14'!$BY$27</f>
        <v>0</v>
      </c>
      <c r="JG19" s="55">
        <f>'14'!$BN$28</f>
        <v>0</v>
      </c>
      <c r="JH19" s="55">
        <f>'14'!$BO$28</f>
        <v>0</v>
      </c>
      <c r="JI19" s="55">
        <f>'14'!$BP$28</f>
        <v>0</v>
      </c>
      <c r="JJ19" s="55">
        <f>'14'!$BQ$28</f>
        <v>0</v>
      </c>
      <c r="JK19" s="55">
        <f>'14'!$BR$28</f>
        <v>0</v>
      </c>
      <c r="JL19" s="55">
        <f>'14'!$BS$28</f>
        <v>0</v>
      </c>
      <c r="JM19" s="55">
        <f>'14'!$BT$28</f>
        <v>0</v>
      </c>
      <c r="JN19" s="55">
        <f>'14'!$BU$28</f>
        <v>0</v>
      </c>
      <c r="JO19" s="55">
        <f>'14'!$BV$28</f>
        <v>0</v>
      </c>
      <c r="JP19" s="55">
        <f>'14'!$BW$28</f>
        <v>0</v>
      </c>
      <c r="JQ19" s="55">
        <f>'14'!$BX$28</f>
        <v>0</v>
      </c>
      <c r="JR19" s="55">
        <f>'14'!$BY$28</f>
        <v>0</v>
      </c>
      <c r="JS19" s="55">
        <f>'14'!$BN$29</f>
        <v>0</v>
      </c>
      <c r="JT19" s="55">
        <f>'14'!$BO$29</f>
        <v>0</v>
      </c>
      <c r="JU19" s="55">
        <f>'14'!$BP$29</f>
        <v>0</v>
      </c>
      <c r="JV19" s="55">
        <f>'14'!$BQ$29</f>
        <v>0</v>
      </c>
      <c r="JW19" s="55">
        <f>'14'!$BR$29</f>
        <v>0</v>
      </c>
      <c r="JX19" s="55">
        <f>'14'!$BS$29</f>
        <v>0</v>
      </c>
      <c r="JY19" s="55">
        <f>'14'!$BT$29</f>
        <v>0</v>
      </c>
      <c r="JZ19" s="55">
        <f>'14'!$BU$29</f>
        <v>0</v>
      </c>
      <c r="KA19" s="55">
        <f>'14'!$BV$29</f>
        <v>0</v>
      </c>
      <c r="KB19" s="55">
        <f>'14'!$BW$29</f>
        <v>0</v>
      </c>
      <c r="KC19" s="55">
        <f>'14'!$BX$29</f>
        <v>0</v>
      </c>
      <c r="KD19" s="55">
        <f>'14'!$BY$29</f>
        <v>0</v>
      </c>
    </row>
    <row r="20" spans="1:290" ht="15" x14ac:dyDescent="0.25">
      <c r="A20" s="50">
        <v>46188</v>
      </c>
      <c r="B20" s="52"/>
      <c r="C20" s="55">
        <f>'15'!$BN$6</f>
        <v>0</v>
      </c>
      <c r="D20" s="55">
        <f>'15'!$BO$6</f>
        <v>0</v>
      </c>
      <c r="E20" s="55">
        <f>'15'!$BP$6</f>
        <v>0</v>
      </c>
      <c r="F20" s="55">
        <f>'15'!$BQ$6</f>
        <v>0</v>
      </c>
      <c r="G20" s="55">
        <f>'15'!$BR$6</f>
        <v>0</v>
      </c>
      <c r="H20" s="55">
        <f>'15'!$BS$6</f>
        <v>0</v>
      </c>
      <c r="I20" s="55">
        <f>'15'!$BT$6</f>
        <v>0</v>
      </c>
      <c r="J20" s="55">
        <f>'15'!$BU$6</f>
        <v>0</v>
      </c>
      <c r="K20" s="55">
        <f>'15'!$BV$6</f>
        <v>0</v>
      </c>
      <c r="L20" s="55">
        <f>'15'!$BW$6</f>
        <v>0</v>
      </c>
      <c r="M20" s="55">
        <f>'15'!$BX$6</f>
        <v>0</v>
      </c>
      <c r="N20" s="55">
        <f>'15'!$BY$6</f>
        <v>0</v>
      </c>
      <c r="O20" s="55">
        <f>'15'!$BN$7</f>
        <v>0</v>
      </c>
      <c r="P20" s="55">
        <f>'15'!$BO$7</f>
        <v>0</v>
      </c>
      <c r="Q20" s="55">
        <f>'15'!$BP$7</f>
        <v>0</v>
      </c>
      <c r="R20" s="55">
        <f>'15'!$BQ$7</f>
        <v>0</v>
      </c>
      <c r="S20" s="55">
        <f>'15'!$BR$7</f>
        <v>0</v>
      </c>
      <c r="T20" s="55">
        <f>'15'!$BS$7</f>
        <v>0</v>
      </c>
      <c r="U20" s="55">
        <f>'15'!$BT$7</f>
        <v>0</v>
      </c>
      <c r="V20" s="55">
        <f>'15'!$BU$7</f>
        <v>0</v>
      </c>
      <c r="W20" s="55">
        <f>'15'!$BV$7</f>
        <v>0</v>
      </c>
      <c r="X20" s="55">
        <f>'15'!$BW$7</f>
        <v>0</v>
      </c>
      <c r="Y20" s="55">
        <f>'15'!$BX$7</f>
        <v>0</v>
      </c>
      <c r="Z20" s="55">
        <f>'15'!$BY$7</f>
        <v>0</v>
      </c>
      <c r="AA20" s="55">
        <f>'15'!$BN$8</f>
        <v>0</v>
      </c>
      <c r="AB20" s="55">
        <f>'15'!$BO$8</f>
        <v>0</v>
      </c>
      <c r="AC20" s="55">
        <f>'15'!$BP$8</f>
        <v>0</v>
      </c>
      <c r="AD20" s="55">
        <f>'15'!$BQ$8</f>
        <v>0</v>
      </c>
      <c r="AE20" s="55">
        <f>'15'!$BR$8</f>
        <v>0</v>
      </c>
      <c r="AF20" s="55">
        <f>'15'!$BS$8</f>
        <v>0</v>
      </c>
      <c r="AG20" s="55">
        <f>'15'!$BT$8</f>
        <v>0</v>
      </c>
      <c r="AH20" s="55">
        <f>'15'!$BU$8</f>
        <v>0</v>
      </c>
      <c r="AI20" s="55">
        <f>'15'!$BV$8</f>
        <v>0</v>
      </c>
      <c r="AJ20" s="55">
        <f>'15'!$BW$8</f>
        <v>0</v>
      </c>
      <c r="AK20" s="55">
        <f>'15'!$BX$8</f>
        <v>0</v>
      </c>
      <c r="AL20" s="55">
        <f>'15'!$BY$8</f>
        <v>0</v>
      </c>
      <c r="AM20" s="55">
        <f>'15'!$BN$9</f>
        <v>0</v>
      </c>
      <c r="AN20" s="55">
        <f>'15'!$BO$9</f>
        <v>0</v>
      </c>
      <c r="AO20" s="55">
        <f>'15'!$BP$9</f>
        <v>0</v>
      </c>
      <c r="AP20" s="55">
        <f>'15'!$BQ$9</f>
        <v>0</v>
      </c>
      <c r="AQ20" s="55">
        <f>'15'!$BR$9</f>
        <v>0</v>
      </c>
      <c r="AR20" s="55">
        <f>'15'!$BS$9</f>
        <v>0</v>
      </c>
      <c r="AS20" s="55">
        <f>'15'!$BT$9</f>
        <v>0</v>
      </c>
      <c r="AT20" s="55">
        <f>'15'!$BU$9</f>
        <v>0</v>
      </c>
      <c r="AU20" s="55">
        <f>'15'!$BV$9</f>
        <v>0</v>
      </c>
      <c r="AV20" s="55">
        <f>'15'!$BW$9</f>
        <v>0</v>
      </c>
      <c r="AW20" s="55">
        <f>'15'!$BX$9</f>
        <v>0</v>
      </c>
      <c r="AX20" s="55">
        <f>'15'!$BY$9</f>
        <v>0</v>
      </c>
      <c r="AY20" s="55">
        <f>'15'!$BN$10</f>
        <v>0</v>
      </c>
      <c r="AZ20" s="55">
        <f>'15'!$BO$10</f>
        <v>0</v>
      </c>
      <c r="BA20" s="55">
        <f>'15'!$BP$10</f>
        <v>0</v>
      </c>
      <c r="BB20" s="55">
        <f>'15'!$BQ$10</f>
        <v>0</v>
      </c>
      <c r="BC20" s="55">
        <f>'15'!$BR$10</f>
        <v>0</v>
      </c>
      <c r="BD20" s="55">
        <f>'15'!$BS$10</f>
        <v>0</v>
      </c>
      <c r="BE20" s="55">
        <f>'15'!$BT$10</f>
        <v>0</v>
      </c>
      <c r="BF20" s="55">
        <f>'15'!$BU$10</f>
        <v>0</v>
      </c>
      <c r="BG20" s="55">
        <f>'15'!$BV$10</f>
        <v>0</v>
      </c>
      <c r="BH20" s="55">
        <f>'15'!$BW$10</f>
        <v>0</v>
      </c>
      <c r="BI20" s="55">
        <f>'15'!$BX$10</f>
        <v>0</v>
      </c>
      <c r="BJ20" s="55">
        <f>'15'!$BY$10</f>
        <v>0</v>
      </c>
      <c r="BK20" s="55">
        <f>'15'!$BN$11</f>
        <v>0</v>
      </c>
      <c r="BL20" s="55">
        <f>'15'!$BO$11</f>
        <v>0</v>
      </c>
      <c r="BM20" s="55">
        <f>'15'!$BP$11</f>
        <v>0</v>
      </c>
      <c r="BN20" s="55">
        <f>'15'!$BQ$11</f>
        <v>0</v>
      </c>
      <c r="BO20" s="55">
        <f>'15'!$BR$11</f>
        <v>0</v>
      </c>
      <c r="BP20" s="55">
        <f>'15'!$BS$11</f>
        <v>0</v>
      </c>
      <c r="BQ20" s="55">
        <f>'15'!$BT$11</f>
        <v>0</v>
      </c>
      <c r="BR20" s="55">
        <f>'15'!$BU$11</f>
        <v>0</v>
      </c>
      <c r="BS20" s="55">
        <f>'15'!$BV$11</f>
        <v>0</v>
      </c>
      <c r="BT20" s="55">
        <f>'15'!$BW$11</f>
        <v>0</v>
      </c>
      <c r="BU20" s="55">
        <f>'15'!$BX$11</f>
        <v>0</v>
      </c>
      <c r="BV20" s="55">
        <f>'15'!$BY$11</f>
        <v>0</v>
      </c>
      <c r="BW20" s="55">
        <f>'15'!$BN$12</f>
        <v>0</v>
      </c>
      <c r="BX20" s="55">
        <f>'15'!$BO$12</f>
        <v>0</v>
      </c>
      <c r="BY20" s="55">
        <f>'15'!$BP$12</f>
        <v>0</v>
      </c>
      <c r="BZ20" s="55">
        <f>'15'!$BQ$12</f>
        <v>0</v>
      </c>
      <c r="CA20" s="55">
        <f>'15'!$BR$12</f>
        <v>0</v>
      </c>
      <c r="CB20" s="55">
        <f>'15'!$BS$12</f>
        <v>0</v>
      </c>
      <c r="CC20" s="55">
        <f>'15'!$BT$12</f>
        <v>0</v>
      </c>
      <c r="CD20" s="55">
        <f>'15'!$BU$12</f>
        <v>0</v>
      </c>
      <c r="CE20" s="55">
        <f>'15'!$BV$12</f>
        <v>0</v>
      </c>
      <c r="CF20" s="55">
        <f>'15'!$BW$12</f>
        <v>0</v>
      </c>
      <c r="CG20" s="55">
        <f>'15'!$BX$12</f>
        <v>0</v>
      </c>
      <c r="CH20" s="55">
        <f>'15'!$BY$12</f>
        <v>0</v>
      </c>
      <c r="CI20" s="55">
        <f>'15'!$BN$13</f>
        <v>0</v>
      </c>
      <c r="CJ20" s="55">
        <f>'15'!$BO$13</f>
        <v>0</v>
      </c>
      <c r="CK20" s="55">
        <f>'15'!$BP$13</f>
        <v>0</v>
      </c>
      <c r="CL20" s="55">
        <f>'15'!$BQ$13</f>
        <v>0</v>
      </c>
      <c r="CM20" s="55">
        <f>'15'!$BR$13</f>
        <v>0</v>
      </c>
      <c r="CN20" s="55">
        <f>'15'!$BS$13</f>
        <v>0</v>
      </c>
      <c r="CO20" s="55">
        <f>'15'!$BT$13</f>
        <v>0</v>
      </c>
      <c r="CP20" s="55">
        <f>'15'!$BU$13</f>
        <v>0</v>
      </c>
      <c r="CQ20" s="55">
        <f>'15'!$BV$13</f>
        <v>0</v>
      </c>
      <c r="CR20" s="55">
        <f>'15'!$BW$13</f>
        <v>0</v>
      </c>
      <c r="CS20" s="55">
        <f>'15'!$BX$13</f>
        <v>0</v>
      </c>
      <c r="CT20" s="55">
        <f>'15'!$BY$13</f>
        <v>0</v>
      </c>
      <c r="CU20" s="55">
        <f>'15'!$BN$14</f>
        <v>0</v>
      </c>
      <c r="CV20" s="55">
        <f>'15'!$BO$14</f>
        <v>0</v>
      </c>
      <c r="CW20" s="55">
        <f>'15'!$BP$14</f>
        <v>0</v>
      </c>
      <c r="CX20" s="55">
        <f>'15'!$BQ$14</f>
        <v>0</v>
      </c>
      <c r="CY20" s="55">
        <f>'15'!$BR$14</f>
        <v>0</v>
      </c>
      <c r="CZ20" s="55">
        <f>'15'!$BS$14</f>
        <v>0</v>
      </c>
      <c r="DA20" s="55">
        <f>'15'!$BT$14</f>
        <v>0</v>
      </c>
      <c r="DB20" s="55">
        <f>'15'!$BU$14</f>
        <v>0</v>
      </c>
      <c r="DC20" s="55">
        <f>'15'!$BV$14</f>
        <v>0</v>
      </c>
      <c r="DD20" s="55">
        <f>'15'!$BW$14</f>
        <v>0</v>
      </c>
      <c r="DE20" s="55">
        <f>'15'!$BX$14</f>
        <v>0</v>
      </c>
      <c r="DF20" s="55">
        <f>'15'!$BY$14</f>
        <v>0</v>
      </c>
      <c r="DG20" s="55">
        <f>'15'!$BN$15</f>
        <v>0</v>
      </c>
      <c r="DH20" s="55">
        <f>'15'!$BO$15</f>
        <v>0</v>
      </c>
      <c r="DI20" s="55">
        <f>'15'!$BP$15</f>
        <v>0</v>
      </c>
      <c r="DJ20" s="55">
        <f>'15'!$BQ$15</f>
        <v>0</v>
      </c>
      <c r="DK20" s="55">
        <f>'15'!$BR$15</f>
        <v>0</v>
      </c>
      <c r="DL20" s="55">
        <f>'15'!$BS$15</f>
        <v>0</v>
      </c>
      <c r="DM20" s="55">
        <f>'15'!$BT$15</f>
        <v>0</v>
      </c>
      <c r="DN20" s="55">
        <f>'15'!$BU$15</f>
        <v>0</v>
      </c>
      <c r="DO20" s="55">
        <f>'15'!$BV$15</f>
        <v>0</v>
      </c>
      <c r="DP20" s="55">
        <f>'15'!$BW$15</f>
        <v>0</v>
      </c>
      <c r="DQ20" s="55">
        <f>'15'!$BX$15</f>
        <v>0</v>
      </c>
      <c r="DR20" s="55">
        <f>'15'!$BY$15</f>
        <v>0</v>
      </c>
      <c r="DS20" s="55">
        <f>'15'!$BN$16</f>
        <v>0</v>
      </c>
      <c r="DT20" s="55">
        <f>'15'!$BO$16</f>
        <v>0</v>
      </c>
      <c r="DU20" s="55">
        <f>'15'!$BP$16</f>
        <v>0</v>
      </c>
      <c r="DV20" s="55">
        <f>'15'!$BQ$16</f>
        <v>0</v>
      </c>
      <c r="DW20" s="55">
        <f>'15'!$BR$16</f>
        <v>0</v>
      </c>
      <c r="DX20" s="55">
        <f>'15'!$BS$16</f>
        <v>0</v>
      </c>
      <c r="DY20" s="55">
        <f>'15'!$BT$16</f>
        <v>0</v>
      </c>
      <c r="DZ20" s="55">
        <f>'15'!$BU$16</f>
        <v>0</v>
      </c>
      <c r="EA20" s="55">
        <f>'15'!$BV$16</f>
        <v>0</v>
      </c>
      <c r="EB20" s="55">
        <f>'15'!$BW$16</f>
        <v>0</v>
      </c>
      <c r="EC20" s="55">
        <f>'15'!$BX$16</f>
        <v>0</v>
      </c>
      <c r="ED20" s="55">
        <f>'15'!$BY$16</f>
        <v>0</v>
      </c>
      <c r="EE20" s="55">
        <f>'15'!$BN$17</f>
        <v>0</v>
      </c>
      <c r="EF20" s="55">
        <f>'15'!$BO$17</f>
        <v>0</v>
      </c>
      <c r="EG20" s="55">
        <f>'15'!$BP$17</f>
        <v>0</v>
      </c>
      <c r="EH20" s="55">
        <f>'15'!$BQ$17</f>
        <v>0</v>
      </c>
      <c r="EI20" s="55">
        <f>'15'!$BR$17</f>
        <v>0</v>
      </c>
      <c r="EJ20" s="55">
        <f>'15'!$BS$17</f>
        <v>0</v>
      </c>
      <c r="EK20" s="55">
        <f>'15'!$BT$17</f>
        <v>0</v>
      </c>
      <c r="EL20" s="55">
        <f>'15'!$BU$17</f>
        <v>0</v>
      </c>
      <c r="EM20" s="55">
        <f>'15'!$BV$17</f>
        <v>0</v>
      </c>
      <c r="EN20" s="55">
        <f>'15'!$BW$17</f>
        <v>0</v>
      </c>
      <c r="EO20" s="55">
        <f>'15'!$BX$17</f>
        <v>0</v>
      </c>
      <c r="EP20" s="55">
        <f>'15'!$BY$17</f>
        <v>0</v>
      </c>
      <c r="EQ20" s="55">
        <f>'15'!$BN$18</f>
        <v>0</v>
      </c>
      <c r="ER20" s="55">
        <f>'15'!$BO$18</f>
        <v>0</v>
      </c>
      <c r="ES20" s="55">
        <f>'15'!$BP$18</f>
        <v>0</v>
      </c>
      <c r="ET20" s="55">
        <f>'15'!$BQ$18</f>
        <v>0</v>
      </c>
      <c r="EU20" s="55">
        <f>'15'!$BR$18</f>
        <v>0</v>
      </c>
      <c r="EV20" s="55">
        <f>'15'!$BS$18</f>
        <v>0</v>
      </c>
      <c r="EW20" s="55">
        <f>'15'!$BT$18</f>
        <v>0</v>
      </c>
      <c r="EX20" s="55">
        <f>'15'!$BU$18</f>
        <v>0</v>
      </c>
      <c r="EY20" s="55">
        <f>'15'!$BV$18</f>
        <v>0</v>
      </c>
      <c r="EZ20" s="55">
        <f>'15'!$BW$18</f>
        <v>0</v>
      </c>
      <c r="FA20" s="55">
        <f>'15'!$BX$18</f>
        <v>0</v>
      </c>
      <c r="FB20" s="55">
        <f>'15'!$BY$18</f>
        <v>0</v>
      </c>
      <c r="FC20" s="55">
        <f>'15'!$BN$19</f>
        <v>0</v>
      </c>
      <c r="FD20" s="55">
        <f>'15'!$BO$19</f>
        <v>0</v>
      </c>
      <c r="FE20" s="55">
        <f>'15'!$BP$19</f>
        <v>0</v>
      </c>
      <c r="FF20" s="55">
        <f>'15'!$BQ$19</f>
        <v>0</v>
      </c>
      <c r="FG20" s="55">
        <f>'15'!$BR$19</f>
        <v>0</v>
      </c>
      <c r="FH20" s="55">
        <f>'15'!$BS$19</f>
        <v>0</v>
      </c>
      <c r="FI20" s="55">
        <f>'15'!$BT$19</f>
        <v>0</v>
      </c>
      <c r="FJ20" s="55">
        <f>'15'!$BU$19</f>
        <v>0</v>
      </c>
      <c r="FK20" s="55">
        <f>'15'!$BV$19</f>
        <v>0</v>
      </c>
      <c r="FL20" s="55">
        <f>'15'!$BW$19</f>
        <v>0</v>
      </c>
      <c r="FM20" s="55">
        <f>'15'!$BX$19</f>
        <v>0</v>
      </c>
      <c r="FN20" s="55">
        <f>'15'!$BY$19</f>
        <v>0</v>
      </c>
      <c r="FO20" s="55">
        <f>'15'!$BN$20</f>
        <v>0</v>
      </c>
      <c r="FP20" s="55">
        <f>'15'!$BO$20</f>
        <v>0</v>
      </c>
      <c r="FQ20" s="55">
        <f>'15'!$BP$20</f>
        <v>0</v>
      </c>
      <c r="FR20" s="55">
        <f>'15'!$BQ$20</f>
        <v>0</v>
      </c>
      <c r="FS20" s="55">
        <f>'15'!$BR$20</f>
        <v>0</v>
      </c>
      <c r="FT20" s="55">
        <f>'15'!$BS$20</f>
        <v>0</v>
      </c>
      <c r="FU20" s="55">
        <f>'15'!$BT$20</f>
        <v>0</v>
      </c>
      <c r="FV20" s="55">
        <f>'15'!$BU$20</f>
        <v>0</v>
      </c>
      <c r="FW20" s="55">
        <f>'15'!$BV$20</f>
        <v>0</v>
      </c>
      <c r="FX20" s="55">
        <f>'15'!$BW$20</f>
        <v>0</v>
      </c>
      <c r="FY20" s="55">
        <f>'15'!$BX$20</f>
        <v>0</v>
      </c>
      <c r="FZ20" s="55">
        <f>'15'!$BY$20</f>
        <v>0</v>
      </c>
      <c r="GA20" s="55">
        <f>'15'!$BN$21</f>
        <v>0</v>
      </c>
      <c r="GB20" s="55">
        <f>'15'!$BO$21</f>
        <v>0</v>
      </c>
      <c r="GC20" s="55">
        <f>'15'!$BP$21</f>
        <v>0</v>
      </c>
      <c r="GD20" s="55">
        <f>'15'!$BQ$21</f>
        <v>0</v>
      </c>
      <c r="GE20" s="55">
        <f>'15'!$BR$21</f>
        <v>0</v>
      </c>
      <c r="GF20" s="55">
        <f>'15'!$BS$21</f>
        <v>0</v>
      </c>
      <c r="GG20" s="55">
        <f>'15'!$BT$21</f>
        <v>0</v>
      </c>
      <c r="GH20" s="55">
        <f>'15'!$BU$21</f>
        <v>0</v>
      </c>
      <c r="GI20" s="55">
        <f>'15'!$BV$21</f>
        <v>0</v>
      </c>
      <c r="GJ20" s="55">
        <f>'15'!$BW$21</f>
        <v>0</v>
      </c>
      <c r="GK20" s="55">
        <f>'15'!$BX$21</f>
        <v>0</v>
      </c>
      <c r="GL20" s="55">
        <f>'15'!$BY$21</f>
        <v>0</v>
      </c>
      <c r="GM20" s="55">
        <f>'15'!$BN$22</f>
        <v>0</v>
      </c>
      <c r="GN20" s="55">
        <f>'15'!$BO$22</f>
        <v>0</v>
      </c>
      <c r="GO20" s="55">
        <f>'15'!$BP$22</f>
        <v>0</v>
      </c>
      <c r="GP20" s="55">
        <f>'15'!$BQ$22</f>
        <v>0</v>
      </c>
      <c r="GQ20" s="55">
        <f>'15'!$BR$22</f>
        <v>0</v>
      </c>
      <c r="GR20" s="55">
        <f>'15'!$BS$22</f>
        <v>0</v>
      </c>
      <c r="GS20" s="55">
        <f>'15'!$BT$22</f>
        <v>0</v>
      </c>
      <c r="GT20" s="55">
        <f>'15'!$BU$22</f>
        <v>0</v>
      </c>
      <c r="GU20" s="55">
        <f>'15'!$BV$22</f>
        <v>0</v>
      </c>
      <c r="GV20" s="55">
        <f>'15'!$BW$22</f>
        <v>0</v>
      </c>
      <c r="GW20" s="55">
        <f>'15'!$BX$22</f>
        <v>0</v>
      </c>
      <c r="GX20" s="55">
        <f>'15'!$BY$22</f>
        <v>0</v>
      </c>
      <c r="GY20" s="55">
        <f>'15'!$BN$23</f>
        <v>0</v>
      </c>
      <c r="GZ20" s="55">
        <f>'15'!$BO$23</f>
        <v>0</v>
      </c>
      <c r="HA20" s="55">
        <f>'15'!$BP$23</f>
        <v>0</v>
      </c>
      <c r="HB20" s="55">
        <f>'15'!$BQ$23</f>
        <v>0</v>
      </c>
      <c r="HC20" s="55">
        <f>'15'!$BR$23</f>
        <v>0</v>
      </c>
      <c r="HD20" s="55">
        <f>'15'!$BS$23</f>
        <v>0</v>
      </c>
      <c r="HE20" s="55">
        <f>'15'!$BT$23</f>
        <v>0</v>
      </c>
      <c r="HF20" s="55">
        <f>'15'!$BU$23</f>
        <v>0</v>
      </c>
      <c r="HG20" s="55">
        <f>'15'!$BV$23</f>
        <v>0</v>
      </c>
      <c r="HH20" s="55">
        <f>'15'!$BW$23</f>
        <v>0</v>
      </c>
      <c r="HI20" s="55">
        <f>'15'!$BX$23</f>
        <v>0</v>
      </c>
      <c r="HJ20" s="55">
        <f>'15'!$BY$23</f>
        <v>0</v>
      </c>
      <c r="HK20" s="55">
        <f>'15'!$BN$24</f>
        <v>0</v>
      </c>
      <c r="HL20" s="55">
        <f>'15'!$BO$24</f>
        <v>0</v>
      </c>
      <c r="HM20" s="55">
        <f>'15'!$BP$24</f>
        <v>0</v>
      </c>
      <c r="HN20" s="55">
        <f>'15'!$BQ$24</f>
        <v>0</v>
      </c>
      <c r="HO20" s="55">
        <f>'15'!$BR$24</f>
        <v>0</v>
      </c>
      <c r="HP20" s="55">
        <f>'15'!$BS$24</f>
        <v>0</v>
      </c>
      <c r="HQ20" s="55">
        <f>'15'!$BT$24</f>
        <v>0</v>
      </c>
      <c r="HR20" s="55">
        <f>'15'!$BU$24</f>
        <v>0</v>
      </c>
      <c r="HS20" s="55">
        <f>'15'!$BV$24</f>
        <v>0</v>
      </c>
      <c r="HT20" s="55">
        <f>'15'!$BW$24</f>
        <v>0</v>
      </c>
      <c r="HU20" s="55">
        <f>'15'!$BX$24</f>
        <v>0</v>
      </c>
      <c r="HV20" s="55">
        <f>'15'!$BY$24</f>
        <v>0</v>
      </c>
      <c r="HW20" s="55">
        <f>'15'!$BN$25</f>
        <v>0</v>
      </c>
      <c r="HX20" s="55">
        <f>'15'!$BO$25</f>
        <v>0</v>
      </c>
      <c r="HY20" s="55">
        <f>'15'!$BP$25</f>
        <v>0</v>
      </c>
      <c r="HZ20" s="55">
        <f>'15'!$BQ$25</f>
        <v>0</v>
      </c>
      <c r="IA20" s="55">
        <f>'15'!$BR$25</f>
        <v>0</v>
      </c>
      <c r="IB20" s="55">
        <f>'15'!$BS$25</f>
        <v>0</v>
      </c>
      <c r="IC20" s="55">
        <f>'15'!$BT$25</f>
        <v>0</v>
      </c>
      <c r="ID20" s="55">
        <f>'15'!$BU$25</f>
        <v>0</v>
      </c>
      <c r="IE20" s="55">
        <f>'15'!$BV$25</f>
        <v>0</v>
      </c>
      <c r="IF20" s="55">
        <f>'15'!$BW$25</f>
        <v>0</v>
      </c>
      <c r="IG20" s="55">
        <f>'15'!$BX$25</f>
        <v>0</v>
      </c>
      <c r="IH20" s="55">
        <f>'15'!$BY$25</f>
        <v>0</v>
      </c>
      <c r="II20" s="55">
        <f>'15'!$BN$26</f>
        <v>0</v>
      </c>
      <c r="IJ20" s="55">
        <f>'15'!$BO$26</f>
        <v>0</v>
      </c>
      <c r="IK20" s="55">
        <f>'15'!$BP$26</f>
        <v>0</v>
      </c>
      <c r="IL20" s="55">
        <f>'15'!$BQ$26</f>
        <v>0</v>
      </c>
      <c r="IM20" s="55">
        <f>'15'!$BR$26</f>
        <v>0</v>
      </c>
      <c r="IN20" s="55">
        <f>'15'!$BS$26</f>
        <v>0</v>
      </c>
      <c r="IO20" s="55">
        <f>'15'!$BT$26</f>
        <v>0</v>
      </c>
      <c r="IP20" s="55">
        <f>'15'!$BU$26</f>
        <v>0</v>
      </c>
      <c r="IQ20" s="55">
        <f>'15'!$BV$26</f>
        <v>0</v>
      </c>
      <c r="IR20" s="55">
        <f>'15'!$BW$26</f>
        <v>0</v>
      </c>
      <c r="IS20" s="55">
        <f>'15'!$BX$26</f>
        <v>0</v>
      </c>
      <c r="IT20" s="55">
        <f>'15'!$BY$26</f>
        <v>0</v>
      </c>
      <c r="IU20" s="55">
        <f>'15'!$BN$27</f>
        <v>0</v>
      </c>
      <c r="IV20" s="55">
        <f>'15'!$BO$27</f>
        <v>0</v>
      </c>
      <c r="IW20" s="55">
        <f>'15'!$BP$27</f>
        <v>0</v>
      </c>
      <c r="IX20" s="55">
        <f>'15'!$BQ$27</f>
        <v>0</v>
      </c>
      <c r="IY20" s="55">
        <f>'15'!$BR$27</f>
        <v>0</v>
      </c>
      <c r="IZ20" s="55">
        <f>'15'!$BS$27</f>
        <v>0</v>
      </c>
      <c r="JA20" s="55">
        <f>'15'!$BT$27</f>
        <v>0</v>
      </c>
      <c r="JB20" s="55">
        <f>'15'!$BU$27</f>
        <v>0</v>
      </c>
      <c r="JC20" s="55">
        <f>'15'!$BV$27</f>
        <v>0</v>
      </c>
      <c r="JD20" s="55">
        <f>'15'!$BW$27</f>
        <v>0</v>
      </c>
      <c r="JE20" s="55">
        <f>'15'!$BX$27</f>
        <v>0</v>
      </c>
      <c r="JF20" s="55">
        <f>'15'!$BY$27</f>
        <v>0</v>
      </c>
      <c r="JG20" s="55">
        <f>'15'!$BN$28</f>
        <v>0</v>
      </c>
      <c r="JH20" s="55">
        <f>'15'!$BO$28</f>
        <v>0</v>
      </c>
      <c r="JI20" s="55">
        <f>'15'!$BP$28</f>
        <v>0</v>
      </c>
      <c r="JJ20" s="55">
        <f>'15'!$BQ$28</f>
        <v>0</v>
      </c>
      <c r="JK20" s="55">
        <f>'15'!$BR$28</f>
        <v>0</v>
      </c>
      <c r="JL20" s="55">
        <f>'15'!$BS$28</f>
        <v>0</v>
      </c>
      <c r="JM20" s="55">
        <f>'15'!$BT$28</f>
        <v>0</v>
      </c>
      <c r="JN20" s="55">
        <f>'15'!$BU$28</f>
        <v>0</v>
      </c>
      <c r="JO20" s="55">
        <f>'15'!$BV$28</f>
        <v>0</v>
      </c>
      <c r="JP20" s="55">
        <f>'15'!$BW$28</f>
        <v>0</v>
      </c>
      <c r="JQ20" s="55">
        <f>'15'!$BX$28</f>
        <v>0</v>
      </c>
      <c r="JR20" s="55">
        <f>'15'!$BY$28</f>
        <v>0</v>
      </c>
      <c r="JS20" s="55">
        <f>'15'!$BN$29</f>
        <v>0</v>
      </c>
      <c r="JT20" s="55">
        <f>'15'!$BO$29</f>
        <v>0</v>
      </c>
      <c r="JU20" s="55">
        <f>'15'!$BP$29</f>
        <v>0</v>
      </c>
      <c r="JV20" s="55">
        <f>'15'!$BQ$29</f>
        <v>0</v>
      </c>
      <c r="JW20" s="55">
        <f>'15'!$BR$29</f>
        <v>0</v>
      </c>
      <c r="JX20" s="55">
        <f>'15'!$BS$29</f>
        <v>0</v>
      </c>
      <c r="JY20" s="55">
        <f>'15'!$BT$29</f>
        <v>0</v>
      </c>
      <c r="JZ20" s="55">
        <f>'15'!$BU$29</f>
        <v>0</v>
      </c>
      <c r="KA20" s="55">
        <f>'15'!$BV$29</f>
        <v>0</v>
      </c>
      <c r="KB20" s="55">
        <f>'15'!$BW$29</f>
        <v>0</v>
      </c>
      <c r="KC20" s="55">
        <f>'15'!$BX$29</f>
        <v>0</v>
      </c>
      <c r="KD20" s="55">
        <f>'15'!$BY$29</f>
        <v>0</v>
      </c>
    </row>
    <row r="21" spans="1:290" ht="15" x14ac:dyDescent="0.25">
      <c r="A21" s="50">
        <v>46189</v>
      </c>
      <c r="B21" s="52"/>
      <c r="C21" s="55">
        <f>'16'!$BN$6</f>
        <v>0</v>
      </c>
      <c r="D21" s="55">
        <f>'16'!$BO$6</f>
        <v>0</v>
      </c>
      <c r="E21" s="55">
        <f>'16'!$BP$6</f>
        <v>0</v>
      </c>
      <c r="F21" s="55">
        <f>'16'!$BQ$6</f>
        <v>0</v>
      </c>
      <c r="G21" s="55">
        <f>'16'!$BR$6</f>
        <v>0</v>
      </c>
      <c r="H21" s="55">
        <f>'16'!$BS$6</f>
        <v>0</v>
      </c>
      <c r="I21" s="55">
        <f>'16'!$BT$6</f>
        <v>0</v>
      </c>
      <c r="J21" s="55">
        <f>'16'!$BU$6</f>
        <v>0</v>
      </c>
      <c r="K21" s="55">
        <f>'16'!$BV$6</f>
        <v>0</v>
      </c>
      <c r="L21" s="55">
        <f>'16'!$BW$6</f>
        <v>0</v>
      </c>
      <c r="M21" s="55">
        <f>'16'!$BX$6</f>
        <v>0</v>
      </c>
      <c r="N21" s="55">
        <f>'16'!$BY$6</f>
        <v>0</v>
      </c>
      <c r="O21" s="55">
        <f>'16'!$BN$7</f>
        <v>0</v>
      </c>
      <c r="P21" s="55">
        <f>'16'!$BO$7</f>
        <v>0</v>
      </c>
      <c r="Q21" s="55">
        <f>'16'!$BP$7</f>
        <v>0</v>
      </c>
      <c r="R21" s="55">
        <f>'16'!$BQ$7</f>
        <v>0</v>
      </c>
      <c r="S21" s="55">
        <f>'16'!$BR$7</f>
        <v>0</v>
      </c>
      <c r="T21" s="55">
        <f>'16'!$BS$7</f>
        <v>0</v>
      </c>
      <c r="U21" s="55">
        <f>'16'!$BT$7</f>
        <v>0</v>
      </c>
      <c r="V21" s="55">
        <f>'16'!$BU$7</f>
        <v>0</v>
      </c>
      <c r="W21" s="55">
        <f>'16'!$BV$7</f>
        <v>0</v>
      </c>
      <c r="X21" s="55">
        <f>'16'!$BW$7</f>
        <v>0</v>
      </c>
      <c r="Y21" s="55">
        <f>'16'!$BX$7</f>
        <v>0</v>
      </c>
      <c r="Z21" s="55">
        <f>'16'!$BY$7</f>
        <v>0</v>
      </c>
      <c r="AA21" s="55">
        <f>'16'!$BN$8</f>
        <v>0</v>
      </c>
      <c r="AB21" s="55">
        <f>'16'!$BO$8</f>
        <v>0</v>
      </c>
      <c r="AC21" s="55">
        <f>'16'!$BP$8</f>
        <v>0</v>
      </c>
      <c r="AD21" s="55">
        <f>'16'!$BQ$8</f>
        <v>0</v>
      </c>
      <c r="AE21" s="55">
        <f>'16'!$BR$8</f>
        <v>0</v>
      </c>
      <c r="AF21" s="55">
        <f>'16'!$BS$8</f>
        <v>0</v>
      </c>
      <c r="AG21" s="55">
        <f>'16'!$BT$8</f>
        <v>0</v>
      </c>
      <c r="AH21" s="55">
        <f>'16'!$BU$8</f>
        <v>0</v>
      </c>
      <c r="AI21" s="55">
        <f>'16'!$BV$8</f>
        <v>0</v>
      </c>
      <c r="AJ21" s="55">
        <f>'16'!$BW$8</f>
        <v>0</v>
      </c>
      <c r="AK21" s="55">
        <f>'16'!$BX$8</f>
        <v>0</v>
      </c>
      <c r="AL21" s="55">
        <f>'16'!$BY$8</f>
        <v>0</v>
      </c>
      <c r="AM21" s="55">
        <f>'16'!$BN$9</f>
        <v>0</v>
      </c>
      <c r="AN21" s="55">
        <f>'16'!$BO$9</f>
        <v>0</v>
      </c>
      <c r="AO21" s="55">
        <f>'16'!$BP$9</f>
        <v>0</v>
      </c>
      <c r="AP21" s="55">
        <f>'16'!$BQ$9</f>
        <v>0</v>
      </c>
      <c r="AQ21" s="55">
        <f>'16'!$BR$9</f>
        <v>0</v>
      </c>
      <c r="AR21" s="55">
        <f>'16'!$BS$9</f>
        <v>0</v>
      </c>
      <c r="AS21" s="55">
        <f>'16'!$BT$9</f>
        <v>0</v>
      </c>
      <c r="AT21" s="55">
        <f>'16'!$BU$9</f>
        <v>0</v>
      </c>
      <c r="AU21" s="55">
        <f>'16'!$BV$9</f>
        <v>0</v>
      </c>
      <c r="AV21" s="55">
        <f>'16'!$BW$9</f>
        <v>0</v>
      </c>
      <c r="AW21" s="55">
        <f>'16'!$BX$9</f>
        <v>0</v>
      </c>
      <c r="AX21" s="55">
        <f>'16'!$BY$9</f>
        <v>0</v>
      </c>
      <c r="AY21" s="55">
        <f>'16'!$BN$10</f>
        <v>0</v>
      </c>
      <c r="AZ21" s="55">
        <f>'16'!$BO$10</f>
        <v>0</v>
      </c>
      <c r="BA21" s="55">
        <f>'16'!$BP$10</f>
        <v>0</v>
      </c>
      <c r="BB21" s="55">
        <f>'16'!$BQ$10</f>
        <v>0</v>
      </c>
      <c r="BC21" s="55">
        <f>'16'!$BR$10</f>
        <v>0</v>
      </c>
      <c r="BD21" s="55">
        <f>'16'!$BS$10</f>
        <v>0</v>
      </c>
      <c r="BE21" s="55">
        <f>'16'!$BT$10</f>
        <v>0</v>
      </c>
      <c r="BF21" s="55">
        <f>'16'!$BU$10</f>
        <v>0</v>
      </c>
      <c r="BG21" s="55">
        <f>'16'!$BV$10</f>
        <v>0</v>
      </c>
      <c r="BH21" s="55">
        <f>'16'!$BW$10</f>
        <v>0</v>
      </c>
      <c r="BI21" s="55">
        <f>'16'!$BX$10</f>
        <v>0</v>
      </c>
      <c r="BJ21" s="55">
        <f>'16'!$BY$10</f>
        <v>0</v>
      </c>
      <c r="BK21" s="55">
        <f>'16'!$BN$11</f>
        <v>0</v>
      </c>
      <c r="BL21" s="55">
        <f>'16'!$BO$11</f>
        <v>0</v>
      </c>
      <c r="BM21" s="55">
        <f>'16'!$BP$11</f>
        <v>0</v>
      </c>
      <c r="BN21" s="55">
        <f>'16'!$BQ$11</f>
        <v>0</v>
      </c>
      <c r="BO21" s="55">
        <f>'16'!$BR$11</f>
        <v>0</v>
      </c>
      <c r="BP21" s="55">
        <f>'16'!$BS$11</f>
        <v>0</v>
      </c>
      <c r="BQ21" s="55">
        <f>'16'!$BT$11</f>
        <v>0</v>
      </c>
      <c r="BR21" s="55">
        <f>'16'!$BU$11</f>
        <v>0</v>
      </c>
      <c r="BS21" s="55">
        <f>'16'!$BV$11</f>
        <v>0</v>
      </c>
      <c r="BT21" s="55">
        <f>'16'!$BW$11</f>
        <v>0</v>
      </c>
      <c r="BU21" s="55">
        <f>'16'!$BX$11</f>
        <v>0</v>
      </c>
      <c r="BV21" s="55">
        <f>'16'!$BY$11</f>
        <v>0</v>
      </c>
      <c r="BW21" s="55">
        <f>'16'!$BN$12</f>
        <v>0</v>
      </c>
      <c r="BX21" s="55">
        <f>'16'!$BO$12</f>
        <v>0</v>
      </c>
      <c r="BY21" s="55">
        <f>'16'!$BP$12</f>
        <v>0</v>
      </c>
      <c r="BZ21" s="55">
        <f>'16'!$BQ$12</f>
        <v>0</v>
      </c>
      <c r="CA21" s="55">
        <f>'16'!$BR$12</f>
        <v>0</v>
      </c>
      <c r="CB21" s="55">
        <f>'16'!$BS$12</f>
        <v>0</v>
      </c>
      <c r="CC21" s="55">
        <f>'16'!$BT$12</f>
        <v>0</v>
      </c>
      <c r="CD21" s="55">
        <f>'16'!$BU$12</f>
        <v>0</v>
      </c>
      <c r="CE21" s="55">
        <f>'16'!$BV$12</f>
        <v>0</v>
      </c>
      <c r="CF21" s="55">
        <f>'16'!$BW$12</f>
        <v>0</v>
      </c>
      <c r="CG21" s="55">
        <f>'16'!$BX$12</f>
        <v>0</v>
      </c>
      <c r="CH21" s="55">
        <f>'16'!$BY$12</f>
        <v>0</v>
      </c>
      <c r="CI21" s="55">
        <f>'16'!$BN$13</f>
        <v>0</v>
      </c>
      <c r="CJ21" s="55">
        <f>'16'!$BO$13</f>
        <v>0</v>
      </c>
      <c r="CK21" s="55">
        <f>'16'!$BP$13</f>
        <v>0</v>
      </c>
      <c r="CL21" s="55">
        <f>'16'!$BQ$13</f>
        <v>0</v>
      </c>
      <c r="CM21" s="55">
        <f>'16'!$BR$13</f>
        <v>0</v>
      </c>
      <c r="CN21" s="55">
        <f>'16'!$BS$13</f>
        <v>0</v>
      </c>
      <c r="CO21" s="55">
        <f>'16'!$BT$13</f>
        <v>0</v>
      </c>
      <c r="CP21" s="55">
        <f>'16'!$BU$13</f>
        <v>0</v>
      </c>
      <c r="CQ21" s="55">
        <f>'16'!$BV$13</f>
        <v>0</v>
      </c>
      <c r="CR21" s="55">
        <f>'16'!$BW$13</f>
        <v>0</v>
      </c>
      <c r="CS21" s="55">
        <f>'16'!$BX$13</f>
        <v>0</v>
      </c>
      <c r="CT21" s="55">
        <f>'16'!$BY$13</f>
        <v>0</v>
      </c>
      <c r="CU21" s="55">
        <f>'16'!$BN$14</f>
        <v>0</v>
      </c>
      <c r="CV21" s="55">
        <f>'16'!$BO$14</f>
        <v>0</v>
      </c>
      <c r="CW21" s="55">
        <f>'16'!$BP$14</f>
        <v>0</v>
      </c>
      <c r="CX21" s="55">
        <f>'16'!$BQ$14</f>
        <v>0</v>
      </c>
      <c r="CY21" s="55">
        <f>'16'!$BR$14</f>
        <v>0</v>
      </c>
      <c r="CZ21" s="55">
        <f>'16'!$BS$14</f>
        <v>0</v>
      </c>
      <c r="DA21" s="55">
        <f>'16'!$BT$14</f>
        <v>0</v>
      </c>
      <c r="DB21" s="55">
        <f>'16'!$BU$14</f>
        <v>0</v>
      </c>
      <c r="DC21" s="55">
        <f>'16'!$BV$14</f>
        <v>0</v>
      </c>
      <c r="DD21" s="55">
        <f>'16'!$BW$14</f>
        <v>0</v>
      </c>
      <c r="DE21" s="55">
        <f>'16'!$BX$14</f>
        <v>0</v>
      </c>
      <c r="DF21" s="55">
        <f>'16'!$BY$14</f>
        <v>0</v>
      </c>
      <c r="DG21" s="55">
        <f>'16'!$BN$15</f>
        <v>0</v>
      </c>
      <c r="DH21" s="55">
        <f>'16'!$BO$15</f>
        <v>0</v>
      </c>
      <c r="DI21" s="55">
        <f>'16'!$BP$15</f>
        <v>0</v>
      </c>
      <c r="DJ21" s="55">
        <f>'16'!$BQ$15</f>
        <v>0</v>
      </c>
      <c r="DK21" s="55">
        <f>'16'!$BR$15</f>
        <v>0</v>
      </c>
      <c r="DL21" s="55">
        <f>'16'!$BS$15</f>
        <v>0</v>
      </c>
      <c r="DM21" s="55">
        <f>'16'!$BT$15</f>
        <v>0</v>
      </c>
      <c r="DN21" s="55">
        <f>'16'!$BU$15</f>
        <v>0</v>
      </c>
      <c r="DO21" s="55">
        <f>'16'!$BV$15</f>
        <v>0</v>
      </c>
      <c r="DP21" s="55">
        <f>'16'!$BW$15</f>
        <v>0</v>
      </c>
      <c r="DQ21" s="55">
        <f>'16'!$BX$15</f>
        <v>0</v>
      </c>
      <c r="DR21" s="55">
        <f>'16'!$BY$15</f>
        <v>0</v>
      </c>
      <c r="DS21" s="55">
        <f>'16'!$BN$16</f>
        <v>0</v>
      </c>
      <c r="DT21" s="55">
        <f>'16'!$BO$16</f>
        <v>0</v>
      </c>
      <c r="DU21" s="55">
        <f>'16'!$BP$16</f>
        <v>0</v>
      </c>
      <c r="DV21" s="55">
        <f>'16'!$BQ$16</f>
        <v>0</v>
      </c>
      <c r="DW21" s="55">
        <f>'16'!$BR$16</f>
        <v>0</v>
      </c>
      <c r="DX21" s="55">
        <f>'16'!$BS$16</f>
        <v>0</v>
      </c>
      <c r="DY21" s="55">
        <f>'16'!$BT$16</f>
        <v>0</v>
      </c>
      <c r="DZ21" s="55">
        <f>'16'!$BU$16</f>
        <v>0</v>
      </c>
      <c r="EA21" s="55">
        <f>'16'!$BV$16</f>
        <v>0</v>
      </c>
      <c r="EB21" s="55">
        <f>'16'!$BW$16</f>
        <v>0</v>
      </c>
      <c r="EC21" s="55">
        <f>'16'!$BX$16</f>
        <v>0</v>
      </c>
      <c r="ED21" s="55">
        <f>'16'!$BY$16</f>
        <v>0</v>
      </c>
      <c r="EE21" s="55">
        <f>'16'!$BN$17</f>
        <v>0</v>
      </c>
      <c r="EF21" s="55">
        <f>'16'!$BO$17</f>
        <v>0</v>
      </c>
      <c r="EG21" s="55">
        <f>'16'!$BP$17</f>
        <v>0</v>
      </c>
      <c r="EH21" s="55">
        <f>'16'!$BQ$17</f>
        <v>0</v>
      </c>
      <c r="EI21" s="55">
        <f>'16'!$BR$17</f>
        <v>0</v>
      </c>
      <c r="EJ21" s="55">
        <f>'16'!$BS$17</f>
        <v>0</v>
      </c>
      <c r="EK21" s="55">
        <f>'16'!$BT$17</f>
        <v>0</v>
      </c>
      <c r="EL21" s="55">
        <f>'16'!$BU$17</f>
        <v>0</v>
      </c>
      <c r="EM21" s="55">
        <f>'16'!$BV$17</f>
        <v>0</v>
      </c>
      <c r="EN21" s="55">
        <f>'16'!$BW$17</f>
        <v>0</v>
      </c>
      <c r="EO21" s="55">
        <f>'16'!$BX$17</f>
        <v>0</v>
      </c>
      <c r="EP21" s="55">
        <f>'16'!$BY$17</f>
        <v>0</v>
      </c>
      <c r="EQ21" s="55">
        <f>'16'!$BN$18</f>
        <v>0</v>
      </c>
      <c r="ER21" s="55">
        <f>'16'!$BO$18</f>
        <v>0</v>
      </c>
      <c r="ES21" s="55">
        <f>'16'!$BP$18</f>
        <v>0</v>
      </c>
      <c r="ET21" s="55">
        <f>'16'!$BQ$18</f>
        <v>0</v>
      </c>
      <c r="EU21" s="55">
        <f>'16'!$BR$18</f>
        <v>0</v>
      </c>
      <c r="EV21" s="55">
        <f>'16'!$BS$18</f>
        <v>0</v>
      </c>
      <c r="EW21" s="55">
        <f>'16'!$BT$18</f>
        <v>0</v>
      </c>
      <c r="EX21" s="55">
        <f>'16'!$BU$18</f>
        <v>0</v>
      </c>
      <c r="EY21" s="55">
        <f>'16'!$BV$18</f>
        <v>0</v>
      </c>
      <c r="EZ21" s="55">
        <f>'16'!$BW$18</f>
        <v>0</v>
      </c>
      <c r="FA21" s="55">
        <f>'16'!$BX$18</f>
        <v>0</v>
      </c>
      <c r="FB21" s="55">
        <f>'16'!$BY$18</f>
        <v>0</v>
      </c>
      <c r="FC21" s="55">
        <f>'16'!$BN$19</f>
        <v>0</v>
      </c>
      <c r="FD21" s="55">
        <f>'16'!$BO$19</f>
        <v>0</v>
      </c>
      <c r="FE21" s="55">
        <f>'16'!$BP$19</f>
        <v>0</v>
      </c>
      <c r="FF21" s="55">
        <f>'16'!$BQ$19</f>
        <v>0</v>
      </c>
      <c r="FG21" s="55">
        <f>'16'!$BR$19</f>
        <v>0</v>
      </c>
      <c r="FH21" s="55">
        <f>'16'!$BS$19</f>
        <v>0</v>
      </c>
      <c r="FI21" s="55">
        <f>'16'!$BT$19</f>
        <v>0</v>
      </c>
      <c r="FJ21" s="55">
        <f>'16'!$BU$19</f>
        <v>0</v>
      </c>
      <c r="FK21" s="55">
        <f>'16'!$BV$19</f>
        <v>0</v>
      </c>
      <c r="FL21" s="55">
        <f>'16'!$BW$19</f>
        <v>0</v>
      </c>
      <c r="FM21" s="55">
        <f>'16'!$BX$19</f>
        <v>0</v>
      </c>
      <c r="FN21" s="55">
        <f>'16'!$BY$19</f>
        <v>0</v>
      </c>
      <c r="FO21" s="55">
        <f>'16'!$BN$20</f>
        <v>0</v>
      </c>
      <c r="FP21" s="55">
        <f>'16'!$BO$20</f>
        <v>0</v>
      </c>
      <c r="FQ21" s="55">
        <f>'16'!$BP$20</f>
        <v>0</v>
      </c>
      <c r="FR21" s="55">
        <f>'16'!$BQ$20</f>
        <v>0</v>
      </c>
      <c r="FS21" s="55">
        <f>'16'!$BR$20</f>
        <v>0</v>
      </c>
      <c r="FT21" s="55">
        <f>'16'!$BS$20</f>
        <v>0</v>
      </c>
      <c r="FU21" s="55">
        <f>'16'!$BT$20</f>
        <v>0</v>
      </c>
      <c r="FV21" s="55">
        <f>'16'!$BU$20</f>
        <v>0</v>
      </c>
      <c r="FW21" s="55">
        <f>'16'!$BV$20</f>
        <v>0</v>
      </c>
      <c r="FX21" s="55">
        <f>'16'!$BW$20</f>
        <v>0</v>
      </c>
      <c r="FY21" s="55">
        <f>'16'!$BX$20</f>
        <v>0</v>
      </c>
      <c r="FZ21" s="55">
        <f>'16'!$BY$20</f>
        <v>0</v>
      </c>
      <c r="GA21" s="55">
        <f>'16'!$BN$21</f>
        <v>0</v>
      </c>
      <c r="GB21" s="55">
        <f>'16'!$BO$21</f>
        <v>0</v>
      </c>
      <c r="GC21" s="55">
        <f>'16'!$BP$21</f>
        <v>0</v>
      </c>
      <c r="GD21" s="55">
        <f>'16'!$BQ$21</f>
        <v>0</v>
      </c>
      <c r="GE21" s="55">
        <f>'16'!$BR$21</f>
        <v>0</v>
      </c>
      <c r="GF21" s="55">
        <f>'16'!$BS$21</f>
        <v>0</v>
      </c>
      <c r="GG21" s="55">
        <f>'16'!$BT$21</f>
        <v>0</v>
      </c>
      <c r="GH21" s="55">
        <f>'16'!$BU$21</f>
        <v>0</v>
      </c>
      <c r="GI21" s="55">
        <f>'16'!$BV$21</f>
        <v>0</v>
      </c>
      <c r="GJ21" s="55">
        <f>'16'!$BW$21</f>
        <v>0</v>
      </c>
      <c r="GK21" s="55">
        <f>'16'!$BX$21</f>
        <v>0</v>
      </c>
      <c r="GL21" s="55">
        <f>'16'!$BY$21</f>
        <v>0</v>
      </c>
      <c r="GM21" s="55">
        <f>'16'!$BN$22</f>
        <v>0</v>
      </c>
      <c r="GN21" s="55">
        <f>'16'!$BO$22</f>
        <v>0</v>
      </c>
      <c r="GO21" s="55">
        <f>'16'!$BP$22</f>
        <v>0</v>
      </c>
      <c r="GP21" s="55">
        <f>'16'!$BQ$22</f>
        <v>0</v>
      </c>
      <c r="GQ21" s="55">
        <f>'16'!$BR$22</f>
        <v>0</v>
      </c>
      <c r="GR21" s="55">
        <f>'16'!$BS$22</f>
        <v>0</v>
      </c>
      <c r="GS21" s="55">
        <f>'16'!$BT$22</f>
        <v>0</v>
      </c>
      <c r="GT21" s="55">
        <f>'16'!$BU$22</f>
        <v>0</v>
      </c>
      <c r="GU21" s="55">
        <f>'16'!$BV$22</f>
        <v>0</v>
      </c>
      <c r="GV21" s="55">
        <f>'16'!$BW$22</f>
        <v>0</v>
      </c>
      <c r="GW21" s="55">
        <f>'16'!$BX$22</f>
        <v>0</v>
      </c>
      <c r="GX21" s="55">
        <f>'16'!$BY$22</f>
        <v>0</v>
      </c>
      <c r="GY21" s="55">
        <f>'16'!$BN$23</f>
        <v>0</v>
      </c>
      <c r="GZ21" s="55">
        <f>'16'!$BO$23</f>
        <v>0</v>
      </c>
      <c r="HA21" s="55">
        <f>'16'!$BP$23</f>
        <v>0</v>
      </c>
      <c r="HB21" s="55">
        <f>'16'!$BQ$23</f>
        <v>0</v>
      </c>
      <c r="HC21" s="55">
        <f>'16'!$BR$23</f>
        <v>0</v>
      </c>
      <c r="HD21" s="55">
        <f>'16'!$BS$23</f>
        <v>0</v>
      </c>
      <c r="HE21" s="55">
        <f>'16'!$BT$23</f>
        <v>0</v>
      </c>
      <c r="HF21" s="55">
        <f>'16'!$BU$23</f>
        <v>0</v>
      </c>
      <c r="HG21" s="55">
        <f>'16'!$BV$23</f>
        <v>0</v>
      </c>
      <c r="HH21" s="55">
        <f>'16'!$BW$23</f>
        <v>0</v>
      </c>
      <c r="HI21" s="55">
        <f>'16'!$BX$23</f>
        <v>0</v>
      </c>
      <c r="HJ21" s="55">
        <f>'16'!$BY$23</f>
        <v>0</v>
      </c>
      <c r="HK21" s="55">
        <f>'16'!$BN$24</f>
        <v>0</v>
      </c>
      <c r="HL21" s="55">
        <f>'16'!$BO$24</f>
        <v>0</v>
      </c>
      <c r="HM21" s="55">
        <f>'16'!$BP$24</f>
        <v>0</v>
      </c>
      <c r="HN21" s="55">
        <f>'16'!$BQ$24</f>
        <v>0</v>
      </c>
      <c r="HO21" s="55">
        <f>'16'!$BR$24</f>
        <v>0</v>
      </c>
      <c r="HP21" s="55">
        <f>'16'!$BS$24</f>
        <v>0</v>
      </c>
      <c r="HQ21" s="55">
        <f>'16'!$BT$24</f>
        <v>0</v>
      </c>
      <c r="HR21" s="55">
        <f>'16'!$BU$24</f>
        <v>0</v>
      </c>
      <c r="HS21" s="55">
        <f>'16'!$BV$24</f>
        <v>0</v>
      </c>
      <c r="HT21" s="55">
        <f>'16'!$BW$24</f>
        <v>0</v>
      </c>
      <c r="HU21" s="55">
        <f>'16'!$BX$24</f>
        <v>0</v>
      </c>
      <c r="HV21" s="55">
        <f>'16'!$BY$24</f>
        <v>0</v>
      </c>
      <c r="HW21" s="55">
        <f>'16'!$BN$25</f>
        <v>0</v>
      </c>
      <c r="HX21" s="55">
        <f>'16'!$BO$25</f>
        <v>0</v>
      </c>
      <c r="HY21" s="55">
        <f>'16'!$BP$25</f>
        <v>0</v>
      </c>
      <c r="HZ21" s="55">
        <f>'16'!$BQ$25</f>
        <v>0</v>
      </c>
      <c r="IA21" s="55">
        <f>'16'!$BR$25</f>
        <v>0</v>
      </c>
      <c r="IB21" s="55">
        <f>'16'!$BS$25</f>
        <v>0</v>
      </c>
      <c r="IC21" s="55">
        <f>'16'!$BT$25</f>
        <v>0</v>
      </c>
      <c r="ID21" s="55">
        <f>'16'!$BU$25</f>
        <v>0</v>
      </c>
      <c r="IE21" s="55">
        <f>'16'!$BV$25</f>
        <v>0</v>
      </c>
      <c r="IF21" s="55">
        <f>'16'!$BW$25</f>
        <v>0</v>
      </c>
      <c r="IG21" s="55">
        <f>'16'!$BX$25</f>
        <v>0</v>
      </c>
      <c r="IH21" s="55">
        <f>'16'!$BY$25</f>
        <v>0</v>
      </c>
      <c r="II21" s="55">
        <f>'16'!$BN$26</f>
        <v>0</v>
      </c>
      <c r="IJ21" s="55">
        <f>'16'!$BO$26</f>
        <v>0</v>
      </c>
      <c r="IK21" s="55">
        <f>'16'!$BP$26</f>
        <v>0</v>
      </c>
      <c r="IL21" s="55">
        <f>'16'!$BQ$26</f>
        <v>0</v>
      </c>
      <c r="IM21" s="55">
        <f>'16'!$BR$26</f>
        <v>0</v>
      </c>
      <c r="IN21" s="55">
        <f>'16'!$BS$26</f>
        <v>0</v>
      </c>
      <c r="IO21" s="55">
        <f>'16'!$BT$26</f>
        <v>0</v>
      </c>
      <c r="IP21" s="55">
        <f>'16'!$BU$26</f>
        <v>0</v>
      </c>
      <c r="IQ21" s="55">
        <f>'16'!$BV$26</f>
        <v>0</v>
      </c>
      <c r="IR21" s="55">
        <f>'16'!$BW$26</f>
        <v>0</v>
      </c>
      <c r="IS21" s="55">
        <f>'16'!$BX$26</f>
        <v>0</v>
      </c>
      <c r="IT21" s="55">
        <f>'16'!$BY$26</f>
        <v>0</v>
      </c>
      <c r="IU21" s="55">
        <f>'16'!$BN$27</f>
        <v>0</v>
      </c>
      <c r="IV21" s="55">
        <f>'16'!$BO$27</f>
        <v>0</v>
      </c>
      <c r="IW21" s="55">
        <f>'16'!$BP$27</f>
        <v>0</v>
      </c>
      <c r="IX21" s="55">
        <f>'16'!$BQ$27</f>
        <v>0</v>
      </c>
      <c r="IY21" s="55">
        <f>'16'!$BR$27</f>
        <v>0</v>
      </c>
      <c r="IZ21" s="55">
        <f>'16'!$BS$27</f>
        <v>0</v>
      </c>
      <c r="JA21" s="55">
        <f>'16'!$BT$27</f>
        <v>0</v>
      </c>
      <c r="JB21" s="55">
        <f>'16'!$BU$27</f>
        <v>0</v>
      </c>
      <c r="JC21" s="55">
        <f>'16'!$BV$27</f>
        <v>0</v>
      </c>
      <c r="JD21" s="55">
        <f>'16'!$BW$27</f>
        <v>0</v>
      </c>
      <c r="JE21" s="55">
        <f>'16'!$BX$27</f>
        <v>0</v>
      </c>
      <c r="JF21" s="55">
        <f>'16'!$BY$27</f>
        <v>0</v>
      </c>
      <c r="JG21" s="55">
        <f>'16'!$BN$28</f>
        <v>0</v>
      </c>
      <c r="JH21" s="55">
        <f>'16'!$BO$28</f>
        <v>0</v>
      </c>
      <c r="JI21" s="55">
        <f>'16'!$BP$28</f>
        <v>0</v>
      </c>
      <c r="JJ21" s="55">
        <f>'16'!$BQ$28</f>
        <v>0</v>
      </c>
      <c r="JK21" s="55">
        <f>'16'!$BR$28</f>
        <v>0</v>
      </c>
      <c r="JL21" s="55">
        <f>'16'!$BS$28</f>
        <v>0</v>
      </c>
      <c r="JM21" s="55">
        <f>'16'!$BT$28</f>
        <v>0</v>
      </c>
      <c r="JN21" s="55">
        <f>'16'!$BU$28</f>
        <v>0</v>
      </c>
      <c r="JO21" s="55">
        <f>'16'!$BV$28</f>
        <v>0</v>
      </c>
      <c r="JP21" s="55">
        <f>'16'!$BW$28</f>
        <v>0</v>
      </c>
      <c r="JQ21" s="55">
        <f>'16'!$BX$28</f>
        <v>0</v>
      </c>
      <c r="JR21" s="55">
        <f>'16'!$BY$28</f>
        <v>0</v>
      </c>
      <c r="JS21" s="55">
        <f>'16'!$BN$29</f>
        <v>0</v>
      </c>
      <c r="JT21" s="55">
        <f>'16'!$BO$29</f>
        <v>0</v>
      </c>
      <c r="JU21" s="55">
        <f>'16'!$BP$29</f>
        <v>0</v>
      </c>
      <c r="JV21" s="55">
        <f>'16'!$BQ$29</f>
        <v>0</v>
      </c>
      <c r="JW21" s="55">
        <f>'16'!$BR$29</f>
        <v>0</v>
      </c>
      <c r="JX21" s="55">
        <f>'16'!$BS$29</f>
        <v>0</v>
      </c>
      <c r="JY21" s="55">
        <f>'16'!$BT$29</f>
        <v>0</v>
      </c>
      <c r="JZ21" s="55">
        <f>'16'!$BU$29</f>
        <v>0</v>
      </c>
      <c r="KA21" s="55">
        <f>'16'!$BV$29</f>
        <v>0</v>
      </c>
      <c r="KB21" s="55">
        <f>'16'!$BW$29</f>
        <v>0</v>
      </c>
      <c r="KC21" s="55">
        <f>'16'!$BX$29</f>
        <v>0</v>
      </c>
      <c r="KD21" s="55">
        <f>'16'!$BY$29</f>
        <v>0</v>
      </c>
    </row>
    <row r="22" spans="1:290" ht="15" x14ac:dyDescent="0.25">
      <c r="A22" s="50">
        <v>46190</v>
      </c>
      <c r="B22" s="52"/>
      <c r="C22" s="55">
        <f>'17'!$BN$6</f>
        <v>0</v>
      </c>
      <c r="D22" s="55">
        <f>'17'!$BO$6</f>
        <v>0</v>
      </c>
      <c r="E22" s="55">
        <f>'17'!$BP$6</f>
        <v>0</v>
      </c>
      <c r="F22" s="55">
        <f>'17'!$BQ$6</f>
        <v>0</v>
      </c>
      <c r="G22" s="55">
        <f>'17'!$BR$6</f>
        <v>0</v>
      </c>
      <c r="H22" s="55">
        <f>'17'!$BS$6</f>
        <v>0</v>
      </c>
      <c r="I22" s="55">
        <f>'17'!$BT$6</f>
        <v>0</v>
      </c>
      <c r="J22" s="55">
        <f>'17'!$BU$6</f>
        <v>0</v>
      </c>
      <c r="K22" s="55">
        <f>'17'!$BV$6</f>
        <v>0</v>
      </c>
      <c r="L22" s="55">
        <f>'17'!$BW$6</f>
        <v>0</v>
      </c>
      <c r="M22" s="55">
        <f>'17'!$BX$6</f>
        <v>0</v>
      </c>
      <c r="N22" s="55">
        <f>'17'!$BY$6</f>
        <v>0</v>
      </c>
      <c r="O22" s="55">
        <f>'17'!$BN$7</f>
        <v>0</v>
      </c>
      <c r="P22" s="55">
        <f>'17'!$BO$7</f>
        <v>0</v>
      </c>
      <c r="Q22" s="55">
        <f>'17'!$BP$7</f>
        <v>0</v>
      </c>
      <c r="R22" s="55">
        <f>'17'!$BQ$7</f>
        <v>0</v>
      </c>
      <c r="S22" s="55">
        <f>'17'!$BR$7</f>
        <v>0</v>
      </c>
      <c r="T22" s="55">
        <f>'17'!$BS$7</f>
        <v>0</v>
      </c>
      <c r="U22" s="55">
        <f>'17'!$BT$7</f>
        <v>0</v>
      </c>
      <c r="V22" s="55">
        <f>'17'!$BU$7</f>
        <v>0</v>
      </c>
      <c r="W22" s="55">
        <f>'17'!$BV$7</f>
        <v>0</v>
      </c>
      <c r="X22" s="55">
        <f>'17'!$BW$7</f>
        <v>0</v>
      </c>
      <c r="Y22" s="55">
        <f>'17'!$BX$7</f>
        <v>0</v>
      </c>
      <c r="Z22" s="55">
        <f>'17'!$BY$7</f>
        <v>0</v>
      </c>
      <c r="AA22" s="55">
        <f>'17'!$BN$8</f>
        <v>0</v>
      </c>
      <c r="AB22" s="55">
        <f>'17'!$BO$8</f>
        <v>0</v>
      </c>
      <c r="AC22" s="55">
        <f>'17'!$BP$8</f>
        <v>0</v>
      </c>
      <c r="AD22" s="55">
        <f>'17'!$BQ$8</f>
        <v>0</v>
      </c>
      <c r="AE22" s="55">
        <f>'17'!$BR$8</f>
        <v>0</v>
      </c>
      <c r="AF22" s="55">
        <f>'17'!$BS$8</f>
        <v>0</v>
      </c>
      <c r="AG22" s="55">
        <f>'17'!$BT$8</f>
        <v>0</v>
      </c>
      <c r="AH22" s="55">
        <f>'17'!$BU$8</f>
        <v>0</v>
      </c>
      <c r="AI22" s="55">
        <f>'17'!$BV$8</f>
        <v>0</v>
      </c>
      <c r="AJ22" s="55">
        <f>'17'!$BW$8</f>
        <v>0</v>
      </c>
      <c r="AK22" s="55">
        <f>'17'!$BX$8</f>
        <v>0</v>
      </c>
      <c r="AL22" s="55">
        <f>'17'!$BY$8</f>
        <v>0</v>
      </c>
      <c r="AM22" s="55">
        <f>'17'!$BN$9</f>
        <v>0</v>
      </c>
      <c r="AN22" s="55">
        <f>'17'!$BO$9</f>
        <v>0</v>
      </c>
      <c r="AO22" s="55">
        <f>'17'!$BP$9</f>
        <v>0</v>
      </c>
      <c r="AP22" s="55">
        <f>'17'!$BQ$9</f>
        <v>0</v>
      </c>
      <c r="AQ22" s="55">
        <f>'17'!$BR$9</f>
        <v>0</v>
      </c>
      <c r="AR22" s="55">
        <f>'17'!$BS$9</f>
        <v>0</v>
      </c>
      <c r="AS22" s="55">
        <f>'17'!$BT$9</f>
        <v>0</v>
      </c>
      <c r="AT22" s="55">
        <f>'17'!$BU$9</f>
        <v>0</v>
      </c>
      <c r="AU22" s="55">
        <f>'17'!$BV$9</f>
        <v>0</v>
      </c>
      <c r="AV22" s="55">
        <f>'17'!$BW$9</f>
        <v>0</v>
      </c>
      <c r="AW22" s="55">
        <f>'17'!$BX$9</f>
        <v>0</v>
      </c>
      <c r="AX22" s="55">
        <f>'17'!$BY$9</f>
        <v>0</v>
      </c>
      <c r="AY22" s="55">
        <f>'17'!$BN$10</f>
        <v>0</v>
      </c>
      <c r="AZ22" s="55">
        <f>'17'!$BO$10</f>
        <v>0</v>
      </c>
      <c r="BA22" s="55">
        <f>'17'!$BP$10</f>
        <v>0</v>
      </c>
      <c r="BB22" s="55">
        <f>'17'!$BQ$10</f>
        <v>0</v>
      </c>
      <c r="BC22" s="55">
        <f>'17'!$BR$10</f>
        <v>0</v>
      </c>
      <c r="BD22" s="55">
        <f>'17'!$BS$10</f>
        <v>0</v>
      </c>
      <c r="BE22" s="55">
        <f>'17'!$BT$10</f>
        <v>0</v>
      </c>
      <c r="BF22" s="55">
        <f>'17'!$BU$10</f>
        <v>0</v>
      </c>
      <c r="BG22" s="55">
        <f>'17'!$BV$10</f>
        <v>0</v>
      </c>
      <c r="BH22" s="55">
        <f>'17'!$BW$10</f>
        <v>0</v>
      </c>
      <c r="BI22" s="55">
        <f>'17'!$BX$10</f>
        <v>0</v>
      </c>
      <c r="BJ22" s="55">
        <f>'17'!$BY$10</f>
        <v>0</v>
      </c>
      <c r="BK22" s="55">
        <f>'17'!$BN$11</f>
        <v>0</v>
      </c>
      <c r="BL22" s="55">
        <f>'17'!$BO$11</f>
        <v>0</v>
      </c>
      <c r="BM22" s="55">
        <f>'17'!$BP$11</f>
        <v>0</v>
      </c>
      <c r="BN22" s="55">
        <f>'17'!$BQ$11</f>
        <v>0</v>
      </c>
      <c r="BO22" s="55">
        <f>'17'!$BR$11</f>
        <v>0</v>
      </c>
      <c r="BP22" s="55">
        <f>'17'!$BS$11</f>
        <v>0</v>
      </c>
      <c r="BQ22" s="55">
        <f>'17'!$BT$11</f>
        <v>0</v>
      </c>
      <c r="BR22" s="55">
        <f>'17'!$BU$11</f>
        <v>0</v>
      </c>
      <c r="BS22" s="55">
        <f>'17'!$BV$11</f>
        <v>0</v>
      </c>
      <c r="BT22" s="55">
        <f>'17'!$BW$11</f>
        <v>0</v>
      </c>
      <c r="BU22" s="55">
        <f>'17'!$BX$11</f>
        <v>0</v>
      </c>
      <c r="BV22" s="55">
        <f>'17'!$BY$11</f>
        <v>0</v>
      </c>
      <c r="BW22" s="55">
        <f>'17'!$BN$12</f>
        <v>0</v>
      </c>
      <c r="BX22" s="55">
        <f>'17'!$BO$12</f>
        <v>0</v>
      </c>
      <c r="BY22" s="55">
        <f>'17'!$BP$12</f>
        <v>0</v>
      </c>
      <c r="BZ22" s="55">
        <f>'17'!$BQ$12</f>
        <v>0</v>
      </c>
      <c r="CA22" s="55">
        <f>'17'!$BR$12</f>
        <v>0</v>
      </c>
      <c r="CB22" s="55">
        <f>'17'!$BS$12</f>
        <v>0</v>
      </c>
      <c r="CC22" s="55">
        <f>'17'!$BT$12</f>
        <v>0</v>
      </c>
      <c r="CD22" s="55">
        <f>'17'!$BU$12</f>
        <v>0</v>
      </c>
      <c r="CE22" s="55">
        <f>'17'!$BV$12</f>
        <v>0</v>
      </c>
      <c r="CF22" s="55">
        <f>'17'!$BW$12</f>
        <v>0</v>
      </c>
      <c r="CG22" s="55">
        <f>'17'!$BX$12</f>
        <v>0</v>
      </c>
      <c r="CH22" s="55">
        <f>'17'!$BY$12</f>
        <v>0</v>
      </c>
      <c r="CI22" s="55">
        <f>'17'!$BN$13</f>
        <v>0</v>
      </c>
      <c r="CJ22" s="55">
        <f>'17'!$BO$13</f>
        <v>0</v>
      </c>
      <c r="CK22" s="55">
        <f>'17'!$BP$13</f>
        <v>0</v>
      </c>
      <c r="CL22" s="55">
        <f>'17'!$BQ$13</f>
        <v>0</v>
      </c>
      <c r="CM22" s="55">
        <f>'17'!$BR$13</f>
        <v>0</v>
      </c>
      <c r="CN22" s="55">
        <f>'17'!$BS$13</f>
        <v>0</v>
      </c>
      <c r="CO22" s="55">
        <f>'17'!$BT$13</f>
        <v>0</v>
      </c>
      <c r="CP22" s="55">
        <f>'17'!$BU$13</f>
        <v>0</v>
      </c>
      <c r="CQ22" s="55">
        <f>'17'!$BV$13</f>
        <v>0</v>
      </c>
      <c r="CR22" s="55">
        <f>'17'!$BW$13</f>
        <v>0</v>
      </c>
      <c r="CS22" s="55">
        <f>'17'!$BX$13</f>
        <v>0</v>
      </c>
      <c r="CT22" s="55">
        <f>'17'!$BY$13</f>
        <v>0</v>
      </c>
      <c r="CU22" s="55">
        <f>'17'!$BN$14</f>
        <v>0</v>
      </c>
      <c r="CV22" s="55">
        <f>'17'!$BO$14</f>
        <v>0</v>
      </c>
      <c r="CW22" s="55">
        <f>'17'!$BP$14</f>
        <v>0</v>
      </c>
      <c r="CX22" s="55">
        <f>'17'!$BQ$14</f>
        <v>0</v>
      </c>
      <c r="CY22" s="55">
        <f>'17'!$BR$14</f>
        <v>0</v>
      </c>
      <c r="CZ22" s="55">
        <f>'17'!$BS$14</f>
        <v>0</v>
      </c>
      <c r="DA22" s="55">
        <f>'17'!$BT$14</f>
        <v>0</v>
      </c>
      <c r="DB22" s="55">
        <f>'17'!$BU$14</f>
        <v>0</v>
      </c>
      <c r="DC22" s="55">
        <f>'17'!$BV$14</f>
        <v>0</v>
      </c>
      <c r="DD22" s="55">
        <f>'17'!$BW$14</f>
        <v>0</v>
      </c>
      <c r="DE22" s="55">
        <f>'17'!$BX$14</f>
        <v>0</v>
      </c>
      <c r="DF22" s="55">
        <f>'17'!$BY$14</f>
        <v>0</v>
      </c>
      <c r="DG22" s="55">
        <f>'17'!$BN$15</f>
        <v>0</v>
      </c>
      <c r="DH22" s="55">
        <f>'17'!$BO$15</f>
        <v>0</v>
      </c>
      <c r="DI22" s="55">
        <f>'17'!$BP$15</f>
        <v>0</v>
      </c>
      <c r="DJ22" s="55">
        <f>'17'!$BQ$15</f>
        <v>0</v>
      </c>
      <c r="DK22" s="55">
        <f>'17'!$BR$15</f>
        <v>0</v>
      </c>
      <c r="DL22" s="55">
        <f>'17'!$BS$15</f>
        <v>0</v>
      </c>
      <c r="DM22" s="55">
        <f>'17'!$BT$15</f>
        <v>0</v>
      </c>
      <c r="DN22" s="55">
        <f>'17'!$BU$15</f>
        <v>0</v>
      </c>
      <c r="DO22" s="55">
        <f>'17'!$BV$15</f>
        <v>0</v>
      </c>
      <c r="DP22" s="55">
        <f>'17'!$BW$15</f>
        <v>0</v>
      </c>
      <c r="DQ22" s="55">
        <f>'17'!$BX$15</f>
        <v>0</v>
      </c>
      <c r="DR22" s="55">
        <f>'17'!$BY$15</f>
        <v>0</v>
      </c>
      <c r="DS22" s="55">
        <f>'17'!$BN$16</f>
        <v>0</v>
      </c>
      <c r="DT22" s="55">
        <f>'17'!$BO$16</f>
        <v>0</v>
      </c>
      <c r="DU22" s="55">
        <f>'17'!$BP$16</f>
        <v>0</v>
      </c>
      <c r="DV22" s="55">
        <f>'17'!$BQ$16</f>
        <v>0</v>
      </c>
      <c r="DW22" s="55">
        <f>'17'!$BR$16</f>
        <v>0</v>
      </c>
      <c r="DX22" s="55">
        <f>'17'!$BS$16</f>
        <v>0</v>
      </c>
      <c r="DY22" s="55">
        <f>'17'!$BT$16</f>
        <v>0</v>
      </c>
      <c r="DZ22" s="55">
        <f>'17'!$BU$16</f>
        <v>0</v>
      </c>
      <c r="EA22" s="55">
        <f>'17'!$BV$16</f>
        <v>0</v>
      </c>
      <c r="EB22" s="55">
        <f>'17'!$BW$16</f>
        <v>0</v>
      </c>
      <c r="EC22" s="55">
        <f>'17'!$BX$16</f>
        <v>0</v>
      </c>
      <c r="ED22" s="55">
        <f>'17'!$BY$16</f>
        <v>0</v>
      </c>
      <c r="EE22" s="55">
        <f>'17'!$BN$17</f>
        <v>0</v>
      </c>
      <c r="EF22" s="55">
        <f>'17'!$BO$17</f>
        <v>0</v>
      </c>
      <c r="EG22" s="55">
        <f>'17'!$BP$17</f>
        <v>0</v>
      </c>
      <c r="EH22" s="55">
        <f>'17'!$BQ$17</f>
        <v>0</v>
      </c>
      <c r="EI22" s="55">
        <f>'17'!$BR$17</f>
        <v>0</v>
      </c>
      <c r="EJ22" s="55">
        <f>'17'!$BS$17</f>
        <v>0</v>
      </c>
      <c r="EK22" s="55">
        <f>'17'!$BT$17</f>
        <v>0</v>
      </c>
      <c r="EL22" s="55">
        <f>'17'!$BU$17</f>
        <v>0</v>
      </c>
      <c r="EM22" s="55">
        <f>'17'!$BV$17</f>
        <v>0</v>
      </c>
      <c r="EN22" s="55">
        <f>'17'!$BW$17</f>
        <v>0</v>
      </c>
      <c r="EO22" s="55">
        <f>'17'!$BX$17</f>
        <v>0</v>
      </c>
      <c r="EP22" s="55">
        <f>'17'!$BY$17</f>
        <v>0</v>
      </c>
      <c r="EQ22" s="55">
        <f>'17'!$BN$18</f>
        <v>0</v>
      </c>
      <c r="ER22" s="55">
        <f>'17'!$BO$18</f>
        <v>0</v>
      </c>
      <c r="ES22" s="55">
        <f>'17'!$BP$18</f>
        <v>0</v>
      </c>
      <c r="ET22" s="55">
        <f>'17'!$BQ$18</f>
        <v>0</v>
      </c>
      <c r="EU22" s="55">
        <f>'17'!$BR$18</f>
        <v>0</v>
      </c>
      <c r="EV22" s="55">
        <f>'17'!$BS$18</f>
        <v>0</v>
      </c>
      <c r="EW22" s="55">
        <f>'17'!$BT$18</f>
        <v>0</v>
      </c>
      <c r="EX22" s="55">
        <f>'17'!$BU$18</f>
        <v>0</v>
      </c>
      <c r="EY22" s="55">
        <f>'17'!$BV$18</f>
        <v>0</v>
      </c>
      <c r="EZ22" s="55">
        <f>'17'!$BW$18</f>
        <v>0</v>
      </c>
      <c r="FA22" s="55">
        <f>'17'!$BX$18</f>
        <v>0</v>
      </c>
      <c r="FB22" s="55">
        <f>'17'!$BY$18</f>
        <v>0</v>
      </c>
      <c r="FC22" s="55">
        <f>'17'!$BN$19</f>
        <v>0</v>
      </c>
      <c r="FD22" s="55">
        <f>'17'!$BO$19</f>
        <v>0</v>
      </c>
      <c r="FE22" s="55">
        <f>'17'!$BP$19</f>
        <v>0</v>
      </c>
      <c r="FF22" s="55">
        <f>'17'!$BQ$19</f>
        <v>0</v>
      </c>
      <c r="FG22" s="55">
        <f>'17'!$BR$19</f>
        <v>0</v>
      </c>
      <c r="FH22" s="55">
        <f>'17'!$BS$19</f>
        <v>0</v>
      </c>
      <c r="FI22" s="55">
        <f>'17'!$BT$19</f>
        <v>0</v>
      </c>
      <c r="FJ22" s="55">
        <f>'17'!$BU$19</f>
        <v>0</v>
      </c>
      <c r="FK22" s="55">
        <f>'17'!$BV$19</f>
        <v>0</v>
      </c>
      <c r="FL22" s="55">
        <f>'17'!$BW$19</f>
        <v>0</v>
      </c>
      <c r="FM22" s="55">
        <f>'17'!$BX$19</f>
        <v>0</v>
      </c>
      <c r="FN22" s="55">
        <f>'17'!$BY$19</f>
        <v>0</v>
      </c>
      <c r="FO22" s="55">
        <f>'17'!$BN$20</f>
        <v>0</v>
      </c>
      <c r="FP22" s="55">
        <f>'17'!$BO$20</f>
        <v>0</v>
      </c>
      <c r="FQ22" s="55">
        <f>'17'!$BP$20</f>
        <v>0</v>
      </c>
      <c r="FR22" s="55">
        <f>'17'!$BQ$20</f>
        <v>0</v>
      </c>
      <c r="FS22" s="55">
        <f>'17'!$BR$20</f>
        <v>0</v>
      </c>
      <c r="FT22" s="55">
        <f>'17'!$BS$20</f>
        <v>0</v>
      </c>
      <c r="FU22" s="55">
        <f>'17'!$BT$20</f>
        <v>0</v>
      </c>
      <c r="FV22" s="55">
        <f>'17'!$BU$20</f>
        <v>0</v>
      </c>
      <c r="FW22" s="55">
        <f>'17'!$BV$20</f>
        <v>0</v>
      </c>
      <c r="FX22" s="55">
        <f>'17'!$BW$20</f>
        <v>0</v>
      </c>
      <c r="FY22" s="55">
        <f>'17'!$BX$20</f>
        <v>0</v>
      </c>
      <c r="FZ22" s="55">
        <f>'17'!$BY$20</f>
        <v>0</v>
      </c>
      <c r="GA22" s="55">
        <f>'17'!$BN$21</f>
        <v>0</v>
      </c>
      <c r="GB22" s="55">
        <f>'17'!$BO$21</f>
        <v>0</v>
      </c>
      <c r="GC22" s="55">
        <f>'17'!$BP$21</f>
        <v>0</v>
      </c>
      <c r="GD22" s="55">
        <f>'17'!$BQ$21</f>
        <v>0</v>
      </c>
      <c r="GE22" s="55">
        <f>'17'!$BR$21</f>
        <v>0</v>
      </c>
      <c r="GF22" s="55">
        <f>'17'!$BS$21</f>
        <v>0</v>
      </c>
      <c r="GG22" s="55">
        <f>'17'!$BT$21</f>
        <v>0</v>
      </c>
      <c r="GH22" s="55">
        <f>'17'!$BU$21</f>
        <v>0</v>
      </c>
      <c r="GI22" s="55">
        <f>'17'!$BV$21</f>
        <v>0</v>
      </c>
      <c r="GJ22" s="55">
        <f>'17'!$BW$21</f>
        <v>0</v>
      </c>
      <c r="GK22" s="55">
        <f>'17'!$BX$21</f>
        <v>0</v>
      </c>
      <c r="GL22" s="55">
        <f>'17'!$BY$21</f>
        <v>0</v>
      </c>
      <c r="GM22" s="55">
        <f>'17'!$BN$22</f>
        <v>0</v>
      </c>
      <c r="GN22" s="55">
        <f>'17'!$BO$22</f>
        <v>0</v>
      </c>
      <c r="GO22" s="55">
        <f>'17'!$BP$22</f>
        <v>0</v>
      </c>
      <c r="GP22" s="55">
        <f>'17'!$BQ$22</f>
        <v>0</v>
      </c>
      <c r="GQ22" s="55">
        <f>'17'!$BR$22</f>
        <v>0</v>
      </c>
      <c r="GR22" s="55">
        <f>'17'!$BS$22</f>
        <v>0</v>
      </c>
      <c r="GS22" s="55">
        <f>'17'!$BT$22</f>
        <v>0</v>
      </c>
      <c r="GT22" s="55">
        <f>'17'!$BU$22</f>
        <v>0</v>
      </c>
      <c r="GU22" s="55">
        <f>'17'!$BV$22</f>
        <v>0</v>
      </c>
      <c r="GV22" s="55">
        <f>'17'!$BW$22</f>
        <v>0</v>
      </c>
      <c r="GW22" s="55">
        <f>'17'!$BX$22</f>
        <v>0</v>
      </c>
      <c r="GX22" s="55">
        <f>'17'!$BY$22</f>
        <v>0</v>
      </c>
      <c r="GY22" s="55">
        <f>'17'!$BN$23</f>
        <v>0</v>
      </c>
      <c r="GZ22" s="55">
        <f>'17'!$BO$23</f>
        <v>0</v>
      </c>
      <c r="HA22" s="55">
        <f>'17'!$BP$23</f>
        <v>0</v>
      </c>
      <c r="HB22" s="55">
        <f>'17'!$BQ$23</f>
        <v>0</v>
      </c>
      <c r="HC22" s="55">
        <f>'17'!$BR$23</f>
        <v>0</v>
      </c>
      <c r="HD22" s="55">
        <f>'17'!$BS$23</f>
        <v>0</v>
      </c>
      <c r="HE22" s="55">
        <f>'17'!$BT$23</f>
        <v>0</v>
      </c>
      <c r="HF22" s="55">
        <f>'17'!$BU$23</f>
        <v>0</v>
      </c>
      <c r="HG22" s="55">
        <f>'17'!$BV$23</f>
        <v>0</v>
      </c>
      <c r="HH22" s="55">
        <f>'17'!$BW$23</f>
        <v>0</v>
      </c>
      <c r="HI22" s="55">
        <f>'17'!$BX$23</f>
        <v>0</v>
      </c>
      <c r="HJ22" s="55">
        <f>'17'!$BY$23</f>
        <v>0</v>
      </c>
      <c r="HK22" s="55">
        <f>'17'!$BN$24</f>
        <v>0</v>
      </c>
      <c r="HL22" s="55">
        <f>'17'!$BO$24</f>
        <v>0</v>
      </c>
      <c r="HM22" s="55">
        <f>'17'!$BP$24</f>
        <v>0</v>
      </c>
      <c r="HN22" s="55">
        <f>'17'!$BQ$24</f>
        <v>0</v>
      </c>
      <c r="HO22" s="55">
        <f>'17'!$BR$24</f>
        <v>0</v>
      </c>
      <c r="HP22" s="55">
        <f>'17'!$BS$24</f>
        <v>0</v>
      </c>
      <c r="HQ22" s="55">
        <f>'17'!$BT$24</f>
        <v>0</v>
      </c>
      <c r="HR22" s="55">
        <f>'17'!$BU$24</f>
        <v>0</v>
      </c>
      <c r="HS22" s="55">
        <f>'17'!$BV$24</f>
        <v>0</v>
      </c>
      <c r="HT22" s="55">
        <f>'17'!$BW$24</f>
        <v>0</v>
      </c>
      <c r="HU22" s="55">
        <f>'17'!$BX$24</f>
        <v>0</v>
      </c>
      <c r="HV22" s="55">
        <f>'17'!$BY$24</f>
        <v>0</v>
      </c>
      <c r="HW22" s="55">
        <f>'17'!$BN$25</f>
        <v>0</v>
      </c>
      <c r="HX22" s="55">
        <f>'17'!$BO$25</f>
        <v>0</v>
      </c>
      <c r="HY22" s="55">
        <f>'17'!$BP$25</f>
        <v>0</v>
      </c>
      <c r="HZ22" s="55">
        <f>'17'!$BQ$25</f>
        <v>0</v>
      </c>
      <c r="IA22" s="55">
        <f>'17'!$BR$25</f>
        <v>0</v>
      </c>
      <c r="IB22" s="55">
        <f>'17'!$BS$25</f>
        <v>0</v>
      </c>
      <c r="IC22" s="55">
        <f>'17'!$BT$25</f>
        <v>0</v>
      </c>
      <c r="ID22" s="55">
        <f>'17'!$BU$25</f>
        <v>0</v>
      </c>
      <c r="IE22" s="55">
        <f>'17'!$BV$25</f>
        <v>0</v>
      </c>
      <c r="IF22" s="55">
        <f>'17'!$BW$25</f>
        <v>0</v>
      </c>
      <c r="IG22" s="55">
        <f>'17'!$BX$25</f>
        <v>0</v>
      </c>
      <c r="IH22" s="55">
        <f>'17'!$BY$25</f>
        <v>0</v>
      </c>
      <c r="II22" s="55">
        <f>'17'!$BN$26</f>
        <v>0</v>
      </c>
      <c r="IJ22" s="55">
        <f>'17'!$BO$26</f>
        <v>0</v>
      </c>
      <c r="IK22" s="55">
        <f>'17'!$BP$26</f>
        <v>0</v>
      </c>
      <c r="IL22" s="55">
        <f>'17'!$BQ$26</f>
        <v>0</v>
      </c>
      <c r="IM22" s="55">
        <f>'17'!$BR$26</f>
        <v>0</v>
      </c>
      <c r="IN22" s="55">
        <f>'17'!$BS$26</f>
        <v>0</v>
      </c>
      <c r="IO22" s="55">
        <f>'17'!$BT$26</f>
        <v>0</v>
      </c>
      <c r="IP22" s="55">
        <f>'17'!$BU$26</f>
        <v>0</v>
      </c>
      <c r="IQ22" s="55">
        <f>'17'!$BV$26</f>
        <v>0</v>
      </c>
      <c r="IR22" s="55">
        <f>'17'!$BW$26</f>
        <v>0</v>
      </c>
      <c r="IS22" s="55">
        <f>'17'!$BX$26</f>
        <v>0</v>
      </c>
      <c r="IT22" s="55">
        <f>'17'!$BY$26</f>
        <v>0</v>
      </c>
      <c r="IU22" s="55">
        <f>'17'!$BN$27</f>
        <v>0</v>
      </c>
      <c r="IV22" s="55">
        <f>'17'!$BO$27</f>
        <v>0</v>
      </c>
      <c r="IW22" s="55">
        <f>'17'!$BP$27</f>
        <v>0</v>
      </c>
      <c r="IX22" s="55">
        <f>'17'!$BQ$27</f>
        <v>0</v>
      </c>
      <c r="IY22" s="55">
        <f>'17'!$BR$27</f>
        <v>0</v>
      </c>
      <c r="IZ22" s="55">
        <f>'17'!$BS$27</f>
        <v>0</v>
      </c>
      <c r="JA22" s="55">
        <f>'17'!$BT$27</f>
        <v>0</v>
      </c>
      <c r="JB22" s="55">
        <f>'17'!$BU$27</f>
        <v>0</v>
      </c>
      <c r="JC22" s="55">
        <f>'17'!$BV$27</f>
        <v>0</v>
      </c>
      <c r="JD22" s="55">
        <f>'17'!$BW$27</f>
        <v>0</v>
      </c>
      <c r="JE22" s="55">
        <f>'17'!$BX$27</f>
        <v>0</v>
      </c>
      <c r="JF22" s="55">
        <f>'17'!$BY$27</f>
        <v>0</v>
      </c>
      <c r="JG22" s="55">
        <f>'17'!$BN$28</f>
        <v>0</v>
      </c>
      <c r="JH22" s="55">
        <f>'17'!$BO$28</f>
        <v>0</v>
      </c>
      <c r="JI22" s="55">
        <f>'17'!$BP$28</f>
        <v>0</v>
      </c>
      <c r="JJ22" s="55">
        <f>'17'!$BQ$28</f>
        <v>0</v>
      </c>
      <c r="JK22" s="55">
        <f>'17'!$BR$28</f>
        <v>0</v>
      </c>
      <c r="JL22" s="55">
        <f>'17'!$BS$28</f>
        <v>0</v>
      </c>
      <c r="JM22" s="55">
        <f>'17'!$BT$28</f>
        <v>0</v>
      </c>
      <c r="JN22" s="55">
        <f>'17'!$BU$28</f>
        <v>0</v>
      </c>
      <c r="JO22" s="55">
        <f>'17'!$BV$28</f>
        <v>0</v>
      </c>
      <c r="JP22" s="55">
        <f>'17'!$BW$28</f>
        <v>0</v>
      </c>
      <c r="JQ22" s="55">
        <f>'17'!$BX$28</f>
        <v>0</v>
      </c>
      <c r="JR22" s="55">
        <f>'17'!$BY$28</f>
        <v>0</v>
      </c>
      <c r="JS22" s="55">
        <f>'17'!$BN$29</f>
        <v>0</v>
      </c>
      <c r="JT22" s="55">
        <f>'17'!$BO$29</f>
        <v>0</v>
      </c>
      <c r="JU22" s="55">
        <f>'17'!$BP$29</f>
        <v>0</v>
      </c>
      <c r="JV22" s="55">
        <f>'17'!$BQ$29</f>
        <v>0</v>
      </c>
      <c r="JW22" s="55">
        <f>'17'!$BR$29</f>
        <v>0</v>
      </c>
      <c r="JX22" s="55">
        <f>'17'!$BS$29</f>
        <v>0</v>
      </c>
      <c r="JY22" s="55">
        <f>'17'!$BT$29</f>
        <v>0</v>
      </c>
      <c r="JZ22" s="55">
        <f>'17'!$BU$29</f>
        <v>0</v>
      </c>
      <c r="KA22" s="55">
        <f>'17'!$BV$29</f>
        <v>0</v>
      </c>
      <c r="KB22" s="55">
        <f>'17'!$BW$29</f>
        <v>0</v>
      </c>
      <c r="KC22" s="55">
        <f>'17'!$BX$29</f>
        <v>0</v>
      </c>
      <c r="KD22" s="55">
        <f>'17'!$BY$29</f>
        <v>0</v>
      </c>
    </row>
    <row r="23" spans="1:290" ht="15" x14ac:dyDescent="0.25">
      <c r="A23" s="50">
        <v>46191</v>
      </c>
      <c r="B23" s="52"/>
      <c r="C23" s="55">
        <f>'18'!$BN$6</f>
        <v>0</v>
      </c>
      <c r="D23" s="55">
        <f>'18'!$BO$6</f>
        <v>0</v>
      </c>
      <c r="E23" s="55">
        <f>'18'!$BP$6</f>
        <v>0</v>
      </c>
      <c r="F23" s="55">
        <f>'18'!$BQ$6</f>
        <v>0</v>
      </c>
      <c r="G23" s="55">
        <f>'18'!$BR$6</f>
        <v>0</v>
      </c>
      <c r="H23" s="55">
        <f>'18'!$BS$6</f>
        <v>0</v>
      </c>
      <c r="I23" s="55">
        <f>'18'!$BT$6</f>
        <v>0</v>
      </c>
      <c r="J23" s="55">
        <f>'18'!$BU$6</f>
        <v>0</v>
      </c>
      <c r="K23" s="55">
        <f>'18'!$BV$6</f>
        <v>0</v>
      </c>
      <c r="L23" s="55">
        <f>'18'!$BW$6</f>
        <v>0</v>
      </c>
      <c r="M23" s="55">
        <f>'18'!$BX$6</f>
        <v>0</v>
      </c>
      <c r="N23" s="55">
        <f>'18'!$BY$6</f>
        <v>0</v>
      </c>
      <c r="O23" s="55">
        <f>'18'!$BN$7</f>
        <v>0</v>
      </c>
      <c r="P23" s="55">
        <f>'18'!$BO$7</f>
        <v>0</v>
      </c>
      <c r="Q23" s="55">
        <f>'18'!$BP$7</f>
        <v>0</v>
      </c>
      <c r="R23" s="55">
        <f>'18'!$BQ$7</f>
        <v>0</v>
      </c>
      <c r="S23" s="55">
        <f>'18'!$BR$7</f>
        <v>0</v>
      </c>
      <c r="T23" s="55">
        <f>'18'!$BS$7</f>
        <v>0</v>
      </c>
      <c r="U23" s="55">
        <f>'18'!$BT$7</f>
        <v>0</v>
      </c>
      <c r="V23" s="55">
        <f>'18'!$BU$7</f>
        <v>0</v>
      </c>
      <c r="W23" s="55">
        <f>'18'!$BV$7</f>
        <v>0</v>
      </c>
      <c r="X23" s="55">
        <f>'18'!$BW$7</f>
        <v>0</v>
      </c>
      <c r="Y23" s="55">
        <f>'18'!$BX$7</f>
        <v>0</v>
      </c>
      <c r="Z23" s="55">
        <f>'18'!$BY$7</f>
        <v>0</v>
      </c>
      <c r="AA23" s="55">
        <f>'18'!$BN$8</f>
        <v>0</v>
      </c>
      <c r="AB23" s="55">
        <f>'18'!$BO$8</f>
        <v>0</v>
      </c>
      <c r="AC23" s="55">
        <f>'18'!$BP$8</f>
        <v>0</v>
      </c>
      <c r="AD23" s="55">
        <f>'18'!$BQ$8</f>
        <v>0</v>
      </c>
      <c r="AE23" s="55">
        <f>'18'!$BR$8</f>
        <v>0</v>
      </c>
      <c r="AF23" s="55">
        <f>'18'!$BS$8</f>
        <v>0</v>
      </c>
      <c r="AG23" s="55">
        <f>'18'!$BT$8</f>
        <v>0</v>
      </c>
      <c r="AH23" s="55">
        <f>'18'!$BU$8</f>
        <v>0</v>
      </c>
      <c r="AI23" s="55">
        <f>'18'!$BV$8</f>
        <v>0</v>
      </c>
      <c r="AJ23" s="55">
        <f>'18'!$BW$8</f>
        <v>0</v>
      </c>
      <c r="AK23" s="55">
        <f>'18'!$BX$8</f>
        <v>0</v>
      </c>
      <c r="AL23" s="55">
        <f>'18'!$BY$8</f>
        <v>0</v>
      </c>
      <c r="AM23" s="55">
        <f>'18'!$BN$9</f>
        <v>0</v>
      </c>
      <c r="AN23" s="55">
        <f>'18'!$BO$9</f>
        <v>0</v>
      </c>
      <c r="AO23" s="55">
        <f>'18'!$BP$9</f>
        <v>0</v>
      </c>
      <c r="AP23" s="55">
        <f>'18'!$BQ$9</f>
        <v>0</v>
      </c>
      <c r="AQ23" s="55">
        <f>'18'!$BR$9</f>
        <v>0</v>
      </c>
      <c r="AR23" s="55">
        <f>'18'!$BS$9</f>
        <v>0</v>
      </c>
      <c r="AS23" s="55">
        <f>'18'!$BT$9</f>
        <v>0</v>
      </c>
      <c r="AT23" s="55">
        <f>'18'!$BU$9</f>
        <v>0</v>
      </c>
      <c r="AU23" s="55">
        <f>'18'!$BV$9</f>
        <v>0</v>
      </c>
      <c r="AV23" s="55">
        <f>'18'!$BW$9</f>
        <v>0</v>
      </c>
      <c r="AW23" s="55">
        <f>'18'!$BX$9</f>
        <v>0</v>
      </c>
      <c r="AX23" s="55">
        <f>'18'!$BY$9</f>
        <v>0</v>
      </c>
      <c r="AY23" s="55">
        <f>'18'!$BN$10</f>
        <v>0</v>
      </c>
      <c r="AZ23" s="55">
        <f>'18'!$BO$10</f>
        <v>0</v>
      </c>
      <c r="BA23" s="55">
        <f>'18'!$BP$10</f>
        <v>0</v>
      </c>
      <c r="BB23" s="55">
        <f>'18'!$BQ$10</f>
        <v>0</v>
      </c>
      <c r="BC23" s="55">
        <f>'18'!$BR$10</f>
        <v>0</v>
      </c>
      <c r="BD23" s="55">
        <f>'18'!$BS$10</f>
        <v>0</v>
      </c>
      <c r="BE23" s="55">
        <f>'18'!$BT$10</f>
        <v>0</v>
      </c>
      <c r="BF23" s="55">
        <f>'18'!$BU$10</f>
        <v>0</v>
      </c>
      <c r="BG23" s="55">
        <f>'18'!$BV$10</f>
        <v>0</v>
      </c>
      <c r="BH23" s="55">
        <f>'18'!$BW$10</f>
        <v>0</v>
      </c>
      <c r="BI23" s="55">
        <f>'18'!$BX$10</f>
        <v>0</v>
      </c>
      <c r="BJ23" s="55">
        <f>'18'!$BY$10</f>
        <v>0</v>
      </c>
      <c r="BK23" s="55">
        <f>'18'!$BN$11</f>
        <v>0</v>
      </c>
      <c r="BL23" s="55">
        <f>'18'!$BO$11</f>
        <v>0</v>
      </c>
      <c r="BM23" s="55">
        <f>'18'!$BP$11</f>
        <v>0</v>
      </c>
      <c r="BN23" s="55">
        <f>'18'!$BQ$11</f>
        <v>0</v>
      </c>
      <c r="BO23" s="55">
        <f>'18'!$BR$11</f>
        <v>0</v>
      </c>
      <c r="BP23" s="55">
        <f>'18'!$BS$11</f>
        <v>0</v>
      </c>
      <c r="BQ23" s="55">
        <f>'18'!$BT$11</f>
        <v>0</v>
      </c>
      <c r="BR23" s="55">
        <f>'18'!$BU$11</f>
        <v>0</v>
      </c>
      <c r="BS23" s="55">
        <f>'18'!$BV$11</f>
        <v>0</v>
      </c>
      <c r="BT23" s="55">
        <f>'18'!$BW$11</f>
        <v>0</v>
      </c>
      <c r="BU23" s="55">
        <f>'18'!$BX$11</f>
        <v>0</v>
      </c>
      <c r="BV23" s="55">
        <f>'18'!$BY$11</f>
        <v>0</v>
      </c>
      <c r="BW23" s="55">
        <f>'18'!$BN$12</f>
        <v>0</v>
      </c>
      <c r="BX23" s="55">
        <f>'18'!$BO$12</f>
        <v>0</v>
      </c>
      <c r="BY23" s="55">
        <f>'18'!$BP$12</f>
        <v>0</v>
      </c>
      <c r="BZ23" s="55">
        <f>'18'!$BQ$12</f>
        <v>0</v>
      </c>
      <c r="CA23" s="55">
        <f>'18'!$BR$12</f>
        <v>0</v>
      </c>
      <c r="CB23" s="55">
        <f>'18'!$BS$12</f>
        <v>0</v>
      </c>
      <c r="CC23" s="55">
        <f>'18'!$BT$12</f>
        <v>0</v>
      </c>
      <c r="CD23" s="55">
        <f>'18'!$BU$12</f>
        <v>0</v>
      </c>
      <c r="CE23" s="55">
        <f>'18'!$BV$12</f>
        <v>0</v>
      </c>
      <c r="CF23" s="55">
        <f>'18'!$BW$12</f>
        <v>0</v>
      </c>
      <c r="CG23" s="55">
        <f>'18'!$BX$12</f>
        <v>0</v>
      </c>
      <c r="CH23" s="55">
        <f>'18'!$BY$12</f>
        <v>0</v>
      </c>
      <c r="CI23" s="55">
        <f>'18'!$BN$13</f>
        <v>0</v>
      </c>
      <c r="CJ23" s="55">
        <f>'18'!$BO$13</f>
        <v>0</v>
      </c>
      <c r="CK23" s="55">
        <f>'18'!$BP$13</f>
        <v>0</v>
      </c>
      <c r="CL23" s="55">
        <f>'18'!$BQ$13</f>
        <v>0</v>
      </c>
      <c r="CM23" s="55">
        <f>'18'!$BR$13</f>
        <v>0</v>
      </c>
      <c r="CN23" s="55">
        <f>'18'!$BS$13</f>
        <v>0</v>
      </c>
      <c r="CO23" s="55">
        <f>'18'!$BT$13</f>
        <v>0</v>
      </c>
      <c r="CP23" s="55">
        <f>'18'!$BU$13</f>
        <v>0</v>
      </c>
      <c r="CQ23" s="55">
        <f>'18'!$BV$13</f>
        <v>0</v>
      </c>
      <c r="CR23" s="55">
        <f>'18'!$BW$13</f>
        <v>0</v>
      </c>
      <c r="CS23" s="55">
        <f>'18'!$BX$13</f>
        <v>0</v>
      </c>
      <c r="CT23" s="55">
        <f>'18'!$BY$13</f>
        <v>0</v>
      </c>
      <c r="CU23" s="55">
        <f>'18'!$BN$14</f>
        <v>0</v>
      </c>
      <c r="CV23" s="55">
        <f>'18'!$BO$14</f>
        <v>0</v>
      </c>
      <c r="CW23" s="55">
        <f>'18'!$BP$14</f>
        <v>0</v>
      </c>
      <c r="CX23" s="55">
        <f>'18'!$BQ$14</f>
        <v>0</v>
      </c>
      <c r="CY23" s="55">
        <f>'18'!$BR$14</f>
        <v>0</v>
      </c>
      <c r="CZ23" s="55">
        <f>'18'!$BS$14</f>
        <v>0</v>
      </c>
      <c r="DA23" s="55">
        <f>'18'!$BT$14</f>
        <v>0</v>
      </c>
      <c r="DB23" s="55">
        <f>'18'!$BU$14</f>
        <v>0</v>
      </c>
      <c r="DC23" s="55">
        <f>'18'!$BV$14</f>
        <v>0</v>
      </c>
      <c r="DD23" s="55">
        <f>'18'!$BW$14</f>
        <v>0</v>
      </c>
      <c r="DE23" s="55">
        <f>'18'!$BX$14</f>
        <v>0</v>
      </c>
      <c r="DF23" s="55">
        <f>'18'!$BY$14</f>
        <v>0</v>
      </c>
      <c r="DG23" s="55">
        <f>'18'!$BN$15</f>
        <v>0</v>
      </c>
      <c r="DH23" s="55">
        <f>'18'!$BO$15</f>
        <v>0</v>
      </c>
      <c r="DI23" s="55">
        <f>'18'!$BP$15</f>
        <v>0</v>
      </c>
      <c r="DJ23" s="55">
        <f>'18'!$BQ$15</f>
        <v>0</v>
      </c>
      <c r="DK23" s="55">
        <f>'18'!$BR$15</f>
        <v>0</v>
      </c>
      <c r="DL23" s="55">
        <f>'18'!$BS$15</f>
        <v>0</v>
      </c>
      <c r="DM23" s="55">
        <f>'18'!$BT$15</f>
        <v>0</v>
      </c>
      <c r="DN23" s="55">
        <f>'18'!$BU$15</f>
        <v>0</v>
      </c>
      <c r="DO23" s="55">
        <f>'18'!$BV$15</f>
        <v>0</v>
      </c>
      <c r="DP23" s="55">
        <f>'18'!$BW$15</f>
        <v>0</v>
      </c>
      <c r="DQ23" s="55">
        <f>'18'!$BX$15</f>
        <v>0</v>
      </c>
      <c r="DR23" s="55">
        <f>'18'!$BY$15</f>
        <v>0</v>
      </c>
      <c r="DS23" s="55">
        <f>'18'!$BN$16</f>
        <v>0</v>
      </c>
      <c r="DT23" s="55">
        <f>'18'!$BO$16</f>
        <v>0</v>
      </c>
      <c r="DU23" s="55">
        <f>'18'!$BP$16</f>
        <v>0</v>
      </c>
      <c r="DV23" s="55">
        <f>'18'!$BQ$16</f>
        <v>0</v>
      </c>
      <c r="DW23" s="55">
        <f>'18'!$BR$16</f>
        <v>0</v>
      </c>
      <c r="DX23" s="55">
        <f>'18'!$BS$16</f>
        <v>0</v>
      </c>
      <c r="DY23" s="55">
        <f>'18'!$BT$16</f>
        <v>0</v>
      </c>
      <c r="DZ23" s="55">
        <f>'18'!$BU$16</f>
        <v>0</v>
      </c>
      <c r="EA23" s="55">
        <f>'18'!$BV$16</f>
        <v>0</v>
      </c>
      <c r="EB23" s="55">
        <f>'18'!$BW$16</f>
        <v>0</v>
      </c>
      <c r="EC23" s="55">
        <f>'18'!$BX$16</f>
        <v>0</v>
      </c>
      <c r="ED23" s="55">
        <f>'18'!$BY$16</f>
        <v>0</v>
      </c>
      <c r="EE23" s="55">
        <f>'18'!$BN$17</f>
        <v>0</v>
      </c>
      <c r="EF23" s="55">
        <f>'18'!$BO$17</f>
        <v>0</v>
      </c>
      <c r="EG23" s="55">
        <f>'18'!$BP$17</f>
        <v>0</v>
      </c>
      <c r="EH23" s="55">
        <f>'18'!$BQ$17</f>
        <v>0</v>
      </c>
      <c r="EI23" s="55">
        <f>'18'!$BR$17</f>
        <v>0</v>
      </c>
      <c r="EJ23" s="55">
        <f>'18'!$BS$17</f>
        <v>0</v>
      </c>
      <c r="EK23" s="55">
        <f>'18'!$BT$17</f>
        <v>0</v>
      </c>
      <c r="EL23" s="55">
        <f>'18'!$BU$17</f>
        <v>0</v>
      </c>
      <c r="EM23" s="55">
        <f>'18'!$BV$17</f>
        <v>0</v>
      </c>
      <c r="EN23" s="55">
        <f>'18'!$BW$17</f>
        <v>0</v>
      </c>
      <c r="EO23" s="55">
        <f>'18'!$BX$17</f>
        <v>0</v>
      </c>
      <c r="EP23" s="55">
        <f>'18'!$BY$17</f>
        <v>0</v>
      </c>
      <c r="EQ23" s="55">
        <f>'18'!$BN$18</f>
        <v>0</v>
      </c>
      <c r="ER23" s="55">
        <f>'18'!$BO$18</f>
        <v>0</v>
      </c>
      <c r="ES23" s="55">
        <f>'18'!$BP$18</f>
        <v>0</v>
      </c>
      <c r="ET23" s="55">
        <f>'18'!$BQ$18</f>
        <v>0</v>
      </c>
      <c r="EU23" s="55">
        <f>'18'!$BR$18</f>
        <v>0</v>
      </c>
      <c r="EV23" s="55">
        <f>'18'!$BS$18</f>
        <v>0</v>
      </c>
      <c r="EW23" s="55">
        <f>'18'!$BT$18</f>
        <v>0</v>
      </c>
      <c r="EX23" s="55">
        <f>'18'!$BU$18</f>
        <v>0</v>
      </c>
      <c r="EY23" s="55">
        <f>'18'!$BV$18</f>
        <v>0</v>
      </c>
      <c r="EZ23" s="55">
        <f>'18'!$BW$18</f>
        <v>0</v>
      </c>
      <c r="FA23" s="55">
        <f>'18'!$BX$18</f>
        <v>0</v>
      </c>
      <c r="FB23" s="55">
        <f>'18'!$BY$18</f>
        <v>0</v>
      </c>
      <c r="FC23" s="55">
        <f>'18'!$BN$19</f>
        <v>0</v>
      </c>
      <c r="FD23" s="55">
        <f>'18'!$BO$19</f>
        <v>0</v>
      </c>
      <c r="FE23" s="55">
        <f>'18'!$BP$19</f>
        <v>0</v>
      </c>
      <c r="FF23" s="55">
        <f>'18'!$BQ$19</f>
        <v>0</v>
      </c>
      <c r="FG23" s="55">
        <f>'18'!$BR$19</f>
        <v>0</v>
      </c>
      <c r="FH23" s="55">
        <f>'18'!$BS$19</f>
        <v>0</v>
      </c>
      <c r="FI23" s="55">
        <f>'18'!$BT$19</f>
        <v>0</v>
      </c>
      <c r="FJ23" s="55">
        <f>'18'!$BU$19</f>
        <v>0</v>
      </c>
      <c r="FK23" s="55">
        <f>'18'!$BV$19</f>
        <v>0</v>
      </c>
      <c r="FL23" s="55">
        <f>'18'!$BW$19</f>
        <v>0</v>
      </c>
      <c r="FM23" s="55">
        <f>'18'!$BX$19</f>
        <v>0</v>
      </c>
      <c r="FN23" s="55">
        <f>'18'!$BY$19</f>
        <v>0</v>
      </c>
      <c r="FO23" s="55">
        <f>'18'!$BN$20</f>
        <v>0</v>
      </c>
      <c r="FP23" s="55">
        <f>'18'!$BO$20</f>
        <v>0</v>
      </c>
      <c r="FQ23" s="55">
        <f>'18'!$BP$20</f>
        <v>0</v>
      </c>
      <c r="FR23" s="55">
        <f>'18'!$BQ$20</f>
        <v>0</v>
      </c>
      <c r="FS23" s="55">
        <f>'18'!$BR$20</f>
        <v>0</v>
      </c>
      <c r="FT23" s="55">
        <f>'18'!$BS$20</f>
        <v>0</v>
      </c>
      <c r="FU23" s="55">
        <f>'18'!$BT$20</f>
        <v>0</v>
      </c>
      <c r="FV23" s="55">
        <f>'18'!$BU$20</f>
        <v>0</v>
      </c>
      <c r="FW23" s="55">
        <f>'18'!$BV$20</f>
        <v>0</v>
      </c>
      <c r="FX23" s="55">
        <f>'18'!$BW$20</f>
        <v>0</v>
      </c>
      <c r="FY23" s="55">
        <f>'18'!$BX$20</f>
        <v>0</v>
      </c>
      <c r="FZ23" s="55">
        <f>'18'!$BY$20</f>
        <v>0</v>
      </c>
      <c r="GA23" s="55">
        <f>'18'!$BN$21</f>
        <v>0</v>
      </c>
      <c r="GB23" s="55">
        <f>'18'!$BO$21</f>
        <v>0</v>
      </c>
      <c r="GC23" s="55">
        <f>'18'!$BP$21</f>
        <v>0</v>
      </c>
      <c r="GD23" s="55">
        <f>'18'!$BQ$21</f>
        <v>0</v>
      </c>
      <c r="GE23" s="55">
        <f>'18'!$BR$21</f>
        <v>0</v>
      </c>
      <c r="GF23" s="55">
        <f>'18'!$BS$21</f>
        <v>0</v>
      </c>
      <c r="GG23" s="55">
        <f>'18'!$BT$21</f>
        <v>0</v>
      </c>
      <c r="GH23" s="55">
        <f>'18'!$BU$21</f>
        <v>0</v>
      </c>
      <c r="GI23" s="55">
        <f>'18'!$BV$21</f>
        <v>0</v>
      </c>
      <c r="GJ23" s="55">
        <f>'18'!$BW$21</f>
        <v>0</v>
      </c>
      <c r="GK23" s="55">
        <f>'18'!$BX$21</f>
        <v>0</v>
      </c>
      <c r="GL23" s="55">
        <f>'18'!$BY$21</f>
        <v>0</v>
      </c>
      <c r="GM23" s="55">
        <f>'18'!$BN$22</f>
        <v>0</v>
      </c>
      <c r="GN23" s="55">
        <f>'18'!$BO$22</f>
        <v>0</v>
      </c>
      <c r="GO23" s="55">
        <f>'18'!$BP$22</f>
        <v>0</v>
      </c>
      <c r="GP23" s="55">
        <f>'18'!$BQ$22</f>
        <v>0</v>
      </c>
      <c r="GQ23" s="55">
        <f>'18'!$BR$22</f>
        <v>0</v>
      </c>
      <c r="GR23" s="55">
        <f>'18'!$BS$22</f>
        <v>0</v>
      </c>
      <c r="GS23" s="55">
        <f>'18'!$BT$22</f>
        <v>0</v>
      </c>
      <c r="GT23" s="55">
        <f>'18'!$BU$22</f>
        <v>0</v>
      </c>
      <c r="GU23" s="55">
        <f>'18'!$BV$22</f>
        <v>0</v>
      </c>
      <c r="GV23" s="55">
        <f>'18'!$BW$22</f>
        <v>0</v>
      </c>
      <c r="GW23" s="55">
        <f>'18'!$BX$22</f>
        <v>0</v>
      </c>
      <c r="GX23" s="55">
        <f>'18'!$BY$22</f>
        <v>0</v>
      </c>
      <c r="GY23" s="55">
        <f>'18'!$BN$23</f>
        <v>0</v>
      </c>
      <c r="GZ23" s="55">
        <f>'18'!$BO$23</f>
        <v>0</v>
      </c>
      <c r="HA23" s="55">
        <f>'18'!$BP$23</f>
        <v>0</v>
      </c>
      <c r="HB23" s="55">
        <f>'18'!$BQ$23</f>
        <v>0</v>
      </c>
      <c r="HC23" s="55">
        <f>'18'!$BR$23</f>
        <v>0</v>
      </c>
      <c r="HD23" s="55">
        <f>'18'!$BS$23</f>
        <v>0</v>
      </c>
      <c r="HE23" s="55">
        <f>'18'!$BT$23</f>
        <v>0</v>
      </c>
      <c r="HF23" s="55">
        <f>'18'!$BU$23</f>
        <v>0</v>
      </c>
      <c r="HG23" s="55">
        <f>'18'!$BV$23</f>
        <v>0</v>
      </c>
      <c r="HH23" s="55">
        <f>'18'!$BW$23</f>
        <v>0</v>
      </c>
      <c r="HI23" s="55">
        <f>'18'!$BX$23</f>
        <v>0</v>
      </c>
      <c r="HJ23" s="55">
        <f>'18'!$BY$23</f>
        <v>0</v>
      </c>
      <c r="HK23" s="55">
        <f>'18'!$BN$24</f>
        <v>0</v>
      </c>
      <c r="HL23" s="55">
        <f>'18'!$BO$24</f>
        <v>0</v>
      </c>
      <c r="HM23" s="55">
        <f>'18'!$BP$24</f>
        <v>0</v>
      </c>
      <c r="HN23" s="55">
        <f>'18'!$BQ$24</f>
        <v>0</v>
      </c>
      <c r="HO23" s="55">
        <f>'18'!$BR$24</f>
        <v>0</v>
      </c>
      <c r="HP23" s="55">
        <f>'18'!$BS$24</f>
        <v>0</v>
      </c>
      <c r="HQ23" s="55">
        <f>'18'!$BT$24</f>
        <v>0</v>
      </c>
      <c r="HR23" s="55">
        <f>'18'!$BU$24</f>
        <v>0</v>
      </c>
      <c r="HS23" s="55">
        <f>'18'!$BV$24</f>
        <v>0</v>
      </c>
      <c r="HT23" s="55">
        <f>'18'!$BW$24</f>
        <v>0</v>
      </c>
      <c r="HU23" s="55">
        <f>'18'!$BX$24</f>
        <v>0</v>
      </c>
      <c r="HV23" s="55">
        <f>'18'!$BY$24</f>
        <v>0</v>
      </c>
      <c r="HW23" s="55">
        <f>'18'!$BN$25</f>
        <v>0</v>
      </c>
      <c r="HX23" s="55">
        <f>'18'!$BO$25</f>
        <v>0</v>
      </c>
      <c r="HY23" s="55">
        <f>'18'!$BP$25</f>
        <v>0</v>
      </c>
      <c r="HZ23" s="55">
        <f>'18'!$BQ$25</f>
        <v>0</v>
      </c>
      <c r="IA23" s="55">
        <f>'18'!$BR$25</f>
        <v>0</v>
      </c>
      <c r="IB23" s="55">
        <f>'18'!$BS$25</f>
        <v>0</v>
      </c>
      <c r="IC23" s="55">
        <f>'18'!$BT$25</f>
        <v>0</v>
      </c>
      <c r="ID23" s="55">
        <f>'18'!$BU$25</f>
        <v>0</v>
      </c>
      <c r="IE23" s="55">
        <f>'18'!$BV$25</f>
        <v>0</v>
      </c>
      <c r="IF23" s="55">
        <f>'18'!$BW$25</f>
        <v>0</v>
      </c>
      <c r="IG23" s="55">
        <f>'18'!$BX$25</f>
        <v>0</v>
      </c>
      <c r="IH23" s="55">
        <f>'18'!$BY$25</f>
        <v>0</v>
      </c>
      <c r="II23" s="55">
        <f>'18'!$BN$26</f>
        <v>0</v>
      </c>
      <c r="IJ23" s="55">
        <f>'18'!$BO$26</f>
        <v>0</v>
      </c>
      <c r="IK23" s="55">
        <f>'18'!$BP$26</f>
        <v>0</v>
      </c>
      <c r="IL23" s="55">
        <f>'18'!$BQ$26</f>
        <v>0</v>
      </c>
      <c r="IM23" s="55">
        <f>'18'!$BR$26</f>
        <v>0</v>
      </c>
      <c r="IN23" s="55">
        <f>'18'!$BS$26</f>
        <v>0</v>
      </c>
      <c r="IO23" s="55">
        <f>'18'!$BT$26</f>
        <v>0</v>
      </c>
      <c r="IP23" s="55">
        <f>'18'!$BU$26</f>
        <v>0</v>
      </c>
      <c r="IQ23" s="55">
        <f>'18'!$BV$26</f>
        <v>0</v>
      </c>
      <c r="IR23" s="55">
        <f>'18'!$BW$26</f>
        <v>0</v>
      </c>
      <c r="IS23" s="55">
        <f>'18'!$BX$26</f>
        <v>0</v>
      </c>
      <c r="IT23" s="55">
        <f>'18'!$BY$26</f>
        <v>0</v>
      </c>
      <c r="IU23" s="55">
        <f>'18'!$BN$27</f>
        <v>0</v>
      </c>
      <c r="IV23" s="55">
        <f>'18'!$BO$27</f>
        <v>0</v>
      </c>
      <c r="IW23" s="55">
        <f>'18'!$BP$27</f>
        <v>0</v>
      </c>
      <c r="IX23" s="55">
        <f>'18'!$BQ$27</f>
        <v>0</v>
      </c>
      <c r="IY23" s="55">
        <f>'18'!$BR$27</f>
        <v>0</v>
      </c>
      <c r="IZ23" s="55">
        <f>'18'!$BS$27</f>
        <v>0</v>
      </c>
      <c r="JA23" s="55">
        <f>'18'!$BT$27</f>
        <v>0</v>
      </c>
      <c r="JB23" s="55">
        <f>'18'!$BU$27</f>
        <v>0</v>
      </c>
      <c r="JC23" s="55">
        <f>'18'!$BV$27</f>
        <v>0</v>
      </c>
      <c r="JD23" s="55">
        <f>'18'!$BW$27</f>
        <v>0</v>
      </c>
      <c r="JE23" s="55">
        <f>'18'!$BX$27</f>
        <v>0</v>
      </c>
      <c r="JF23" s="55">
        <f>'18'!$BY$27</f>
        <v>0</v>
      </c>
      <c r="JG23" s="55">
        <f>'18'!$BN$28</f>
        <v>0</v>
      </c>
      <c r="JH23" s="55">
        <f>'18'!$BO$28</f>
        <v>0</v>
      </c>
      <c r="JI23" s="55">
        <f>'18'!$BP$28</f>
        <v>0</v>
      </c>
      <c r="JJ23" s="55">
        <f>'18'!$BQ$28</f>
        <v>0</v>
      </c>
      <c r="JK23" s="55">
        <f>'18'!$BR$28</f>
        <v>0</v>
      </c>
      <c r="JL23" s="55">
        <f>'18'!$BS$28</f>
        <v>0</v>
      </c>
      <c r="JM23" s="55">
        <f>'18'!$BT$28</f>
        <v>0</v>
      </c>
      <c r="JN23" s="55">
        <f>'18'!$BU$28</f>
        <v>0</v>
      </c>
      <c r="JO23" s="55">
        <f>'18'!$BV$28</f>
        <v>0</v>
      </c>
      <c r="JP23" s="55">
        <f>'18'!$BW$28</f>
        <v>0</v>
      </c>
      <c r="JQ23" s="55">
        <f>'18'!$BX$28</f>
        <v>0</v>
      </c>
      <c r="JR23" s="55">
        <f>'18'!$BY$28</f>
        <v>0</v>
      </c>
      <c r="JS23" s="55">
        <f>'18'!$BN$29</f>
        <v>0</v>
      </c>
      <c r="JT23" s="55">
        <f>'18'!$BO$29</f>
        <v>0</v>
      </c>
      <c r="JU23" s="55">
        <f>'18'!$BP$29</f>
        <v>0</v>
      </c>
      <c r="JV23" s="55">
        <f>'18'!$BQ$29</f>
        <v>0</v>
      </c>
      <c r="JW23" s="55">
        <f>'18'!$BR$29</f>
        <v>0</v>
      </c>
      <c r="JX23" s="55">
        <f>'18'!$BS$29</f>
        <v>0</v>
      </c>
      <c r="JY23" s="55">
        <f>'18'!$BT$29</f>
        <v>0</v>
      </c>
      <c r="JZ23" s="55">
        <f>'18'!$BU$29</f>
        <v>0</v>
      </c>
      <c r="KA23" s="55">
        <f>'18'!$BV$29</f>
        <v>0</v>
      </c>
      <c r="KB23" s="55">
        <f>'18'!$BW$29</f>
        <v>0</v>
      </c>
      <c r="KC23" s="55">
        <f>'18'!$BX$29</f>
        <v>0</v>
      </c>
      <c r="KD23" s="55">
        <f>'18'!$BY$29</f>
        <v>0</v>
      </c>
    </row>
    <row r="24" spans="1:290" ht="15" x14ac:dyDescent="0.25">
      <c r="A24" s="50">
        <v>46192</v>
      </c>
      <c r="B24" s="52"/>
      <c r="C24" s="55">
        <f>'19'!$BN$6</f>
        <v>0</v>
      </c>
      <c r="D24" s="55">
        <f>'19'!$BO$6</f>
        <v>0</v>
      </c>
      <c r="E24" s="55">
        <f>'19'!$BP$6</f>
        <v>0</v>
      </c>
      <c r="F24" s="55">
        <f>'19'!$BQ$6</f>
        <v>0</v>
      </c>
      <c r="G24" s="55">
        <f>'19'!$BR$6</f>
        <v>0</v>
      </c>
      <c r="H24" s="55">
        <f>'19'!$BS$6</f>
        <v>0</v>
      </c>
      <c r="I24" s="55">
        <f>'19'!$BT$6</f>
        <v>0</v>
      </c>
      <c r="J24" s="55">
        <f>'19'!$BU$6</f>
        <v>0</v>
      </c>
      <c r="K24" s="55">
        <f>'19'!$BV$6</f>
        <v>0</v>
      </c>
      <c r="L24" s="55">
        <f>'19'!$BW$6</f>
        <v>0</v>
      </c>
      <c r="M24" s="55">
        <f>'19'!$BX$6</f>
        <v>0</v>
      </c>
      <c r="N24" s="55">
        <f>'19'!$BY$6</f>
        <v>0</v>
      </c>
      <c r="O24" s="55">
        <f>'19'!$BN$7</f>
        <v>0</v>
      </c>
      <c r="P24" s="55">
        <f>'19'!$BO$7</f>
        <v>0</v>
      </c>
      <c r="Q24" s="55">
        <f>'19'!$BP$7</f>
        <v>0</v>
      </c>
      <c r="R24" s="55">
        <f>'19'!$BQ$7</f>
        <v>0</v>
      </c>
      <c r="S24" s="55">
        <f>'19'!$BR$7</f>
        <v>0</v>
      </c>
      <c r="T24" s="55">
        <f>'19'!$BS$7</f>
        <v>0</v>
      </c>
      <c r="U24" s="55">
        <f>'19'!$BT$7</f>
        <v>0</v>
      </c>
      <c r="V24" s="55">
        <f>'19'!$BU$7</f>
        <v>0</v>
      </c>
      <c r="W24" s="55">
        <f>'19'!$BV$7</f>
        <v>0</v>
      </c>
      <c r="X24" s="55">
        <f>'19'!$BW$7</f>
        <v>0</v>
      </c>
      <c r="Y24" s="55">
        <f>'19'!$BX$7</f>
        <v>0</v>
      </c>
      <c r="Z24" s="55">
        <f>'19'!$BY$7</f>
        <v>0</v>
      </c>
      <c r="AA24" s="55">
        <f>'19'!$BN$8</f>
        <v>0</v>
      </c>
      <c r="AB24" s="55">
        <f>'19'!$BO$8</f>
        <v>0</v>
      </c>
      <c r="AC24" s="55">
        <f>'19'!$BP$8</f>
        <v>0</v>
      </c>
      <c r="AD24" s="55">
        <f>'19'!$BQ$8</f>
        <v>0</v>
      </c>
      <c r="AE24" s="55">
        <f>'19'!$BR$8</f>
        <v>0</v>
      </c>
      <c r="AF24" s="55">
        <f>'19'!$BS$8</f>
        <v>0</v>
      </c>
      <c r="AG24" s="55">
        <f>'19'!$BT$8</f>
        <v>0</v>
      </c>
      <c r="AH24" s="55">
        <f>'19'!$BU$8</f>
        <v>0</v>
      </c>
      <c r="AI24" s="55">
        <f>'19'!$BV$8</f>
        <v>0</v>
      </c>
      <c r="AJ24" s="55">
        <f>'19'!$BW$8</f>
        <v>0</v>
      </c>
      <c r="AK24" s="55">
        <f>'19'!$BX$8</f>
        <v>0</v>
      </c>
      <c r="AL24" s="55">
        <f>'19'!$BY$8</f>
        <v>0</v>
      </c>
      <c r="AM24" s="55">
        <f>'19'!$BN$9</f>
        <v>0</v>
      </c>
      <c r="AN24" s="55">
        <f>'19'!$BO$9</f>
        <v>0</v>
      </c>
      <c r="AO24" s="55">
        <f>'19'!$BP$9</f>
        <v>0</v>
      </c>
      <c r="AP24" s="55">
        <f>'19'!$BQ$9</f>
        <v>0</v>
      </c>
      <c r="AQ24" s="55">
        <f>'19'!$BR$9</f>
        <v>0</v>
      </c>
      <c r="AR24" s="55">
        <f>'19'!$BS$9</f>
        <v>0</v>
      </c>
      <c r="AS24" s="55">
        <f>'19'!$BT$9</f>
        <v>0</v>
      </c>
      <c r="AT24" s="55">
        <f>'19'!$BU$9</f>
        <v>0</v>
      </c>
      <c r="AU24" s="55">
        <f>'19'!$BV$9</f>
        <v>0</v>
      </c>
      <c r="AV24" s="55">
        <f>'19'!$BW$9</f>
        <v>0</v>
      </c>
      <c r="AW24" s="55">
        <f>'19'!$BX$9</f>
        <v>0</v>
      </c>
      <c r="AX24" s="55">
        <f>'19'!$BY$9</f>
        <v>0</v>
      </c>
      <c r="AY24" s="55">
        <f>'19'!$BN$10</f>
        <v>0</v>
      </c>
      <c r="AZ24" s="55">
        <f>'19'!$BO$10</f>
        <v>0</v>
      </c>
      <c r="BA24" s="55">
        <f>'19'!$BP$10</f>
        <v>0</v>
      </c>
      <c r="BB24" s="55">
        <f>'19'!$BQ$10</f>
        <v>0</v>
      </c>
      <c r="BC24" s="55">
        <f>'19'!$BR$10</f>
        <v>0</v>
      </c>
      <c r="BD24" s="55">
        <f>'19'!$BS$10</f>
        <v>0</v>
      </c>
      <c r="BE24" s="55">
        <f>'19'!$BT$10</f>
        <v>0</v>
      </c>
      <c r="BF24" s="55">
        <f>'19'!$BU$10</f>
        <v>0</v>
      </c>
      <c r="BG24" s="55">
        <f>'19'!$BV$10</f>
        <v>0</v>
      </c>
      <c r="BH24" s="55">
        <f>'19'!$BW$10</f>
        <v>0</v>
      </c>
      <c r="BI24" s="55">
        <f>'19'!$BX$10</f>
        <v>0</v>
      </c>
      <c r="BJ24" s="55">
        <f>'19'!$BY$10</f>
        <v>0</v>
      </c>
      <c r="BK24" s="55">
        <f>'19'!$BN$11</f>
        <v>0</v>
      </c>
      <c r="BL24" s="55">
        <f>'19'!$BO$11</f>
        <v>0</v>
      </c>
      <c r="BM24" s="55">
        <f>'19'!$BP$11</f>
        <v>0</v>
      </c>
      <c r="BN24" s="55">
        <f>'19'!$BQ$11</f>
        <v>0</v>
      </c>
      <c r="BO24" s="55">
        <f>'19'!$BR$11</f>
        <v>0</v>
      </c>
      <c r="BP24" s="55">
        <f>'19'!$BS$11</f>
        <v>0</v>
      </c>
      <c r="BQ24" s="55">
        <f>'19'!$BT$11</f>
        <v>0</v>
      </c>
      <c r="BR24" s="55">
        <f>'19'!$BU$11</f>
        <v>0</v>
      </c>
      <c r="BS24" s="55">
        <f>'19'!$BV$11</f>
        <v>0</v>
      </c>
      <c r="BT24" s="55">
        <f>'19'!$BW$11</f>
        <v>0</v>
      </c>
      <c r="BU24" s="55">
        <f>'19'!$BX$11</f>
        <v>0</v>
      </c>
      <c r="BV24" s="55">
        <f>'19'!$BY$11</f>
        <v>0</v>
      </c>
      <c r="BW24" s="55">
        <f>'19'!$BN$12</f>
        <v>0</v>
      </c>
      <c r="BX24" s="55">
        <f>'19'!$BO$12</f>
        <v>0</v>
      </c>
      <c r="BY24" s="55">
        <f>'19'!$BP$12</f>
        <v>0</v>
      </c>
      <c r="BZ24" s="55">
        <f>'19'!$BQ$12</f>
        <v>0</v>
      </c>
      <c r="CA24" s="55">
        <f>'19'!$BR$12</f>
        <v>0</v>
      </c>
      <c r="CB24" s="55">
        <f>'19'!$BS$12</f>
        <v>0</v>
      </c>
      <c r="CC24" s="55">
        <f>'19'!$BT$12</f>
        <v>0</v>
      </c>
      <c r="CD24" s="55">
        <f>'19'!$BU$12</f>
        <v>0</v>
      </c>
      <c r="CE24" s="55">
        <f>'19'!$BV$12</f>
        <v>0</v>
      </c>
      <c r="CF24" s="55">
        <f>'19'!$BW$12</f>
        <v>0</v>
      </c>
      <c r="CG24" s="55">
        <f>'19'!$BX$12</f>
        <v>0</v>
      </c>
      <c r="CH24" s="55">
        <f>'19'!$BY$12</f>
        <v>0</v>
      </c>
      <c r="CI24" s="55">
        <f>'19'!$BN$13</f>
        <v>0</v>
      </c>
      <c r="CJ24" s="55">
        <f>'19'!$BO$13</f>
        <v>0</v>
      </c>
      <c r="CK24" s="55">
        <f>'19'!$BP$13</f>
        <v>0</v>
      </c>
      <c r="CL24" s="55">
        <f>'19'!$BQ$13</f>
        <v>0</v>
      </c>
      <c r="CM24" s="55">
        <f>'19'!$BR$13</f>
        <v>0</v>
      </c>
      <c r="CN24" s="55">
        <f>'19'!$BS$13</f>
        <v>0</v>
      </c>
      <c r="CO24" s="55">
        <f>'19'!$BT$13</f>
        <v>0</v>
      </c>
      <c r="CP24" s="55">
        <f>'19'!$BU$13</f>
        <v>0</v>
      </c>
      <c r="CQ24" s="55">
        <f>'19'!$BV$13</f>
        <v>0</v>
      </c>
      <c r="CR24" s="55">
        <f>'19'!$BW$13</f>
        <v>0</v>
      </c>
      <c r="CS24" s="55">
        <f>'19'!$BX$13</f>
        <v>0</v>
      </c>
      <c r="CT24" s="55">
        <f>'19'!$BY$13</f>
        <v>0</v>
      </c>
      <c r="CU24" s="55">
        <f>'19'!$BN$14</f>
        <v>0</v>
      </c>
      <c r="CV24" s="55">
        <f>'19'!$BO$14</f>
        <v>0</v>
      </c>
      <c r="CW24" s="55">
        <f>'19'!$BP$14</f>
        <v>0</v>
      </c>
      <c r="CX24" s="55">
        <f>'19'!$BQ$14</f>
        <v>0</v>
      </c>
      <c r="CY24" s="55">
        <f>'19'!$BR$14</f>
        <v>0</v>
      </c>
      <c r="CZ24" s="55">
        <f>'19'!$BS$14</f>
        <v>0</v>
      </c>
      <c r="DA24" s="55">
        <f>'19'!$BT$14</f>
        <v>0</v>
      </c>
      <c r="DB24" s="55">
        <f>'19'!$BU$14</f>
        <v>0</v>
      </c>
      <c r="DC24" s="55">
        <f>'19'!$BV$14</f>
        <v>0</v>
      </c>
      <c r="DD24" s="55">
        <f>'19'!$BW$14</f>
        <v>0</v>
      </c>
      <c r="DE24" s="55">
        <f>'19'!$BX$14</f>
        <v>0</v>
      </c>
      <c r="DF24" s="55">
        <f>'19'!$BY$14</f>
        <v>0</v>
      </c>
      <c r="DG24" s="55">
        <f>'19'!$BN$15</f>
        <v>0</v>
      </c>
      <c r="DH24" s="55">
        <f>'19'!$BO$15</f>
        <v>0</v>
      </c>
      <c r="DI24" s="55">
        <f>'19'!$BP$15</f>
        <v>0</v>
      </c>
      <c r="DJ24" s="55">
        <f>'19'!$BQ$15</f>
        <v>0</v>
      </c>
      <c r="DK24" s="55">
        <f>'19'!$BR$15</f>
        <v>0</v>
      </c>
      <c r="DL24" s="55">
        <f>'19'!$BS$15</f>
        <v>0</v>
      </c>
      <c r="DM24" s="55">
        <f>'19'!$BT$15</f>
        <v>0</v>
      </c>
      <c r="DN24" s="55">
        <f>'19'!$BU$15</f>
        <v>0</v>
      </c>
      <c r="DO24" s="55">
        <f>'19'!$BV$15</f>
        <v>0</v>
      </c>
      <c r="DP24" s="55">
        <f>'19'!$BW$15</f>
        <v>0</v>
      </c>
      <c r="DQ24" s="55">
        <f>'19'!$BX$15</f>
        <v>0</v>
      </c>
      <c r="DR24" s="55">
        <f>'19'!$BY$15</f>
        <v>0</v>
      </c>
      <c r="DS24" s="55">
        <f>'19'!$BN$16</f>
        <v>0</v>
      </c>
      <c r="DT24" s="55">
        <f>'19'!$BO$16</f>
        <v>0</v>
      </c>
      <c r="DU24" s="55">
        <f>'19'!$BP$16</f>
        <v>0</v>
      </c>
      <c r="DV24" s="55">
        <f>'19'!$BQ$16</f>
        <v>0</v>
      </c>
      <c r="DW24" s="55">
        <f>'19'!$BR$16</f>
        <v>0</v>
      </c>
      <c r="DX24" s="55">
        <f>'19'!$BS$16</f>
        <v>0</v>
      </c>
      <c r="DY24" s="55">
        <f>'19'!$BT$16</f>
        <v>0</v>
      </c>
      <c r="DZ24" s="55">
        <f>'19'!$BU$16</f>
        <v>0</v>
      </c>
      <c r="EA24" s="55">
        <f>'19'!$BV$16</f>
        <v>0</v>
      </c>
      <c r="EB24" s="55">
        <f>'19'!$BW$16</f>
        <v>0</v>
      </c>
      <c r="EC24" s="55">
        <f>'19'!$BX$16</f>
        <v>0</v>
      </c>
      <c r="ED24" s="55">
        <f>'19'!$BY$16</f>
        <v>0</v>
      </c>
      <c r="EE24" s="55">
        <f>'19'!$BN$17</f>
        <v>0</v>
      </c>
      <c r="EF24" s="55">
        <f>'19'!$BO$17</f>
        <v>0</v>
      </c>
      <c r="EG24" s="55">
        <f>'19'!$BP$17</f>
        <v>0</v>
      </c>
      <c r="EH24" s="55">
        <f>'19'!$BQ$17</f>
        <v>0</v>
      </c>
      <c r="EI24" s="55">
        <f>'19'!$BR$17</f>
        <v>0</v>
      </c>
      <c r="EJ24" s="55">
        <f>'19'!$BS$17</f>
        <v>0</v>
      </c>
      <c r="EK24" s="55">
        <f>'19'!$BT$17</f>
        <v>0</v>
      </c>
      <c r="EL24" s="55">
        <f>'19'!$BU$17</f>
        <v>0</v>
      </c>
      <c r="EM24" s="55">
        <f>'19'!$BV$17</f>
        <v>0</v>
      </c>
      <c r="EN24" s="55">
        <f>'19'!$BW$17</f>
        <v>0</v>
      </c>
      <c r="EO24" s="55">
        <f>'19'!$BX$17</f>
        <v>0</v>
      </c>
      <c r="EP24" s="55">
        <f>'19'!$BY$17</f>
        <v>0</v>
      </c>
      <c r="EQ24" s="55">
        <f>'19'!$BN$18</f>
        <v>0</v>
      </c>
      <c r="ER24" s="55">
        <f>'19'!$BO$18</f>
        <v>0</v>
      </c>
      <c r="ES24" s="55">
        <f>'19'!$BP$18</f>
        <v>0</v>
      </c>
      <c r="ET24" s="55">
        <f>'19'!$BQ$18</f>
        <v>0</v>
      </c>
      <c r="EU24" s="55">
        <f>'19'!$BR$18</f>
        <v>0</v>
      </c>
      <c r="EV24" s="55">
        <f>'19'!$BS$18</f>
        <v>0</v>
      </c>
      <c r="EW24" s="55">
        <f>'19'!$BT$18</f>
        <v>0</v>
      </c>
      <c r="EX24" s="55">
        <f>'19'!$BU$18</f>
        <v>0</v>
      </c>
      <c r="EY24" s="55">
        <f>'19'!$BV$18</f>
        <v>0</v>
      </c>
      <c r="EZ24" s="55">
        <f>'19'!$BW$18</f>
        <v>0</v>
      </c>
      <c r="FA24" s="55">
        <f>'19'!$BX$18</f>
        <v>0</v>
      </c>
      <c r="FB24" s="55">
        <f>'19'!$BY$18</f>
        <v>0</v>
      </c>
      <c r="FC24" s="55">
        <f>'19'!$BN$19</f>
        <v>0</v>
      </c>
      <c r="FD24" s="55">
        <f>'19'!$BO$19</f>
        <v>0</v>
      </c>
      <c r="FE24" s="55">
        <f>'19'!$BP$19</f>
        <v>0</v>
      </c>
      <c r="FF24" s="55">
        <f>'19'!$BQ$19</f>
        <v>0</v>
      </c>
      <c r="FG24" s="55">
        <f>'19'!$BR$19</f>
        <v>0</v>
      </c>
      <c r="FH24" s="55">
        <f>'19'!$BS$19</f>
        <v>0</v>
      </c>
      <c r="FI24" s="55">
        <f>'19'!$BT$19</f>
        <v>0</v>
      </c>
      <c r="FJ24" s="55">
        <f>'19'!$BU$19</f>
        <v>0</v>
      </c>
      <c r="FK24" s="55">
        <f>'19'!$BV$19</f>
        <v>0</v>
      </c>
      <c r="FL24" s="55">
        <f>'19'!$BW$19</f>
        <v>0</v>
      </c>
      <c r="FM24" s="55">
        <f>'19'!$BX$19</f>
        <v>0</v>
      </c>
      <c r="FN24" s="55">
        <f>'19'!$BY$19</f>
        <v>0</v>
      </c>
      <c r="FO24" s="55">
        <f>'19'!$BN$20</f>
        <v>0</v>
      </c>
      <c r="FP24" s="55">
        <f>'19'!$BO$20</f>
        <v>0</v>
      </c>
      <c r="FQ24" s="55">
        <f>'19'!$BP$20</f>
        <v>0</v>
      </c>
      <c r="FR24" s="55">
        <f>'19'!$BQ$20</f>
        <v>0</v>
      </c>
      <c r="FS24" s="55">
        <f>'19'!$BR$20</f>
        <v>0</v>
      </c>
      <c r="FT24" s="55">
        <f>'19'!$BS$20</f>
        <v>0</v>
      </c>
      <c r="FU24" s="55">
        <f>'19'!$BT$20</f>
        <v>0</v>
      </c>
      <c r="FV24" s="55">
        <f>'19'!$BU$20</f>
        <v>0</v>
      </c>
      <c r="FW24" s="55">
        <f>'19'!$BV$20</f>
        <v>0</v>
      </c>
      <c r="FX24" s="55">
        <f>'19'!$BW$20</f>
        <v>0</v>
      </c>
      <c r="FY24" s="55">
        <f>'19'!$BX$20</f>
        <v>0</v>
      </c>
      <c r="FZ24" s="55">
        <f>'19'!$BY$20</f>
        <v>0</v>
      </c>
      <c r="GA24" s="55">
        <f>'19'!$BN$21</f>
        <v>0</v>
      </c>
      <c r="GB24" s="55">
        <f>'19'!$BO$21</f>
        <v>0</v>
      </c>
      <c r="GC24" s="55">
        <f>'19'!$BP$21</f>
        <v>0</v>
      </c>
      <c r="GD24" s="55">
        <f>'19'!$BQ$21</f>
        <v>0</v>
      </c>
      <c r="GE24" s="55">
        <f>'19'!$BR$21</f>
        <v>0</v>
      </c>
      <c r="GF24" s="55">
        <f>'19'!$BS$21</f>
        <v>0</v>
      </c>
      <c r="GG24" s="55">
        <f>'19'!$BT$21</f>
        <v>0</v>
      </c>
      <c r="GH24" s="55">
        <f>'19'!$BU$21</f>
        <v>0</v>
      </c>
      <c r="GI24" s="55">
        <f>'19'!$BV$21</f>
        <v>0</v>
      </c>
      <c r="GJ24" s="55">
        <f>'19'!$BW$21</f>
        <v>0</v>
      </c>
      <c r="GK24" s="55">
        <f>'19'!$BX$21</f>
        <v>0</v>
      </c>
      <c r="GL24" s="55">
        <f>'19'!$BY$21</f>
        <v>0</v>
      </c>
      <c r="GM24" s="55">
        <f>'19'!$BN$22</f>
        <v>0</v>
      </c>
      <c r="GN24" s="55">
        <f>'19'!$BO$22</f>
        <v>0</v>
      </c>
      <c r="GO24" s="55">
        <f>'19'!$BP$22</f>
        <v>0</v>
      </c>
      <c r="GP24" s="55">
        <f>'19'!$BQ$22</f>
        <v>0</v>
      </c>
      <c r="GQ24" s="55">
        <f>'19'!$BR$22</f>
        <v>0</v>
      </c>
      <c r="GR24" s="55">
        <f>'19'!$BS$22</f>
        <v>0</v>
      </c>
      <c r="GS24" s="55">
        <f>'19'!$BT$22</f>
        <v>0</v>
      </c>
      <c r="GT24" s="55">
        <f>'19'!$BU$22</f>
        <v>0</v>
      </c>
      <c r="GU24" s="55">
        <f>'19'!$BV$22</f>
        <v>0</v>
      </c>
      <c r="GV24" s="55">
        <f>'19'!$BW$22</f>
        <v>0</v>
      </c>
      <c r="GW24" s="55">
        <f>'19'!$BX$22</f>
        <v>0</v>
      </c>
      <c r="GX24" s="55">
        <f>'19'!$BY$22</f>
        <v>0</v>
      </c>
      <c r="GY24" s="55">
        <f>'19'!$BN$23</f>
        <v>0</v>
      </c>
      <c r="GZ24" s="55">
        <f>'19'!$BO$23</f>
        <v>0</v>
      </c>
      <c r="HA24" s="55">
        <f>'19'!$BP$23</f>
        <v>0</v>
      </c>
      <c r="HB24" s="55">
        <f>'19'!$BQ$23</f>
        <v>0</v>
      </c>
      <c r="HC24" s="55">
        <f>'19'!$BR$23</f>
        <v>0</v>
      </c>
      <c r="HD24" s="55">
        <f>'19'!$BS$23</f>
        <v>0</v>
      </c>
      <c r="HE24" s="55">
        <f>'19'!$BT$23</f>
        <v>0</v>
      </c>
      <c r="HF24" s="55">
        <f>'19'!$BU$23</f>
        <v>0</v>
      </c>
      <c r="HG24" s="55">
        <f>'19'!$BV$23</f>
        <v>0</v>
      </c>
      <c r="HH24" s="55">
        <f>'19'!$BW$23</f>
        <v>0</v>
      </c>
      <c r="HI24" s="55">
        <f>'19'!$BX$23</f>
        <v>0</v>
      </c>
      <c r="HJ24" s="55">
        <f>'19'!$BY$23</f>
        <v>0</v>
      </c>
      <c r="HK24" s="55">
        <f>'19'!$BN$24</f>
        <v>0</v>
      </c>
      <c r="HL24" s="55">
        <f>'19'!$BO$24</f>
        <v>0</v>
      </c>
      <c r="HM24" s="55">
        <f>'19'!$BP$24</f>
        <v>0</v>
      </c>
      <c r="HN24" s="55">
        <f>'19'!$BQ$24</f>
        <v>0</v>
      </c>
      <c r="HO24" s="55">
        <f>'19'!$BR$24</f>
        <v>0</v>
      </c>
      <c r="HP24" s="55">
        <f>'19'!$BS$24</f>
        <v>0</v>
      </c>
      <c r="HQ24" s="55">
        <f>'19'!$BT$24</f>
        <v>0</v>
      </c>
      <c r="HR24" s="55">
        <f>'19'!$BU$24</f>
        <v>0</v>
      </c>
      <c r="HS24" s="55">
        <f>'19'!$BV$24</f>
        <v>0</v>
      </c>
      <c r="HT24" s="55">
        <f>'19'!$BW$24</f>
        <v>0</v>
      </c>
      <c r="HU24" s="55">
        <f>'19'!$BX$24</f>
        <v>0</v>
      </c>
      <c r="HV24" s="55">
        <f>'19'!$BY$24</f>
        <v>0</v>
      </c>
      <c r="HW24" s="55">
        <f>'19'!$BN$25</f>
        <v>0</v>
      </c>
      <c r="HX24" s="55">
        <f>'19'!$BO$25</f>
        <v>0</v>
      </c>
      <c r="HY24" s="55">
        <f>'19'!$BP$25</f>
        <v>0</v>
      </c>
      <c r="HZ24" s="55">
        <f>'19'!$BQ$25</f>
        <v>0</v>
      </c>
      <c r="IA24" s="55">
        <f>'19'!$BR$25</f>
        <v>0</v>
      </c>
      <c r="IB24" s="55">
        <f>'19'!$BS$25</f>
        <v>0</v>
      </c>
      <c r="IC24" s="55">
        <f>'19'!$BT$25</f>
        <v>0</v>
      </c>
      <c r="ID24" s="55">
        <f>'19'!$BU$25</f>
        <v>0</v>
      </c>
      <c r="IE24" s="55">
        <f>'19'!$BV$25</f>
        <v>0</v>
      </c>
      <c r="IF24" s="55">
        <f>'19'!$BW$25</f>
        <v>0</v>
      </c>
      <c r="IG24" s="55">
        <f>'19'!$BX$25</f>
        <v>0</v>
      </c>
      <c r="IH24" s="55">
        <f>'19'!$BY$25</f>
        <v>0</v>
      </c>
      <c r="II24" s="55">
        <f>'19'!$BN$26</f>
        <v>0</v>
      </c>
      <c r="IJ24" s="55">
        <f>'19'!$BO$26</f>
        <v>0</v>
      </c>
      <c r="IK24" s="55">
        <f>'19'!$BP$26</f>
        <v>0</v>
      </c>
      <c r="IL24" s="55">
        <f>'19'!$BQ$26</f>
        <v>0</v>
      </c>
      <c r="IM24" s="55">
        <f>'19'!$BR$26</f>
        <v>0</v>
      </c>
      <c r="IN24" s="55">
        <f>'19'!$BS$26</f>
        <v>0</v>
      </c>
      <c r="IO24" s="55">
        <f>'19'!$BT$26</f>
        <v>0</v>
      </c>
      <c r="IP24" s="55">
        <f>'19'!$BU$26</f>
        <v>0</v>
      </c>
      <c r="IQ24" s="55">
        <f>'19'!$BV$26</f>
        <v>0</v>
      </c>
      <c r="IR24" s="55">
        <f>'19'!$BW$26</f>
        <v>0</v>
      </c>
      <c r="IS24" s="55">
        <f>'19'!$BX$26</f>
        <v>0</v>
      </c>
      <c r="IT24" s="55">
        <f>'19'!$BY$26</f>
        <v>0</v>
      </c>
      <c r="IU24" s="55">
        <f>'19'!$BN$27</f>
        <v>0</v>
      </c>
      <c r="IV24" s="55">
        <f>'19'!$BO$27</f>
        <v>0</v>
      </c>
      <c r="IW24" s="55">
        <f>'19'!$BP$27</f>
        <v>0</v>
      </c>
      <c r="IX24" s="55">
        <f>'19'!$BQ$27</f>
        <v>0</v>
      </c>
      <c r="IY24" s="55">
        <f>'19'!$BR$27</f>
        <v>0</v>
      </c>
      <c r="IZ24" s="55">
        <f>'19'!$BS$27</f>
        <v>0</v>
      </c>
      <c r="JA24" s="55">
        <f>'19'!$BT$27</f>
        <v>0</v>
      </c>
      <c r="JB24" s="55">
        <f>'19'!$BU$27</f>
        <v>0</v>
      </c>
      <c r="JC24" s="55">
        <f>'19'!$BV$27</f>
        <v>0</v>
      </c>
      <c r="JD24" s="55">
        <f>'19'!$BW$27</f>
        <v>0</v>
      </c>
      <c r="JE24" s="55">
        <f>'19'!$BX$27</f>
        <v>0</v>
      </c>
      <c r="JF24" s="55">
        <f>'19'!$BY$27</f>
        <v>0</v>
      </c>
      <c r="JG24" s="55">
        <f>'19'!$BN$28</f>
        <v>0</v>
      </c>
      <c r="JH24" s="55">
        <f>'19'!$BO$28</f>
        <v>0</v>
      </c>
      <c r="JI24" s="55">
        <f>'19'!$BP$28</f>
        <v>0</v>
      </c>
      <c r="JJ24" s="55">
        <f>'19'!$BQ$28</f>
        <v>0</v>
      </c>
      <c r="JK24" s="55">
        <f>'19'!$BR$28</f>
        <v>0</v>
      </c>
      <c r="JL24" s="55">
        <f>'19'!$BS$28</f>
        <v>0</v>
      </c>
      <c r="JM24" s="55">
        <f>'19'!$BT$28</f>
        <v>0</v>
      </c>
      <c r="JN24" s="55">
        <f>'19'!$BU$28</f>
        <v>0</v>
      </c>
      <c r="JO24" s="55">
        <f>'19'!$BV$28</f>
        <v>0</v>
      </c>
      <c r="JP24" s="55">
        <f>'19'!$BW$28</f>
        <v>0</v>
      </c>
      <c r="JQ24" s="55">
        <f>'19'!$BX$28</f>
        <v>0</v>
      </c>
      <c r="JR24" s="55">
        <f>'19'!$BY$28</f>
        <v>0</v>
      </c>
      <c r="JS24" s="55">
        <f>'19'!$BN$29</f>
        <v>0</v>
      </c>
      <c r="JT24" s="55">
        <f>'19'!$BO$29</f>
        <v>0</v>
      </c>
      <c r="JU24" s="55">
        <f>'19'!$BP$29</f>
        <v>0</v>
      </c>
      <c r="JV24" s="55">
        <f>'19'!$BQ$29</f>
        <v>0</v>
      </c>
      <c r="JW24" s="55">
        <f>'19'!$BR$29</f>
        <v>0</v>
      </c>
      <c r="JX24" s="55">
        <f>'19'!$BS$29</f>
        <v>0</v>
      </c>
      <c r="JY24" s="55">
        <f>'19'!$BT$29</f>
        <v>0</v>
      </c>
      <c r="JZ24" s="55">
        <f>'19'!$BU$29</f>
        <v>0</v>
      </c>
      <c r="KA24" s="55">
        <f>'19'!$BV$29</f>
        <v>0</v>
      </c>
      <c r="KB24" s="55">
        <f>'19'!$BW$29</f>
        <v>0</v>
      </c>
      <c r="KC24" s="55">
        <f>'19'!$BX$29</f>
        <v>0</v>
      </c>
      <c r="KD24" s="55">
        <f>'19'!$BY$29</f>
        <v>0</v>
      </c>
    </row>
    <row r="25" spans="1:290" ht="15" x14ac:dyDescent="0.25">
      <c r="A25" s="50">
        <v>46193</v>
      </c>
      <c r="B25" s="52"/>
      <c r="C25" s="55">
        <f>'20'!$BN$6</f>
        <v>0</v>
      </c>
      <c r="D25" s="55">
        <f>'20'!$BO$6</f>
        <v>0</v>
      </c>
      <c r="E25" s="55">
        <f>'20'!$BP$6</f>
        <v>0</v>
      </c>
      <c r="F25" s="55">
        <f>'20'!$BQ$6</f>
        <v>0</v>
      </c>
      <c r="G25" s="55">
        <f>'20'!$BR$6</f>
        <v>0</v>
      </c>
      <c r="H25" s="55">
        <f>'20'!$BS$6</f>
        <v>0</v>
      </c>
      <c r="I25" s="55">
        <f>'20'!$BT$6</f>
        <v>0</v>
      </c>
      <c r="J25" s="55">
        <f>'20'!$BU$6</f>
        <v>0</v>
      </c>
      <c r="K25" s="55">
        <f>'20'!$BV$6</f>
        <v>0</v>
      </c>
      <c r="L25" s="55">
        <f>'20'!$BW$6</f>
        <v>0</v>
      </c>
      <c r="M25" s="55">
        <f>'20'!$BX$6</f>
        <v>0</v>
      </c>
      <c r="N25" s="55">
        <f>'20'!$BY$6</f>
        <v>0</v>
      </c>
      <c r="O25" s="55">
        <f>'20'!$BN$7</f>
        <v>0</v>
      </c>
      <c r="P25" s="55">
        <f>'20'!$BO$7</f>
        <v>0</v>
      </c>
      <c r="Q25" s="55">
        <f>'20'!$BP$7</f>
        <v>0</v>
      </c>
      <c r="R25" s="55">
        <f>'20'!$BQ$7</f>
        <v>0</v>
      </c>
      <c r="S25" s="55">
        <f>'20'!$BR$7</f>
        <v>0</v>
      </c>
      <c r="T25" s="55">
        <f>'20'!$BS$7</f>
        <v>0</v>
      </c>
      <c r="U25" s="55">
        <f>'20'!$BT$7</f>
        <v>0</v>
      </c>
      <c r="V25" s="55">
        <f>'20'!$BU$7</f>
        <v>0</v>
      </c>
      <c r="W25" s="55">
        <f>'20'!$BV$7</f>
        <v>0</v>
      </c>
      <c r="X25" s="55">
        <f>'20'!$BW$7</f>
        <v>0</v>
      </c>
      <c r="Y25" s="55">
        <f>'20'!$BX$7</f>
        <v>0</v>
      </c>
      <c r="Z25" s="55">
        <f>'20'!$BY$7</f>
        <v>0</v>
      </c>
      <c r="AA25" s="55">
        <f>'20'!$BN$8</f>
        <v>0</v>
      </c>
      <c r="AB25" s="55">
        <f>'20'!$BO$8</f>
        <v>0</v>
      </c>
      <c r="AC25" s="55">
        <f>'20'!$BP$8</f>
        <v>0</v>
      </c>
      <c r="AD25" s="55">
        <f>'20'!$BQ$8</f>
        <v>0</v>
      </c>
      <c r="AE25" s="55">
        <f>'20'!$BR$8</f>
        <v>0</v>
      </c>
      <c r="AF25" s="55">
        <f>'20'!$BS$8</f>
        <v>0</v>
      </c>
      <c r="AG25" s="55">
        <f>'20'!$BT$8</f>
        <v>0</v>
      </c>
      <c r="AH25" s="55">
        <f>'20'!$BU$8</f>
        <v>0</v>
      </c>
      <c r="AI25" s="55">
        <f>'20'!$BV$8</f>
        <v>0</v>
      </c>
      <c r="AJ25" s="55">
        <f>'20'!$BW$8</f>
        <v>0</v>
      </c>
      <c r="AK25" s="55">
        <f>'20'!$BX$8</f>
        <v>0</v>
      </c>
      <c r="AL25" s="55">
        <f>'20'!$BY$8</f>
        <v>0</v>
      </c>
      <c r="AM25" s="55">
        <f>'20'!$BN$9</f>
        <v>0</v>
      </c>
      <c r="AN25" s="55">
        <f>'20'!$BO$9</f>
        <v>0</v>
      </c>
      <c r="AO25" s="55">
        <f>'20'!$BP$9</f>
        <v>0</v>
      </c>
      <c r="AP25" s="55">
        <f>'20'!$BQ$9</f>
        <v>0</v>
      </c>
      <c r="AQ25" s="55">
        <f>'20'!$BR$9</f>
        <v>0</v>
      </c>
      <c r="AR25" s="55">
        <f>'20'!$BS$9</f>
        <v>0</v>
      </c>
      <c r="AS25" s="55">
        <f>'20'!$BT$9</f>
        <v>0</v>
      </c>
      <c r="AT25" s="55">
        <f>'20'!$BU$9</f>
        <v>0</v>
      </c>
      <c r="AU25" s="55">
        <f>'20'!$BV$9</f>
        <v>0</v>
      </c>
      <c r="AV25" s="55">
        <f>'20'!$BW$9</f>
        <v>0</v>
      </c>
      <c r="AW25" s="55">
        <f>'20'!$BX$9</f>
        <v>0</v>
      </c>
      <c r="AX25" s="55">
        <f>'20'!$BY$9</f>
        <v>0</v>
      </c>
      <c r="AY25" s="55">
        <f>'20'!$BN$10</f>
        <v>0</v>
      </c>
      <c r="AZ25" s="55">
        <f>'20'!$BO$10</f>
        <v>0</v>
      </c>
      <c r="BA25" s="55">
        <f>'20'!$BP$10</f>
        <v>0</v>
      </c>
      <c r="BB25" s="55">
        <f>'20'!$BQ$10</f>
        <v>0</v>
      </c>
      <c r="BC25" s="55">
        <f>'20'!$BR$10</f>
        <v>0</v>
      </c>
      <c r="BD25" s="55">
        <f>'20'!$BS$10</f>
        <v>0</v>
      </c>
      <c r="BE25" s="55">
        <f>'20'!$BT$10</f>
        <v>0</v>
      </c>
      <c r="BF25" s="55">
        <f>'20'!$BU$10</f>
        <v>0</v>
      </c>
      <c r="BG25" s="55">
        <f>'20'!$BV$10</f>
        <v>0</v>
      </c>
      <c r="BH25" s="55">
        <f>'20'!$BW$10</f>
        <v>0</v>
      </c>
      <c r="BI25" s="55">
        <f>'20'!$BX$10</f>
        <v>0</v>
      </c>
      <c r="BJ25" s="55">
        <f>'20'!$BY$10</f>
        <v>0</v>
      </c>
      <c r="BK25" s="55">
        <f>'20'!$BN$11</f>
        <v>0</v>
      </c>
      <c r="BL25" s="55">
        <f>'20'!$BO$11</f>
        <v>0</v>
      </c>
      <c r="BM25" s="55">
        <f>'20'!$BP$11</f>
        <v>0</v>
      </c>
      <c r="BN25" s="55">
        <f>'20'!$BQ$11</f>
        <v>0</v>
      </c>
      <c r="BO25" s="55">
        <f>'20'!$BR$11</f>
        <v>0</v>
      </c>
      <c r="BP25" s="55">
        <f>'20'!$BS$11</f>
        <v>0</v>
      </c>
      <c r="BQ25" s="55">
        <f>'20'!$BT$11</f>
        <v>0</v>
      </c>
      <c r="BR25" s="55">
        <f>'20'!$BU$11</f>
        <v>0</v>
      </c>
      <c r="BS25" s="55">
        <f>'20'!$BV$11</f>
        <v>0</v>
      </c>
      <c r="BT25" s="55">
        <f>'20'!$BW$11</f>
        <v>0</v>
      </c>
      <c r="BU25" s="55">
        <f>'20'!$BX$11</f>
        <v>0</v>
      </c>
      <c r="BV25" s="55">
        <f>'20'!$BY$11</f>
        <v>0</v>
      </c>
      <c r="BW25" s="55">
        <f>'20'!$BN$12</f>
        <v>0</v>
      </c>
      <c r="BX25" s="55">
        <f>'20'!$BO$12</f>
        <v>0</v>
      </c>
      <c r="BY25" s="55">
        <f>'20'!$BP$12</f>
        <v>0</v>
      </c>
      <c r="BZ25" s="55">
        <f>'20'!$BQ$12</f>
        <v>0</v>
      </c>
      <c r="CA25" s="55">
        <f>'20'!$BR$12</f>
        <v>0</v>
      </c>
      <c r="CB25" s="55">
        <f>'20'!$BS$12</f>
        <v>0</v>
      </c>
      <c r="CC25" s="55">
        <f>'20'!$BT$12</f>
        <v>0</v>
      </c>
      <c r="CD25" s="55">
        <f>'20'!$BU$12</f>
        <v>0</v>
      </c>
      <c r="CE25" s="55">
        <f>'20'!$BV$12</f>
        <v>0</v>
      </c>
      <c r="CF25" s="55">
        <f>'20'!$BW$12</f>
        <v>0</v>
      </c>
      <c r="CG25" s="55">
        <f>'20'!$BX$12</f>
        <v>0</v>
      </c>
      <c r="CH25" s="55">
        <f>'20'!$BY$12</f>
        <v>0</v>
      </c>
      <c r="CI25" s="55">
        <f>'20'!$BN$13</f>
        <v>0</v>
      </c>
      <c r="CJ25" s="55">
        <f>'20'!$BO$13</f>
        <v>0</v>
      </c>
      <c r="CK25" s="55">
        <f>'20'!$BP$13</f>
        <v>0</v>
      </c>
      <c r="CL25" s="55">
        <f>'20'!$BQ$13</f>
        <v>0</v>
      </c>
      <c r="CM25" s="55">
        <f>'20'!$BR$13</f>
        <v>0</v>
      </c>
      <c r="CN25" s="55">
        <f>'20'!$BS$13</f>
        <v>0</v>
      </c>
      <c r="CO25" s="55">
        <f>'20'!$BT$13</f>
        <v>0</v>
      </c>
      <c r="CP25" s="55">
        <f>'20'!$BU$13</f>
        <v>0</v>
      </c>
      <c r="CQ25" s="55">
        <f>'20'!$BV$13</f>
        <v>0</v>
      </c>
      <c r="CR25" s="55">
        <f>'20'!$BW$13</f>
        <v>0</v>
      </c>
      <c r="CS25" s="55">
        <f>'20'!$BX$13</f>
        <v>0</v>
      </c>
      <c r="CT25" s="55">
        <f>'20'!$BY$13</f>
        <v>0</v>
      </c>
      <c r="CU25" s="55">
        <f>'20'!$BN$14</f>
        <v>0</v>
      </c>
      <c r="CV25" s="55">
        <f>'20'!$BO$14</f>
        <v>0</v>
      </c>
      <c r="CW25" s="55">
        <f>'20'!$BP$14</f>
        <v>0</v>
      </c>
      <c r="CX25" s="55">
        <f>'20'!$BQ$14</f>
        <v>0</v>
      </c>
      <c r="CY25" s="55">
        <f>'20'!$BR$14</f>
        <v>0</v>
      </c>
      <c r="CZ25" s="55">
        <f>'20'!$BS$14</f>
        <v>0</v>
      </c>
      <c r="DA25" s="55">
        <f>'20'!$BT$14</f>
        <v>0</v>
      </c>
      <c r="DB25" s="55">
        <f>'20'!$BU$14</f>
        <v>0</v>
      </c>
      <c r="DC25" s="55">
        <f>'20'!$BV$14</f>
        <v>0</v>
      </c>
      <c r="DD25" s="55">
        <f>'20'!$BW$14</f>
        <v>0</v>
      </c>
      <c r="DE25" s="55">
        <f>'20'!$BX$14</f>
        <v>0</v>
      </c>
      <c r="DF25" s="55">
        <f>'20'!$BY$14</f>
        <v>0</v>
      </c>
      <c r="DG25" s="55">
        <f>'20'!$BN$15</f>
        <v>0</v>
      </c>
      <c r="DH25" s="55">
        <f>'20'!$BO$15</f>
        <v>0</v>
      </c>
      <c r="DI25" s="55">
        <f>'20'!$BP$15</f>
        <v>0</v>
      </c>
      <c r="DJ25" s="55">
        <f>'20'!$BQ$15</f>
        <v>0</v>
      </c>
      <c r="DK25" s="55">
        <f>'20'!$BR$15</f>
        <v>0</v>
      </c>
      <c r="DL25" s="55">
        <f>'20'!$BS$15</f>
        <v>0</v>
      </c>
      <c r="DM25" s="55">
        <f>'20'!$BT$15</f>
        <v>0</v>
      </c>
      <c r="DN25" s="55">
        <f>'20'!$BU$15</f>
        <v>0</v>
      </c>
      <c r="DO25" s="55">
        <f>'20'!$BV$15</f>
        <v>0</v>
      </c>
      <c r="DP25" s="55">
        <f>'20'!$BW$15</f>
        <v>0</v>
      </c>
      <c r="DQ25" s="55">
        <f>'20'!$BX$15</f>
        <v>0</v>
      </c>
      <c r="DR25" s="55">
        <f>'20'!$BY$15</f>
        <v>0</v>
      </c>
      <c r="DS25" s="55">
        <f>'20'!$BN$16</f>
        <v>0</v>
      </c>
      <c r="DT25" s="55">
        <f>'20'!$BO$16</f>
        <v>0</v>
      </c>
      <c r="DU25" s="55">
        <f>'20'!$BP$16</f>
        <v>0</v>
      </c>
      <c r="DV25" s="55">
        <f>'20'!$BQ$16</f>
        <v>0</v>
      </c>
      <c r="DW25" s="55">
        <f>'20'!$BR$16</f>
        <v>0</v>
      </c>
      <c r="DX25" s="55">
        <f>'20'!$BS$16</f>
        <v>0</v>
      </c>
      <c r="DY25" s="55">
        <f>'20'!$BT$16</f>
        <v>0</v>
      </c>
      <c r="DZ25" s="55">
        <f>'20'!$BU$16</f>
        <v>0</v>
      </c>
      <c r="EA25" s="55">
        <f>'20'!$BV$16</f>
        <v>0</v>
      </c>
      <c r="EB25" s="55">
        <f>'20'!$BW$16</f>
        <v>0</v>
      </c>
      <c r="EC25" s="55">
        <f>'20'!$BX$16</f>
        <v>0</v>
      </c>
      <c r="ED25" s="55">
        <f>'20'!$BY$16</f>
        <v>0</v>
      </c>
      <c r="EE25" s="55">
        <f>'20'!$BN$17</f>
        <v>0</v>
      </c>
      <c r="EF25" s="55">
        <f>'20'!$BO$17</f>
        <v>0</v>
      </c>
      <c r="EG25" s="55">
        <f>'20'!$BP$17</f>
        <v>0</v>
      </c>
      <c r="EH25" s="55">
        <f>'20'!$BQ$17</f>
        <v>0</v>
      </c>
      <c r="EI25" s="55">
        <f>'20'!$BR$17</f>
        <v>0</v>
      </c>
      <c r="EJ25" s="55">
        <f>'20'!$BS$17</f>
        <v>0</v>
      </c>
      <c r="EK25" s="55">
        <f>'20'!$BT$17</f>
        <v>0</v>
      </c>
      <c r="EL25" s="55">
        <f>'20'!$BU$17</f>
        <v>0</v>
      </c>
      <c r="EM25" s="55">
        <f>'20'!$BV$17</f>
        <v>0</v>
      </c>
      <c r="EN25" s="55">
        <f>'20'!$BW$17</f>
        <v>0</v>
      </c>
      <c r="EO25" s="55">
        <f>'20'!$BX$17</f>
        <v>0</v>
      </c>
      <c r="EP25" s="55">
        <f>'20'!$BY$17</f>
        <v>0</v>
      </c>
      <c r="EQ25" s="55">
        <f>'20'!$BN$18</f>
        <v>0</v>
      </c>
      <c r="ER25" s="55">
        <f>'20'!$BO$18</f>
        <v>0</v>
      </c>
      <c r="ES25" s="55">
        <f>'20'!$BP$18</f>
        <v>0</v>
      </c>
      <c r="ET25" s="55">
        <f>'20'!$BQ$18</f>
        <v>0</v>
      </c>
      <c r="EU25" s="55">
        <f>'20'!$BR$18</f>
        <v>0</v>
      </c>
      <c r="EV25" s="55">
        <f>'20'!$BS$18</f>
        <v>0</v>
      </c>
      <c r="EW25" s="55">
        <f>'20'!$BT$18</f>
        <v>0</v>
      </c>
      <c r="EX25" s="55">
        <f>'20'!$BU$18</f>
        <v>0</v>
      </c>
      <c r="EY25" s="55">
        <f>'20'!$BV$18</f>
        <v>0</v>
      </c>
      <c r="EZ25" s="55">
        <f>'20'!$BW$18</f>
        <v>0</v>
      </c>
      <c r="FA25" s="55">
        <f>'20'!$BX$18</f>
        <v>0</v>
      </c>
      <c r="FB25" s="55">
        <f>'20'!$BY$18</f>
        <v>0</v>
      </c>
      <c r="FC25" s="55">
        <f>'20'!$BN$19</f>
        <v>0</v>
      </c>
      <c r="FD25" s="55">
        <f>'20'!$BO$19</f>
        <v>0</v>
      </c>
      <c r="FE25" s="55">
        <f>'20'!$BP$19</f>
        <v>0</v>
      </c>
      <c r="FF25" s="55">
        <f>'20'!$BQ$19</f>
        <v>0</v>
      </c>
      <c r="FG25" s="55">
        <f>'20'!$BR$19</f>
        <v>0</v>
      </c>
      <c r="FH25" s="55">
        <f>'20'!$BS$19</f>
        <v>0</v>
      </c>
      <c r="FI25" s="55">
        <f>'20'!$BT$19</f>
        <v>0</v>
      </c>
      <c r="FJ25" s="55">
        <f>'20'!$BU$19</f>
        <v>0</v>
      </c>
      <c r="FK25" s="55">
        <f>'20'!$BV$19</f>
        <v>0</v>
      </c>
      <c r="FL25" s="55">
        <f>'20'!$BW$19</f>
        <v>0</v>
      </c>
      <c r="FM25" s="55">
        <f>'20'!$BX$19</f>
        <v>0</v>
      </c>
      <c r="FN25" s="55">
        <f>'20'!$BY$19</f>
        <v>0</v>
      </c>
      <c r="FO25" s="55">
        <f>'20'!$BN$20</f>
        <v>0</v>
      </c>
      <c r="FP25" s="55">
        <f>'20'!$BO$20</f>
        <v>0</v>
      </c>
      <c r="FQ25" s="55">
        <f>'20'!$BP$20</f>
        <v>0</v>
      </c>
      <c r="FR25" s="55">
        <f>'20'!$BQ$20</f>
        <v>0</v>
      </c>
      <c r="FS25" s="55">
        <f>'20'!$BR$20</f>
        <v>0</v>
      </c>
      <c r="FT25" s="55">
        <f>'20'!$BS$20</f>
        <v>0</v>
      </c>
      <c r="FU25" s="55">
        <f>'20'!$BT$20</f>
        <v>0</v>
      </c>
      <c r="FV25" s="55">
        <f>'20'!$BU$20</f>
        <v>0</v>
      </c>
      <c r="FW25" s="55">
        <f>'20'!$BV$20</f>
        <v>0</v>
      </c>
      <c r="FX25" s="55">
        <f>'20'!$BW$20</f>
        <v>0</v>
      </c>
      <c r="FY25" s="55">
        <f>'20'!$BX$20</f>
        <v>0</v>
      </c>
      <c r="FZ25" s="55">
        <f>'20'!$BY$20</f>
        <v>0</v>
      </c>
      <c r="GA25" s="55">
        <f>'20'!$BN$21</f>
        <v>0</v>
      </c>
      <c r="GB25" s="55">
        <f>'20'!$BO$21</f>
        <v>0</v>
      </c>
      <c r="GC25" s="55">
        <f>'20'!$BP$21</f>
        <v>0</v>
      </c>
      <c r="GD25" s="55">
        <f>'20'!$BQ$21</f>
        <v>0</v>
      </c>
      <c r="GE25" s="55">
        <f>'20'!$BR$21</f>
        <v>0</v>
      </c>
      <c r="GF25" s="55">
        <f>'20'!$BS$21</f>
        <v>0</v>
      </c>
      <c r="GG25" s="55">
        <f>'20'!$BT$21</f>
        <v>0</v>
      </c>
      <c r="GH25" s="55">
        <f>'20'!$BU$21</f>
        <v>0</v>
      </c>
      <c r="GI25" s="55">
        <f>'20'!$BV$21</f>
        <v>0</v>
      </c>
      <c r="GJ25" s="55">
        <f>'20'!$BW$21</f>
        <v>0</v>
      </c>
      <c r="GK25" s="55">
        <f>'20'!$BX$21</f>
        <v>0</v>
      </c>
      <c r="GL25" s="55">
        <f>'20'!$BY$21</f>
        <v>0</v>
      </c>
      <c r="GM25" s="55">
        <f>'20'!$BN$22</f>
        <v>0</v>
      </c>
      <c r="GN25" s="55">
        <f>'20'!$BO$22</f>
        <v>0</v>
      </c>
      <c r="GO25" s="55">
        <f>'20'!$BP$22</f>
        <v>0</v>
      </c>
      <c r="GP25" s="55">
        <f>'20'!$BQ$22</f>
        <v>0</v>
      </c>
      <c r="GQ25" s="55">
        <f>'20'!$BR$22</f>
        <v>0</v>
      </c>
      <c r="GR25" s="55">
        <f>'20'!$BS$22</f>
        <v>0</v>
      </c>
      <c r="GS25" s="55">
        <f>'20'!$BT$22</f>
        <v>0</v>
      </c>
      <c r="GT25" s="55">
        <f>'20'!$BU$22</f>
        <v>0</v>
      </c>
      <c r="GU25" s="55">
        <f>'20'!$BV$22</f>
        <v>0</v>
      </c>
      <c r="GV25" s="55">
        <f>'20'!$BW$22</f>
        <v>0</v>
      </c>
      <c r="GW25" s="55">
        <f>'20'!$BX$22</f>
        <v>0</v>
      </c>
      <c r="GX25" s="55">
        <f>'20'!$BY$22</f>
        <v>0</v>
      </c>
      <c r="GY25" s="55">
        <f>'20'!$BN$23</f>
        <v>0</v>
      </c>
      <c r="GZ25" s="55">
        <f>'20'!$BO$23</f>
        <v>0</v>
      </c>
      <c r="HA25" s="55">
        <f>'20'!$BP$23</f>
        <v>0</v>
      </c>
      <c r="HB25" s="55">
        <f>'20'!$BQ$23</f>
        <v>0</v>
      </c>
      <c r="HC25" s="55">
        <f>'20'!$BR$23</f>
        <v>0</v>
      </c>
      <c r="HD25" s="55">
        <f>'20'!$BS$23</f>
        <v>0</v>
      </c>
      <c r="HE25" s="55">
        <f>'20'!$BT$23</f>
        <v>0</v>
      </c>
      <c r="HF25" s="55">
        <f>'20'!$BU$23</f>
        <v>0</v>
      </c>
      <c r="HG25" s="55">
        <f>'20'!$BV$23</f>
        <v>0</v>
      </c>
      <c r="HH25" s="55">
        <f>'20'!$BW$23</f>
        <v>0</v>
      </c>
      <c r="HI25" s="55">
        <f>'20'!$BX$23</f>
        <v>0</v>
      </c>
      <c r="HJ25" s="55">
        <f>'20'!$BY$23</f>
        <v>0</v>
      </c>
      <c r="HK25" s="55">
        <f>'20'!$BN$24</f>
        <v>0</v>
      </c>
      <c r="HL25" s="55">
        <f>'20'!$BO$24</f>
        <v>0</v>
      </c>
      <c r="HM25" s="55">
        <f>'20'!$BP$24</f>
        <v>0</v>
      </c>
      <c r="HN25" s="55">
        <f>'20'!$BQ$24</f>
        <v>0</v>
      </c>
      <c r="HO25" s="55">
        <f>'20'!$BR$24</f>
        <v>0</v>
      </c>
      <c r="HP25" s="55">
        <f>'20'!$BS$24</f>
        <v>0</v>
      </c>
      <c r="HQ25" s="55">
        <f>'20'!$BT$24</f>
        <v>0</v>
      </c>
      <c r="HR25" s="55">
        <f>'20'!$BU$24</f>
        <v>0</v>
      </c>
      <c r="HS25" s="55">
        <f>'20'!$BV$24</f>
        <v>0</v>
      </c>
      <c r="HT25" s="55">
        <f>'20'!$BW$24</f>
        <v>0</v>
      </c>
      <c r="HU25" s="55">
        <f>'20'!$BX$24</f>
        <v>0</v>
      </c>
      <c r="HV25" s="55">
        <f>'20'!$BY$24</f>
        <v>0</v>
      </c>
      <c r="HW25" s="55">
        <f>'20'!$BN$25</f>
        <v>0</v>
      </c>
      <c r="HX25" s="55">
        <f>'20'!$BO$25</f>
        <v>0</v>
      </c>
      <c r="HY25" s="55">
        <f>'20'!$BP$25</f>
        <v>0</v>
      </c>
      <c r="HZ25" s="55">
        <f>'20'!$BQ$25</f>
        <v>0</v>
      </c>
      <c r="IA25" s="55">
        <f>'20'!$BR$25</f>
        <v>0</v>
      </c>
      <c r="IB25" s="55">
        <f>'20'!$BS$25</f>
        <v>0</v>
      </c>
      <c r="IC25" s="55">
        <f>'20'!$BT$25</f>
        <v>0</v>
      </c>
      <c r="ID25" s="55">
        <f>'20'!$BU$25</f>
        <v>0</v>
      </c>
      <c r="IE25" s="55">
        <f>'20'!$BV$25</f>
        <v>0</v>
      </c>
      <c r="IF25" s="55">
        <f>'20'!$BW$25</f>
        <v>0</v>
      </c>
      <c r="IG25" s="55">
        <f>'20'!$BX$25</f>
        <v>0</v>
      </c>
      <c r="IH25" s="55">
        <f>'20'!$BY$25</f>
        <v>0</v>
      </c>
      <c r="II25" s="55">
        <f>'20'!$BN$26</f>
        <v>0</v>
      </c>
      <c r="IJ25" s="55">
        <f>'20'!$BO$26</f>
        <v>0</v>
      </c>
      <c r="IK25" s="55">
        <f>'20'!$BP$26</f>
        <v>0</v>
      </c>
      <c r="IL25" s="55">
        <f>'20'!$BQ$26</f>
        <v>0</v>
      </c>
      <c r="IM25" s="55">
        <f>'20'!$BR$26</f>
        <v>0</v>
      </c>
      <c r="IN25" s="55">
        <f>'20'!$BS$26</f>
        <v>0</v>
      </c>
      <c r="IO25" s="55">
        <f>'20'!$BT$26</f>
        <v>0</v>
      </c>
      <c r="IP25" s="55">
        <f>'20'!$BU$26</f>
        <v>0</v>
      </c>
      <c r="IQ25" s="55">
        <f>'20'!$BV$26</f>
        <v>0</v>
      </c>
      <c r="IR25" s="55">
        <f>'20'!$BW$26</f>
        <v>0</v>
      </c>
      <c r="IS25" s="55">
        <f>'20'!$BX$26</f>
        <v>0</v>
      </c>
      <c r="IT25" s="55">
        <f>'20'!$BY$26</f>
        <v>0</v>
      </c>
      <c r="IU25" s="55">
        <f>'20'!$BN$27</f>
        <v>0</v>
      </c>
      <c r="IV25" s="55">
        <f>'20'!$BO$27</f>
        <v>0</v>
      </c>
      <c r="IW25" s="55">
        <f>'20'!$BP$27</f>
        <v>0</v>
      </c>
      <c r="IX25" s="55">
        <f>'20'!$BQ$27</f>
        <v>0</v>
      </c>
      <c r="IY25" s="55">
        <f>'20'!$BR$27</f>
        <v>0</v>
      </c>
      <c r="IZ25" s="55">
        <f>'20'!$BS$27</f>
        <v>0</v>
      </c>
      <c r="JA25" s="55">
        <f>'20'!$BT$27</f>
        <v>0</v>
      </c>
      <c r="JB25" s="55">
        <f>'20'!$BU$27</f>
        <v>0</v>
      </c>
      <c r="JC25" s="55">
        <f>'20'!$BV$27</f>
        <v>0</v>
      </c>
      <c r="JD25" s="55">
        <f>'20'!$BW$27</f>
        <v>0</v>
      </c>
      <c r="JE25" s="55">
        <f>'20'!$BX$27</f>
        <v>0</v>
      </c>
      <c r="JF25" s="55">
        <f>'20'!$BY$27</f>
        <v>0</v>
      </c>
      <c r="JG25" s="55">
        <f>'20'!$BN$28</f>
        <v>0</v>
      </c>
      <c r="JH25" s="55">
        <f>'20'!$BO$28</f>
        <v>0</v>
      </c>
      <c r="JI25" s="55">
        <f>'20'!$BP$28</f>
        <v>0</v>
      </c>
      <c r="JJ25" s="55">
        <f>'20'!$BQ$28</f>
        <v>0</v>
      </c>
      <c r="JK25" s="55">
        <f>'20'!$BR$28</f>
        <v>0</v>
      </c>
      <c r="JL25" s="55">
        <f>'20'!$BS$28</f>
        <v>0</v>
      </c>
      <c r="JM25" s="55">
        <f>'20'!$BT$28</f>
        <v>0</v>
      </c>
      <c r="JN25" s="55">
        <f>'20'!$BU$28</f>
        <v>0</v>
      </c>
      <c r="JO25" s="55">
        <f>'20'!$BV$28</f>
        <v>0</v>
      </c>
      <c r="JP25" s="55">
        <f>'20'!$BW$28</f>
        <v>0</v>
      </c>
      <c r="JQ25" s="55">
        <f>'20'!$BX$28</f>
        <v>0</v>
      </c>
      <c r="JR25" s="55">
        <f>'20'!$BY$28</f>
        <v>0</v>
      </c>
      <c r="JS25" s="55">
        <f>'20'!$BN$29</f>
        <v>0</v>
      </c>
      <c r="JT25" s="55">
        <f>'20'!$BO$29</f>
        <v>0</v>
      </c>
      <c r="JU25" s="55">
        <f>'20'!$BP$29</f>
        <v>0</v>
      </c>
      <c r="JV25" s="55">
        <f>'20'!$BQ$29</f>
        <v>0</v>
      </c>
      <c r="JW25" s="55">
        <f>'20'!$BR$29</f>
        <v>0</v>
      </c>
      <c r="JX25" s="55">
        <f>'20'!$BS$29</f>
        <v>0</v>
      </c>
      <c r="JY25" s="55">
        <f>'20'!$BT$29</f>
        <v>0</v>
      </c>
      <c r="JZ25" s="55">
        <f>'20'!$BU$29</f>
        <v>0</v>
      </c>
      <c r="KA25" s="55">
        <f>'20'!$BV$29</f>
        <v>0</v>
      </c>
      <c r="KB25" s="55">
        <f>'20'!$BW$29</f>
        <v>0</v>
      </c>
      <c r="KC25" s="55">
        <f>'20'!$BX$29</f>
        <v>0</v>
      </c>
      <c r="KD25" s="55">
        <f>'20'!$BY$29</f>
        <v>0</v>
      </c>
    </row>
    <row r="26" spans="1:290" ht="15" x14ac:dyDescent="0.25">
      <c r="A26" s="50">
        <v>46194</v>
      </c>
      <c r="B26" s="52"/>
      <c r="C26" s="55">
        <f>'21'!$BN$6</f>
        <v>0</v>
      </c>
      <c r="D26" s="55">
        <f>'21'!$BO$6</f>
        <v>0</v>
      </c>
      <c r="E26" s="55">
        <f>'21'!$BP$6</f>
        <v>0</v>
      </c>
      <c r="F26" s="55">
        <f>'21'!$BQ$6</f>
        <v>0</v>
      </c>
      <c r="G26" s="55">
        <f>'21'!$BR$6</f>
        <v>0</v>
      </c>
      <c r="H26" s="55">
        <f>'21'!$BS$6</f>
        <v>0</v>
      </c>
      <c r="I26" s="55">
        <f>'21'!$BT$6</f>
        <v>0</v>
      </c>
      <c r="J26" s="55">
        <f>'21'!$BU$6</f>
        <v>0</v>
      </c>
      <c r="K26" s="55">
        <f>'21'!$BV$6</f>
        <v>0</v>
      </c>
      <c r="L26" s="55">
        <f>'21'!$BW$6</f>
        <v>0</v>
      </c>
      <c r="M26" s="55">
        <f>'21'!$BX$6</f>
        <v>0</v>
      </c>
      <c r="N26" s="55">
        <f>'21'!$BY$6</f>
        <v>0</v>
      </c>
      <c r="O26" s="55">
        <f>'21'!$BN$7</f>
        <v>0</v>
      </c>
      <c r="P26" s="55">
        <f>'21'!$BO$7</f>
        <v>0</v>
      </c>
      <c r="Q26" s="55">
        <f>'21'!$BP$7</f>
        <v>0</v>
      </c>
      <c r="R26" s="55">
        <f>'21'!$BQ$7</f>
        <v>0</v>
      </c>
      <c r="S26" s="55">
        <f>'21'!$BR$7</f>
        <v>0</v>
      </c>
      <c r="T26" s="55">
        <f>'21'!$BS$7</f>
        <v>0</v>
      </c>
      <c r="U26" s="55">
        <f>'21'!$BT$7</f>
        <v>0</v>
      </c>
      <c r="V26" s="55">
        <f>'21'!$BU$7</f>
        <v>0</v>
      </c>
      <c r="W26" s="55">
        <f>'21'!$BV$7</f>
        <v>0</v>
      </c>
      <c r="X26" s="55">
        <f>'21'!$BW$7</f>
        <v>0</v>
      </c>
      <c r="Y26" s="55">
        <f>'21'!$BX$7</f>
        <v>0</v>
      </c>
      <c r="Z26" s="55">
        <f>'21'!$BY$7</f>
        <v>0</v>
      </c>
      <c r="AA26" s="55">
        <f>'21'!$BN$8</f>
        <v>0</v>
      </c>
      <c r="AB26" s="55">
        <f>'21'!$BO$8</f>
        <v>0</v>
      </c>
      <c r="AC26" s="55">
        <f>'21'!$BP$8</f>
        <v>0</v>
      </c>
      <c r="AD26" s="55">
        <f>'21'!$BQ$8</f>
        <v>0</v>
      </c>
      <c r="AE26" s="55">
        <f>'21'!$BR$8</f>
        <v>0</v>
      </c>
      <c r="AF26" s="55">
        <f>'21'!$BS$8</f>
        <v>0</v>
      </c>
      <c r="AG26" s="55">
        <f>'21'!$BT$8</f>
        <v>0</v>
      </c>
      <c r="AH26" s="55">
        <f>'21'!$BU$8</f>
        <v>0</v>
      </c>
      <c r="AI26" s="55">
        <f>'21'!$BV$8</f>
        <v>0</v>
      </c>
      <c r="AJ26" s="55">
        <f>'21'!$BW$8</f>
        <v>0</v>
      </c>
      <c r="AK26" s="55">
        <f>'21'!$BX$8</f>
        <v>0</v>
      </c>
      <c r="AL26" s="55">
        <f>'21'!$BY$8</f>
        <v>0</v>
      </c>
      <c r="AM26" s="55">
        <f>'21'!$BN$9</f>
        <v>0</v>
      </c>
      <c r="AN26" s="55">
        <f>'21'!$BO$9</f>
        <v>0</v>
      </c>
      <c r="AO26" s="55">
        <f>'21'!$BP$9</f>
        <v>0</v>
      </c>
      <c r="AP26" s="55">
        <f>'21'!$BQ$9</f>
        <v>0</v>
      </c>
      <c r="AQ26" s="55">
        <f>'21'!$BR$9</f>
        <v>0</v>
      </c>
      <c r="AR26" s="55">
        <f>'21'!$BS$9</f>
        <v>0</v>
      </c>
      <c r="AS26" s="55">
        <f>'21'!$BT$9</f>
        <v>0</v>
      </c>
      <c r="AT26" s="55">
        <f>'21'!$BU$9</f>
        <v>0</v>
      </c>
      <c r="AU26" s="55">
        <f>'21'!$BV$9</f>
        <v>0</v>
      </c>
      <c r="AV26" s="55">
        <f>'21'!$BW$9</f>
        <v>0</v>
      </c>
      <c r="AW26" s="55">
        <f>'21'!$BX$9</f>
        <v>0</v>
      </c>
      <c r="AX26" s="55">
        <f>'21'!$BY$9</f>
        <v>0</v>
      </c>
      <c r="AY26" s="55">
        <f>'21'!$BN$10</f>
        <v>0</v>
      </c>
      <c r="AZ26" s="55">
        <f>'21'!$BO$10</f>
        <v>0</v>
      </c>
      <c r="BA26" s="55">
        <f>'21'!$BP$10</f>
        <v>0</v>
      </c>
      <c r="BB26" s="55">
        <f>'21'!$BQ$10</f>
        <v>0</v>
      </c>
      <c r="BC26" s="55">
        <f>'21'!$BR$10</f>
        <v>0</v>
      </c>
      <c r="BD26" s="55">
        <f>'21'!$BS$10</f>
        <v>0</v>
      </c>
      <c r="BE26" s="55">
        <f>'21'!$BT$10</f>
        <v>0</v>
      </c>
      <c r="BF26" s="55">
        <f>'21'!$BU$10</f>
        <v>0</v>
      </c>
      <c r="BG26" s="55">
        <f>'21'!$BV$10</f>
        <v>0</v>
      </c>
      <c r="BH26" s="55">
        <f>'21'!$BW$10</f>
        <v>0</v>
      </c>
      <c r="BI26" s="55">
        <f>'21'!$BX$10</f>
        <v>0</v>
      </c>
      <c r="BJ26" s="55">
        <f>'21'!$BY$10</f>
        <v>0</v>
      </c>
      <c r="BK26" s="55">
        <f>'21'!$BN$11</f>
        <v>0</v>
      </c>
      <c r="BL26" s="55">
        <f>'21'!$BO$11</f>
        <v>0</v>
      </c>
      <c r="BM26" s="55">
        <f>'21'!$BP$11</f>
        <v>0</v>
      </c>
      <c r="BN26" s="55">
        <f>'21'!$BQ$11</f>
        <v>0</v>
      </c>
      <c r="BO26" s="55">
        <f>'21'!$BR$11</f>
        <v>0</v>
      </c>
      <c r="BP26" s="55">
        <f>'21'!$BS$11</f>
        <v>0</v>
      </c>
      <c r="BQ26" s="55">
        <f>'21'!$BT$11</f>
        <v>0</v>
      </c>
      <c r="BR26" s="55">
        <f>'21'!$BU$11</f>
        <v>0</v>
      </c>
      <c r="BS26" s="55">
        <f>'21'!$BV$11</f>
        <v>0</v>
      </c>
      <c r="BT26" s="55">
        <f>'21'!$BW$11</f>
        <v>0</v>
      </c>
      <c r="BU26" s="55">
        <f>'21'!$BX$11</f>
        <v>0</v>
      </c>
      <c r="BV26" s="55">
        <f>'21'!$BY$11</f>
        <v>0</v>
      </c>
      <c r="BW26" s="55">
        <f>'21'!$BN$12</f>
        <v>0</v>
      </c>
      <c r="BX26" s="55">
        <f>'21'!$BO$12</f>
        <v>0</v>
      </c>
      <c r="BY26" s="55">
        <f>'21'!$BP$12</f>
        <v>0</v>
      </c>
      <c r="BZ26" s="55">
        <f>'21'!$BQ$12</f>
        <v>0</v>
      </c>
      <c r="CA26" s="55">
        <f>'21'!$BR$12</f>
        <v>0</v>
      </c>
      <c r="CB26" s="55">
        <f>'21'!$BS$12</f>
        <v>0</v>
      </c>
      <c r="CC26" s="55">
        <f>'21'!$BT$12</f>
        <v>0</v>
      </c>
      <c r="CD26" s="55">
        <f>'21'!$BU$12</f>
        <v>0</v>
      </c>
      <c r="CE26" s="55">
        <f>'21'!$BV$12</f>
        <v>0</v>
      </c>
      <c r="CF26" s="55">
        <f>'21'!$BW$12</f>
        <v>0</v>
      </c>
      <c r="CG26" s="55">
        <f>'21'!$BX$12</f>
        <v>0</v>
      </c>
      <c r="CH26" s="55">
        <f>'21'!$BY$12</f>
        <v>0</v>
      </c>
      <c r="CI26" s="55">
        <f>'21'!$BN$13</f>
        <v>0</v>
      </c>
      <c r="CJ26" s="55">
        <f>'21'!$BO$13</f>
        <v>0</v>
      </c>
      <c r="CK26" s="55">
        <f>'21'!$BP$13</f>
        <v>0</v>
      </c>
      <c r="CL26" s="55">
        <f>'21'!$BQ$13</f>
        <v>0</v>
      </c>
      <c r="CM26" s="55">
        <f>'21'!$BR$13</f>
        <v>0</v>
      </c>
      <c r="CN26" s="55">
        <f>'21'!$BS$13</f>
        <v>0</v>
      </c>
      <c r="CO26" s="55">
        <f>'21'!$BT$13</f>
        <v>0</v>
      </c>
      <c r="CP26" s="55">
        <f>'21'!$BU$13</f>
        <v>0</v>
      </c>
      <c r="CQ26" s="55">
        <f>'21'!$BV$13</f>
        <v>0</v>
      </c>
      <c r="CR26" s="55">
        <f>'21'!$BW$13</f>
        <v>0</v>
      </c>
      <c r="CS26" s="55">
        <f>'21'!$BX$13</f>
        <v>0</v>
      </c>
      <c r="CT26" s="55">
        <f>'21'!$BY$13</f>
        <v>0</v>
      </c>
      <c r="CU26" s="55">
        <f>'21'!$BN$14</f>
        <v>0</v>
      </c>
      <c r="CV26" s="55">
        <f>'21'!$BO$14</f>
        <v>0</v>
      </c>
      <c r="CW26" s="55">
        <f>'21'!$BP$14</f>
        <v>0</v>
      </c>
      <c r="CX26" s="55">
        <f>'21'!$BQ$14</f>
        <v>0</v>
      </c>
      <c r="CY26" s="55">
        <f>'21'!$BR$14</f>
        <v>0</v>
      </c>
      <c r="CZ26" s="55">
        <f>'21'!$BS$14</f>
        <v>0</v>
      </c>
      <c r="DA26" s="55">
        <f>'21'!$BT$14</f>
        <v>0</v>
      </c>
      <c r="DB26" s="55">
        <f>'21'!$BU$14</f>
        <v>0</v>
      </c>
      <c r="DC26" s="55">
        <f>'21'!$BV$14</f>
        <v>0</v>
      </c>
      <c r="DD26" s="55">
        <f>'21'!$BW$14</f>
        <v>0</v>
      </c>
      <c r="DE26" s="55">
        <f>'21'!$BX$14</f>
        <v>0</v>
      </c>
      <c r="DF26" s="55">
        <f>'21'!$BY$14</f>
        <v>0</v>
      </c>
      <c r="DG26" s="55">
        <f>'21'!$BN$15</f>
        <v>0</v>
      </c>
      <c r="DH26" s="55">
        <f>'21'!$BO$15</f>
        <v>0</v>
      </c>
      <c r="DI26" s="55">
        <f>'21'!$BP$15</f>
        <v>0</v>
      </c>
      <c r="DJ26" s="55">
        <f>'21'!$BQ$15</f>
        <v>0</v>
      </c>
      <c r="DK26" s="55">
        <f>'21'!$BR$15</f>
        <v>0</v>
      </c>
      <c r="DL26" s="55">
        <f>'21'!$BS$15</f>
        <v>0</v>
      </c>
      <c r="DM26" s="55">
        <f>'21'!$BT$15</f>
        <v>0</v>
      </c>
      <c r="DN26" s="55">
        <f>'21'!$BU$15</f>
        <v>0</v>
      </c>
      <c r="DO26" s="55">
        <f>'21'!$BV$15</f>
        <v>0</v>
      </c>
      <c r="DP26" s="55">
        <f>'21'!$BW$15</f>
        <v>0</v>
      </c>
      <c r="DQ26" s="55">
        <f>'21'!$BX$15</f>
        <v>0</v>
      </c>
      <c r="DR26" s="55">
        <f>'21'!$BY$15</f>
        <v>0</v>
      </c>
      <c r="DS26" s="55">
        <f>'21'!$BN$16</f>
        <v>0</v>
      </c>
      <c r="DT26" s="55">
        <f>'21'!$BO$16</f>
        <v>0</v>
      </c>
      <c r="DU26" s="55">
        <f>'21'!$BP$16</f>
        <v>0</v>
      </c>
      <c r="DV26" s="55">
        <f>'21'!$BQ$16</f>
        <v>0</v>
      </c>
      <c r="DW26" s="55">
        <f>'21'!$BR$16</f>
        <v>0</v>
      </c>
      <c r="DX26" s="55">
        <f>'21'!$BS$16</f>
        <v>0</v>
      </c>
      <c r="DY26" s="55">
        <f>'21'!$BT$16</f>
        <v>0</v>
      </c>
      <c r="DZ26" s="55">
        <f>'21'!$BU$16</f>
        <v>0</v>
      </c>
      <c r="EA26" s="55">
        <f>'21'!$BV$16</f>
        <v>0</v>
      </c>
      <c r="EB26" s="55">
        <f>'21'!$BW$16</f>
        <v>0</v>
      </c>
      <c r="EC26" s="55">
        <f>'21'!$BX$16</f>
        <v>0</v>
      </c>
      <c r="ED26" s="55">
        <f>'21'!$BY$16</f>
        <v>0</v>
      </c>
      <c r="EE26" s="55">
        <f>'21'!$BN$17</f>
        <v>0</v>
      </c>
      <c r="EF26" s="55">
        <f>'21'!$BO$17</f>
        <v>0</v>
      </c>
      <c r="EG26" s="55">
        <f>'21'!$BP$17</f>
        <v>0</v>
      </c>
      <c r="EH26" s="55">
        <f>'21'!$BQ$17</f>
        <v>0</v>
      </c>
      <c r="EI26" s="55">
        <f>'21'!$BR$17</f>
        <v>0</v>
      </c>
      <c r="EJ26" s="55">
        <f>'21'!$BS$17</f>
        <v>0</v>
      </c>
      <c r="EK26" s="55">
        <f>'21'!$BT$17</f>
        <v>0</v>
      </c>
      <c r="EL26" s="55">
        <f>'21'!$BU$17</f>
        <v>0</v>
      </c>
      <c r="EM26" s="55">
        <f>'21'!$BV$17</f>
        <v>0</v>
      </c>
      <c r="EN26" s="55">
        <f>'21'!$BW$17</f>
        <v>0</v>
      </c>
      <c r="EO26" s="55">
        <f>'21'!$BX$17</f>
        <v>0</v>
      </c>
      <c r="EP26" s="55">
        <f>'21'!$BY$17</f>
        <v>0</v>
      </c>
      <c r="EQ26" s="55">
        <f>'21'!$BN$18</f>
        <v>0</v>
      </c>
      <c r="ER26" s="55">
        <f>'21'!$BO$18</f>
        <v>0</v>
      </c>
      <c r="ES26" s="55">
        <f>'21'!$BP$18</f>
        <v>0</v>
      </c>
      <c r="ET26" s="55">
        <f>'21'!$BQ$18</f>
        <v>0</v>
      </c>
      <c r="EU26" s="55">
        <f>'21'!$BR$18</f>
        <v>0</v>
      </c>
      <c r="EV26" s="55">
        <f>'21'!$BS$18</f>
        <v>0</v>
      </c>
      <c r="EW26" s="55">
        <f>'21'!$BT$18</f>
        <v>0</v>
      </c>
      <c r="EX26" s="55">
        <f>'21'!$BU$18</f>
        <v>0</v>
      </c>
      <c r="EY26" s="55">
        <f>'21'!$BV$18</f>
        <v>0</v>
      </c>
      <c r="EZ26" s="55">
        <f>'21'!$BW$18</f>
        <v>0</v>
      </c>
      <c r="FA26" s="55">
        <f>'21'!$BX$18</f>
        <v>0</v>
      </c>
      <c r="FB26" s="55">
        <f>'21'!$BY$18</f>
        <v>0</v>
      </c>
      <c r="FC26" s="55">
        <f>'21'!$BN$19</f>
        <v>0</v>
      </c>
      <c r="FD26" s="55">
        <f>'21'!$BO$19</f>
        <v>0</v>
      </c>
      <c r="FE26" s="55">
        <f>'21'!$BP$19</f>
        <v>0</v>
      </c>
      <c r="FF26" s="55">
        <f>'21'!$BQ$19</f>
        <v>0</v>
      </c>
      <c r="FG26" s="55">
        <f>'21'!$BR$19</f>
        <v>0</v>
      </c>
      <c r="FH26" s="55">
        <f>'21'!$BS$19</f>
        <v>0</v>
      </c>
      <c r="FI26" s="55">
        <f>'21'!$BT$19</f>
        <v>0</v>
      </c>
      <c r="FJ26" s="55">
        <f>'21'!$BU$19</f>
        <v>0</v>
      </c>
      <c r="FK26" s="55">
        <f>'21'!$BV$19</f>
        <v>0</v>
      </c>
      <c r="FL26" s="55">
        <f>'21'!$BW$19</f>
        <v>0</v>
      </c>
      <c r="FM26" s="55">
        <f>'21'!$BX$19</f>
        <v>0</v>
      </c>
      <c r="FN26" s="55">
        <f>'21'!$BY$19</f>
        <v>0</v>
      </c>
      <c r="FO26" s="55">
        <f>'21'!$BN$20</f>
        <v>0</v>
      </c>
      <c r="FP26" s="55">
        <f>'21'!$BO$20</f>
        <v>0</v>
      </c>
      <c r="FQ26" s="55">
        <f>'21'!$BP$20</f>
        <v>0</v>
      </c>
      <c r="FR26" s="55">
        <f>'21'!$BQ$20</f>
        <v>0</v>
      </c>
      <c r="FS26" s="55">
        <f>'21'!$BR$20</f>
        <v>0</v>
      </c>
      <c r="FT26" s="55">
        <f>'21'!$BS$20</f>
        <v>0</v>
      </c>
      <c r="FU26" s="55">
        <f>'21'!$BT$20</f>
        <v>0</v>
      </c>
      <c r="FV26" s="55">
        <f>'21'!$BU$20</f>
        <v>0</v>
      </c>
      <c r="FW26" s="55">
        <f>'21'!$BV$20</f>
        <v>0</v>
      </c>
      <c r="FX26" s="55">
        <f>'21'!$BW$20</f>
        <v>0</v>
      </c>
      <c r="FY26" s="55">
        <f>'21'!$BX$20</f>
        <v>0</v>
      </c>
      <c r="FZ26" s="55">
        <f>'21'!$BY$20</f>
        <v>0</v>
      </c>
      <c r="GA26" s="55">
        <f>'21'!$BN$21</f>
        <v>0</v>
      </c>
      <c r="GB26" s="55">
        <f>'21'!$BO$21</f>
        <v>0</v>
      </c>
      <c r="GC26" s="55">
        <f>'21'!$BP$21</f>
        <v>0</v>
      </c>
      <c r="GD26" s="55">
        <f>'21'!$BQ$21</f>
        <v>0</v>
      </c>
      <c r="GE26" s="55">
        <f>'21'!$BR$21</f>
        <v>0</v>
      </c>
      <c r="GF26" s="55">
        <f>'21'!$BS$21</f>
        <v>0</v>
      </c>
      <c r="GG26" s="55">
        <f>'21'!$BT$21</f>
        <v>0</v>
      </c>
      <c r="GH26" s="55">
        <f>'21'!$BU$21</f>
        <v>0</v>
      </c>
      <c r="GI26" s="55">
        <f>'21'!$BV$21</f>
        <v>0</v>
      </c>
      <c r="GJ26" s="55">
        <f>'21'!$BW$21</f>
        <v>0</v>
      </c>
      <c r="GK26" s="55">
        <f>'21'!$BX$21</f>
        <v>0</v>
      </c>
      <c r="GL26" s="55">
        <f>'21'!$BY$21</f>
        <v>0</v>
      </c>
      <c r="GM26" s="55">
        <f>'21'!$BN$22</f>
        <v>0</v>
      </c>
      <c r="GN26" s="55">
        <f>'21'!$BO$22</f>
        <v>0</v>
      </c>
      <c r="GO26" s="55">
        <f>'21'!$BP$22</f>
        <v>0</v>
      </c>
      <c r="GP26" s="55">
        <f>'21'!$BQ$22</f>
        <v>0</v>
      </c>
      <c r="GQ26" s="55">
        <f>'21'!$BR$22</f>
        <v>0</v>
      </c>
      <c r="GR26" s="55">
        <f>'21'!$BS$22</f>
        <v>0</v>
      </c>
      <c r="GS26" s="55">
        <f>'21'!$BT$22</f>
        <v>0</v>
      </c>
      <c r="GT26" s="55">
        <f>'21'!$BU$22</f>
        <v>0</v>
      </c>
      <c r="GU26" s="55">
        <f>'21'!$BV$22</f>
        <v>0</v>
      </c>
      <c r="GV26" s="55">
        <f>'21'!$BW$22</f>
        <v>0</v>
      </c>
      <c r="GW26" s="55">
        <f>'21'!$BX$22</f>
        <v>0</v>
      </c>
      <c r="GX26" s="55">
        <f>'21'!$BY$22</f>
        <v>0</v>
      </c>
      <c r="GY26" s="55">
        <f>'21'!$BN$23</f>
        <v>0</v>
      </c>
      <c r="GZ26" s="55">
        <f>'21'!$BO$23</f>
        <v>0</v>
      </c>
      <c r="HA26" s="55">
        <f>'21'!$BP$23</f>
        <v>0</v>
      </c>
      <c r="HB26" s="55">
        <f>'21'!$BQ$23</f>
        <v>0</v>
      </c>
      <c r="HC26" s="55">
        <f>'21'!$BR$23</f>
        <v>0</v>
      </c>
      <c r="HD26" s="55">
        <f>'21'!$BS$23</f>
        <v>0</v>
      </c>
      <c r="HE26" s="55">
        <f>'21'!$BT$23</f>
        <v>0</v>
      </c>
      <c r="HF26" s="55">
        <f>'21'!$BU$23</f>
        <v>0</v>
      </c>
      <c r="HG26" s="55">
        <f>'21'!$BV$23</f>
        <v>0</v>
      </c>
      <c r="HH26" s="55">
        <f>'21'!$BW$23</f>
        <v>0</v>
      </c>
      <c r="HI26" s="55">
        <f>'21'!$BX$23</f>
        <v>0</v>
      </c>
      <c r="HJ26" s="55">
        <f>'21'!$BY$23</f>
        <v>0</v>
      </c>
      <c r="HK26" s="55">
        <f>'21'!$BN$24</f>
        <v>0</v>
      </c>
      <c r="HL26" s="55">
        <f>'21'!$BO$24</f>
        <v>0</v>
      </c>
      <c r="HM26" s="55">
        <f>'21'!$BP$24</f>
        <v>0</v>
      </c>
      <c r="HN26" s="55">
        <f>'21'!$BQ$24</f>
        <v>0</v>
      </c>
      <c r="HO26" s="55">
        <f>'21'!$BR$24</f>
        <v>0</v>
      </c>
      <c r="HP26" s="55">
        <f>'21'!$BS$24</f>
        <v>0</v>
      </c>
      <c r="HQ26" s="55">
        <f>'21'!$BT$24</f>
        <v>0</v>
      </c>
      <c r="HR26" s="55">
        <f>'21'!$BU$24</f>
        <v>0</v>
      </c>
      <c r="HS26" s="55">
        <f>'21'!$BV$24</f>
        <v>0</v>
      </c>
      <c r="HT26" s="55">
        <f>'21'!$BW$24</f>
        <v>0</v>
      </c>
      <c r="HU26" s="55">
        <f>'21'!$BX$24</f>
        <v>0</v>
      </c>
      <c r="HV26" s="55">
        <f>'21'!$BY$24</f>
        <v>0</v>
      </c>
      <c r="HW26" s="55">
        <f>'21'!$BN$25</f>
        <v>0</v>
      </c>
      <c r="HX26" s="55">
        <f>'21'!$BO$25</f>
        <v>0</v>
      </c>
      <c r="HY26" s="55">
        <f>'21'!$BP$25</f>
        <v>0</v>
      </c>
      <c r="HZ26" s="55">
        <f>'21'!$BQ$25</f>
        <v>0</v>
      </c>
      <c r="IA26" s="55">
        <f>'21'!$BR$25</f>
        <v>0</v>
      </c>
      <c r="IB26" s="55">
        <f>'21'!$BS$25</f>
        <v>0</v>
      </c>
      <c r="IC26" s="55">
        <f>'21'!$BT$25</f>
        <v>0</v>
      </c>
      <c r="ID26" s="55">
        <f>'21'!$BU$25</f>
        <v>0</v>
      </c>
      <c r="IE26" s="55">
        <f>'21'!$BV$25</f>
        <v>0</v>
      </c>
      <c r="IF26" s="55">
        <f>'21'!$BW$25</f>
        <v>0</v>
      </c>
      <c r="IG26" s="55">
        <f>'21'!$BX$25</f>
        <v>0</v>
      </c>
      <c r="IH26" s="55">
        <f>'21'!$BY$25</f>
        <v>0</v>
      </c>
      <c r="II26" s="55">
        <f>'21'!$BN$26</f>
        <v>0</v>
      </c>
      <c r="IJ26" s="55">
        <f>'21'!$BO$26</f>
        <v>0</v>
      </c>
      <c r="IK26" s="55">
        <f>'21'!$BP$26</f>
        <v>0</v>
      </c>
      <c r="IL26" s="55">
        <f>'21'!$BQ$26</f>
        <v>0</v>
      </c>
      <c r="IM26" s="55">
        <f>'21'!$BR$26</f>
        <v>0</v>
      </c>
      <c r="IN26" s="55">
        <f>'21'!$BS$26</f>
        <v>0</v>
      </c>
      <c r="IO26" s="55">
        <f>'21'!$BT$26</f>
        <v>0</v>
      </c>
      <c r="IP26" s="55">
        <f>'21'!$BU$26</f>
        <v>0</v>
      </c>
      <c r="IQ26" s="55">
        <f>'21'!$BV$26</f>
        <v>0</v>
      </c>
      <c r="IR26" s="55">
        <f>'21'!$BW$26</f>
        <v>0</v>
      </c>
      <c r="IS26" s="55">
        <f>'21'!$BX$26</f>
        <v>0</v>
      </c>
      <c r="IT26" s="55">
        <f>'21'!$BY$26</f>
        <v>0</v>
      </c>
      <c r="IU26" s="55">
        <f>'21'!$BN$27</f>
        <v>0</v>
      </c>
      <c r="IV26" s="55">
        <f>'21'!$BO$27</f>
        <v>0</v>
      </c>
      <c r="IW26" s="55">
        <f>'21'!$BP$27</f>
        <v>0</v>
      </c>
      <c r="IX26" s="55">
        <f>'21'!$BQ$27</f>
        <v>0</v>
      </c>
      <c r="IY26" s="55">
        <f>'21'!$BR$27</f>
        <v>0</v>
      </c>
      <c r="IZ26" s="55">
        <f>'21'!$BS$27</f>
        <v>0</v>
      </c>
      <c r="JA26" s="55">
        <f>'21'!$BT$27</f>
        <v>0</v>
      </c>
      <c r="JB26" s="55">
        <f>'21'!$BU$27</f>
        <v>0</v>
      </c>
      <c r="JC26" s="55">
        <f>'21'!$BV$27</f>
        <v>0</v>
      </c>
      <c r="JD26" s="55">
        <f>'21'!$BW$27</f>
        <v>0</v>
      </c>
      <c r="JE26" s="55">
        <f>'21'!$BX$27</f>
        <v>0</v>
      </c>
      <c r="JF26" s="55">
        <f>'21'!$BY$27</f>
        <v>0</v>
      </c>
      <c r="JG26" s="55">
        <f>'21'!$BN$28</f>
        <v>0</v>
      </c>
      <c r="JH26" s="55">
        <f>'21'!$BO$28</f>
        <v>0</v>
      </c>
      <c r="JI26" s="55">
        <f>'21'!$BP$28</f>
        <v>0</v>
      </c>
      <c r="JJ26" s="55">
        <f>'21'!$BQ$28</f>
        <v>0</v>
      </c>
      <c r="JK26" s="55">
        <f>'21'!$BR$28</f>
        <v>0</v>
      </c>
      <c r="JL26" s="55">
        <f>'21'!$BS$28</f>
        <v>0</v>
      </c>
      <c r="JM26" s="55">
        <f>'21'!$BT$28</f>
        <v>0</v>
      </c>
      <c r="JN26" s="55">
        <f>'21'!$BU$28</f>
        <v>0</v>
      </c>
      <c r="JO26" s="55">
        <f>'21'!$BV$28</f>
        <v>0</v>
      </c>
      <c r="JP26" s="55">
        <f>'21'!$BW$28</f>
        <v>0</v>
      </c>
      <c r="JQ26" s="55">
        <f>'21'!$BX$28</f>
        <v>0</v>
      </c>
      <c r="JR26" s="55">
        <f>'21'!$BY$28</f>
        <v>0</v>
      </c>
      <c r="JS26" s="55">
        <f>'21'!$BN$29</f>
        <v>0</v>
      </c>
      <c r="JT26" s="55">
        <f>'21'!$BO$29</f>
        <v>0</v>
      </c>
      <c r="JU26" s="55">
        <f>'21'!$BP$29</f>
        <v>0</v>
      </c>
      <c r="JV26" s="55">
        <f>'21'!$BQ$29</f>
        <v>0</v>
      </c>
      <c r="JW26" s="55">
        <f>'21'!$BR$29</f>
        <v>0</v>
      </c>
      <c r="JX26" s="55">
        <f>'21'!$BS$29</f>
        <v>0</v>
      </c>
      <c r="JY26" s="55">
        <f>'21'!$BT$29</f>
        <v>0</v>
      </c>
      <c r="JZ26" s="55">
        <f>'21'!$BU$29</f>
        <v>0</v>
      </c>
      <c r="KA26" s="55">
        <f>'21'!$BV$29</f>
        <v>0</v>
      </c>
      <c r="KB26" s="55">
        <f>'21'!$BW$29</f>
        <v>0</v>
      </c>
      <c r="KC26" s="55">
        <f>'21'!$BX$29</f>
        <v>0</v>
      </c>
      <c r="KD26" s="55">
        <f>'21'!$BY$29</f>
        <v>0</v>
      </c>
    </row>
    <row r="27" spans="1:290" ht="15" x14ac:dyDescent="0.25">
      <c r="A27" s="50">
        <v>46195</v>
      </c>
      <c r="B27" s="52"/>
      <c r="C27" s="55">
        <f>'22'!$BN$7</f>
        <v>0</v>
      </c>
      <c r="D27" s="55">
        <f>'22'!$BO$7</f>
        <v>0</v>
      </c>
      <c r="E27" s="55">
        <f>'22'!$BP$7</f>
        <v>0</v>
      </c>
      <c r="F27" s="55">
        <f>'22'!$BQ$7</f>
        <v>0</v>
      </c>
      <c r="G27" s="55">
        <f>'22'!$BR$7</f>
        <v>0</v>
      </c>
      <c r="H27" s="55">
        <f>'22'!$BS$7</f>
        <v>0</v>
      </c>
      <c r="I27" s="55">
        <f>'22'!$BT$7</f>
        <v>0</v>
      </c>
      <c r="J27" s="55">
        <f>'22'!$BU$7</f>
        <v>0</v>
      </c>
      <c r="K27" s="55">
        <f>'22'!$BV$7</f>
        <v>0</v>
      </c>
      <c r="L27" s="55">
        <f>'22'!$BW$7</f>
        <v>0</v>
      </c>
      <c r="M27" s="55">
        <f>'22'!$BX$7</f>
        <v>0</v>
      </c>
      <c r="N27" s="55">
        <f>'22'!$BY$7</f>
        <v>0</v>
      </c>
      <c r="O27" s="55">
        <f>'22'!$BN$8</f>
        <v>0</v>
      </c>
      <c r="P27" s="55">
        <f>'22'!$BO$8</f>
        <v>0</v>
      </c>
      <c r="Q27" s="55">
        <f>'22'!$BP$8</f>
        <v>0</v>
      </c>
      <c r="R27" s="55">
        <f>'22'!$BQ$8</f>
        <v>0</v>
      </c>
      <c r="S27" s="55">
        <f>'22'!$BR$8</f>
        <v>0</v>
      </c>
      <c r="T27" s="55">
        <f>'22'!$BS$8</f>
        <v>0</v>
      </c>
      <c r="U27" s="55">
        <f>'22'!$BT$8</f>
        <v>0</v>
      </c>
      <c r="V27" s="55">
        <f>'22'!$BU$8</f>
        <v>0</v>
      </c>
      <c r="W27" s="55">
        <f>'22'!$BV$8</f>
        <v>0</v>
      </c>
      <c r="X27" s="55">
        <f>'22'!$BW$8</f>
        <v>0</v>
      </c>
      <c r="Y27" s="55">
        <f>'22'!$BX$8</f>
        <v>0</v>
      </c>
      <c r="Z27" s="55">
        <f>'22'!$BY$8</f>
        <v>0</v>
      </c>
      <c r="AA27" s="55">
        <f>'22'!$BN$9</f>
        <v>0</v>
      </c>
      <c r="AB27" s="55">
        <f>'22'!$BO$9</f>
        <v>0</v>
      </c>
      <c r="AC27" s="55">
        <f>'22'!$BP$9</f>
        <v>0</v>
      </c>
      <c r="AD27" s="55">
        <f>'22'!$BQ$9</f>
        <v>0</v>
      </c>
      <c r="AE27" s="55">
        <f>'22'!$BR$9</f>
        <v>0</v>
      </c>
      <c r="AF27" s="55">
        <f>'22'!$BS$9</f>
        <v>0</v>
      </c>
      <c r="AG27" s="55">
        <f>'22'!$BT$9</f>
        <v>0</v>
      </c>
      <c r="AH27" s="55">
        <f>'22'!$BU$9</f>
        <v>0</v>
      </c>
      <c r="AI27" s="55">
        <f>'22'!$BV$9</f>
        <v>0</v>
      </c>
      <c r="AJ27" s="55">
        <f>'22'!$BW$9</f>
        <v>0</v>
      </c>
      <c r="AK27" s="55">
        <f>'22'!$BX$9</f>
        <v>0</v>
      </c>
      <c r="AL27" s="55">
        <f>'22'!$BY$9</f>
        <v>0</v>
      </c>
      <c r="AM27" s="55">
        <f>'22'!$BN$10</f>
        <v>0</v>
      </c>
      <c r="AN27" s="55">
        <f>'22'!$BO$10</f>
        <v>0</v>
      </c>
      <c r="AO27" s="55">
        <f>'22'!$BP$10</f>
        <v>0</v>
      </c>
      <c r="AP27" s="55">
        <f>'22'!$BQ$10</f>
        <v>0</v>
      </c>
      <c r="AQ27" s="55">
        <f>'22'!$BR$10</f>
        <v>0</v>
      </c>
      <c r="AR27" s="55">
        <f>'22'!$BS$10</f>
        <v>0</v>
      </c>
      <c r="AS27" s="55">
        <f>'22'!$BT$10</f>
        <v>0</v>
      </c>
      <c r="AT27" s="55">
        <f>'22'!$BU$10</f>
        <v>0</v>
      </c>
      <c r="AU27" s="55">
        <f>'22'!$BV$10</f>
        <v>0</v>
      </c>
      <c r="AV27" s="55">
        <f>'22'!$BW$10</f>
        <v>0</v>
      </c>
      <c r="AW27" s="55">
        <f>'22'!$BX$10</f>
        <v>0</v>
      </c>
      <c r="AX27" s="55">
        <f>'22'!$BY$10</f>
        <v>0</v>
      </c>
      <c r="AY27" s="55">
        <f>'22'!$BN$11</f>
        <v>0</v>
      </c>
      <c r="AZ27" s="55">
        <f>'22'!$BO$11</f>
        <v>0</v>
      </c>
      <c r="BA27" s="55">
        <f>'22'!$BP$11</f>
        <v>0</v>
      </c>
      <c r="BB27" s="55">
        <f>'22'!$BQ$11</f>
        <v>0</v>
      </c>
      <c r="BC27" s="55">
        <f>'22'!$BR$11</f>
        <v>0</v>
      </c>
      <c r="BD27" s="55">
        <f>'22'!$BS$11</f>
        <v>0</v>
      </c>
      <c r="BE27" s="55">
        <f>'22'!$BT$11</f>
        <v>0</v>
      </c>
      <c r="BF27" s="55">
        <f>'22'!$BU$11</f>
        <v>0</v>
      </c>
      <c r="BG27" s="55">
        <f>'22'!$BV$11</f>
        <v>0</v>
      </c>
      <c r="BH27" s="55">
        <f>'22'!$BW$11</f>
        <v>0</v>
      </c>
      <c r="BI27" s="55">
        <f>'22'!$BX$11</f>
        <v>0</v>
      </c>
      <c r="BJ27" s="55">
        <f>'22'!$BY$11</f>
        <v>0</v>
      </c>
      <c r="BK27" s="55">
        <f>'22'!$BN$12</f>
        <v>0</v>
      </c>
      <c r="BL27" s="55">
        <f>'22'!$BO$12</f>
        <v>0</v>
      </c>
      <c r="BM27" s="55">
        <f>'22'!$BP$12</f>
        <v>0</v>
      </c>
      <c r="BN27" s="55">
        <f>'22'!$BQ$12</f>
        <v>0</v>
      </c>
      <c r="BO27" s="55">
        <f>'22'!$BR$12</f>
        <v>0</v>
      </c>
      <c r="BP27" s="55">
        <f>'22'!$BS$12</f>
        <v>0</v>
      </c>
      <c r="BQ27" s="55">
        <f>'22'!$BT$12</f>
        <v>0</v>
      </c>
      <c r="BR27" s="55">
        <f>'22'!$BU$12</f>
        <v>0</v>
      </c>
      <c r="BS27" s="55">
        <f>'22'!$BV$12</f>
        <v>0</v>
      </c>
      <c r="BT27" s="55">
        <f>'22'!$BW$12</f>
        <v>0</v>
      </c>
      <c r="BU27" s="55">
        <f>'22'!$BX$12</f>
        <v>0</v>
      </c>
      <c r="BV27" s="55">
        <f>'22'!$BY$12</f>
        <v>0</v>
      </c>
      <c r="BW27" s="55">
        <f>'22'!$BN$13</f>
        <v>0</v>
      </c>
      <c r="BX27" s="55">
        <f>'22'!$BO$13</f>
        <v>0</v>
      </c>
      <c r="BY27" s="55">
        <f>'22'!$BP$13</f>
        <v>0</v>
      </c>
      <c r="BZ27" s="55">
        <f>'22'!$BQ$13</f>
        <v>0</v>
      </c>
      <c r="CA27" s="55">
        <f>'22'!$BR$13</f>
        <v>0</v>
      </c>
      <c r="CB27" s="55">
        <f>'22'!$BS$13</f>
        <v>0</v>
      </c>
      <c r="CC27" s="55">
        <f>'22'!$BT$13</f>
        <v>0</v>
      </c>
      <c r="CD27" s="55">
        <f>'22'!$BU$13</f>
        <v>0</v>
      </c>
      <c r="CE27" s="55">
        <f>'22'!$BV$13</f>
        <v>0</v>
      </c>
      <c r="CF27" s="55">
        <f>'22'!$BW$13</f>
        <v>0</v>
      </c>
      <c r="CG27" s="55">
        <f>'22'!$BX$13</f>
        <v>0</v>
      </c>
      <c r="CH27" s="55">
        <f>'22'!$BY$13</f>
        <v>0</v>
      </c>
      <c r="CI27" s="55">
        <f>'22'!$BN$14</f>
        <v>0</v>
      </c>
      <c r="CJ27" s="55">
        <f>'22'!$BO$14</f>
        <v>0</v>
      </c>
      <c r="CK27" s="55">
        <f>'22'!$BP$14</f>
        <v>0</v>
      </c>
      <c r="CL27" s="55">
        <f>'22'!$BQ$14</f>
        <v>0</v>
      </c>
      <c r="CM27" s="55">
        <f>'22'!$BR$14</f>
        <v>0</v>
      </c>
      <c r="CN27" s="55">
        <f>'22'!$BS$14</f>
        <v>0</v>
      </c>
      <c r="CO27" s="55">
        <f>'22'!$BT$14</f>
        <v>0</v>
      </c>
      <c r="CP27" s="55">
        <f>'22'!$BU$14</f>
        <v>0</v>
      </c>
      <c r="CQ27" s="55">
        <f>'22'!$BV$14</f>
        <v>0</v>
      </c>
      <c r="CR27" s="55">
        <f>'22'!$BW$14</f>
        <v>0</v>
      </c>
      <c r="CS27" s="55">
        <f>'22'!$BX$14</f>
        <v>0</v>
      </c>
      <c r="CT27" s="55">
        <f>'22'!$BY$14</f>
        <v>0</v>
      </c>
      <c r="CU27" s="55">
        <f>'22'!$BN$15</f>
        <v>0</v>
      </c>
      <c r="CV27" s="55">
        <f>'22'!$BO$15</f>
        <v>0</v>
      </c>
      <c r="CW27" s="55">
        <f>'22'!$BP$15</f>
        <v>0</v>
      </c>
      <c r="CX27" s="55">
        <f>'22'!$BQ$15</f>
        <v>0</v>
      </c>
      <c r="CY27" s="55">
        <f>'22'!$BR$15</f>
        <v>0</v>
      </c>
      <c r="CZ27" s="55">
        <f>'22'!$BS$15</f>
        <v>0</v>
      </c>
      <c r="DA27" s="55">
        <f>'22'!$BT$15</f>
        <v>0</v>
      </c>
      <c r="DB27" s="55">
        <f>'22'!$BU$15</f>
        <v>0</v>
      </c>
      <c r="DC27" s="55">
        <f>'22'!$BV$15</f>
        <v>0</v>
      </c>
      <c r="DD27" s="55">
        <f>'22'!$BW$15</f>
        <v>0</v>
      </c>
      <c r="DE27" s="55">
        <f>'22'!$BX$15</f>
        <v>0</v>
      </c>
      <c r="DF27" s="55">
        <f>'22'!$BY$15</f>
        <v>0</v>
      </c>
      <c r="DG27" s="55">
        <f>'22'!$BN$16</f>
        <v>0</v>
      </c>
      <c r="DH27" s="55">
        <f>'22'!$BO$16</f>
        <v>0</v>
      </c>
      <c r="DI27" s="55">
        <f>'22'!$BP$16</f>
        <v>0</v>
      </c>
      <c r="DJ27" s="55">
        <f>'22'!$BQ$16</f>
        <v>0</v>
      </c>
      <c r="DK27" s="55">
        <f>'22'!$BR$16</f>
        <v>0</v>
      </c>
      <c r="DL27" s="55">
        <f>'22'!$BS$16</f>
        <v>0</v>
      </c>
      <c r="DM27" s="55">
        <f>'22'!$BT$16</f>
        <v>0</v>
      </c>
      <c r="DN27" s="55">
        <f>'22'!$BU$16</f>
        <v>0</v>
      </c>
      <c r="DO27" s="55">
        <f>'22'!$BV$16</f>
        <v>0</v>
      </c>
      <c r="DP27" s="55">
        <f>'22'!$BW$16</f>
        <v>0</v>
      </c>
      <c r="DQ27" s="55">
        <f>'22'!$BX$16</f>
        <v>0</v>
      </c>
      <c r="DR27" s="55">
        <f>'22'!$BY$16</f>
        <v>0</v>
      </c>
      <c r="DS27" s="55">
        <f>'22'!$BN$17</f>
        <v>0</v>
      </c>
      <c r="DT27" s="55">
        <f>'22'!$BO$17</f>
        <v>0</v>
      </c>
      <c r="DU27" s="55">
        <f>'22'!$BP$17</f>
        <v>0</v>
      </c>
      <c r="DV27" s="55">
        <f>'22'!$BQ$17</f>
        <v>0</v>
      </c>
      <c r="DW27" s="55">
        <f>'22'!$BR$17</f>
        <v>0</v>
      </c>
      <c r="DX27" s="55">
        <f>'22'!$BS$17</f>
        <v>0</v>
      </c>
      <c r="DY27" s="55">
        <f>'22'!$BT$17</f>
        <v>0</v>
      </c>
      <c r="DZ27" s="55">
        <f>'22'!$BU$17</f>
        <v>0</v>
      </c>
      <c r="EA27" s="55">
        <f>'22'!$BV$17</f>
        <v>0</v>
      </c>
      <c r="EB27" s="55">
        <f>'22'!$BW$17</f>
        <v>0</v>
      </c>
      <c r="EC27" s="55">
        <f>'22'!$BX$17</f>
        <v>0</v>
      </c>
      <c r="ED27" s="55">
        <f>'22'!$BY$17</f>
        <v>0</v>
      </c>
      <c r="EE27" s="55">
        <f>'22'!$BN$18</f>
        <v>0</v>
      </c>
      <c r="EF27" s="55">
        <f>'22'!$BO$18</f>
        <v>0</v>
      </c>
      <c r="EG27" s="55">
        <f>'22'!$BP$18</f>
        <v>0</v>
      </c>
      <c r="EH27" s="55">
        <f>'22'!$BQ$18</f>
        <v>0</v>
      </c>
      <c r="EI27" s="55">
        <f>'22'!$BR$18</f>
        <v>0</v>
      </c>
      <c r="EJ27" s="55">
        <f>'22'!$BS$18</f>
        <v>0</v>
      </c>
      <c r="EK27" s="55">
        <f>'22'!$BT$18</f>
        <v>0</v>
      </c>
      <c r="EL27" s="55">
        <f>'22'!$BU$18</f>
        <v>0</v>
      </c>
      <c r="EM27" s="55">
        <f>'22'!$BV$18</f>
        <v>0</v>
      </c>
      <c r="EN27" s="55">
        <f>'22'!$BW$18</f>
        <v>0</v>
      </c>
      <c r="EO27" s="55">
        <f>'22'!$BX$18</f>
        <v>0</v>
      </c>
      <c r="EP27" s="55">
        <f>'22'!$BY$18</f>
        <v>0</v>
      </c>
      <c r="EQ27" s="55">
        <f>'22'!$BN$19</f>
        <v>0</v>
      </c>
      <c r="ER27" s="55">
        <f>'22'!$BO$19</f>
        <v>0</v>
      </c>
      <c r="ES27" s="55">
        <f>'22'!$BP$19</f>
        <v>0</v>
      </c>
      <c r="ET27" s="55">
        <f>'22'!$BQ$19</f>
        <v>0</v>
      </c>
      <c r="EU27" s="55">
        <f>'22'!$BR$19</f>
        <v>0</v>
      </c>
      <c r="EV27" s="55">
        <f>'22'!$BS$19</f>
        <v>0</v>
      </c>
      <c r="EW27" s="55">
        <f>'22'!$BT$19</f>
        <v>0</v>
      </c>
      <c r="EX27" s="55">
        <f>'22'!$BU$19</f>
        <v>0</v>
      </c>
      <c r="EY27" s="55">
        <f>'22'!$BV$19</f>
        <v>0</v>
      </c>
      <c r="EZ27" s="55">
        <f>'22'!$BW$19</f>
        <v>0</v>
      </c>
      <c r="FA27" s="55">
        <f>'22'!$BX$19</f>
        <v>0</v>
      </c>
      <c r="FB27" s="55">
        <f>'22'!$BY$19</f>
        <v>0</v>
      </c>
      <c r="FC27" s="55">
        <f>'22'!$BN$20</f>
        <v>0</v>
      </c>
      <c r="FD27" s="55">
        <f>'22'!$BO$20</f>
        <v>0</v>
      </c>
      <c r="FE27" s="55">
        <f>'22'!$BP$20</f>
        <v>0</v>
      </c>
      <c r="FF27" s="55">
        <f>'22'!$BQ$20</f>
        <v>0</v>
      </c>
      <c r="FG27" s="55">
        <f>'22'!$BR$20</f>
        <v>0</v>
      </c>
      <c r="FH27" s="55">
        <f>'22'!$BS$20</f>
        <v>0</v>
      </c>
      <c r="FI27" s="55">
        <f>'22'!$BT$20</f>
        <v>0</v>
      </c>
      <c r="FJ27" s="55">
        <f>'22'!$BU$20</f>
        <v>0</v>
      </c>
      <c r="FK27" s="55">
        <f>'22'!$BV$20</f>
        <v>0</v>
      </c>
      <c r="FL27" s="55">
        <f>'22'!$BW$20</f>
        <v>0</v>
      </c>
      <c r="FM27" s="55">
        <f>'22'!$BX$20</f>
        <v>0</v>
      </c>
      <c r="FN27" s="55">
        <f>'22'!$BY$20</f>
        <v>0</v>
      </c>
      <c r="FO27" s="55">
        <f>'22'!$BN$21</f>
        <v>0</v>
      </c>
      <c r="FP27" s="55">
        <f>'22'!$BO$21</f>
        <v>0</v>
      </c>
      <c r="FQ27" s="55">
        <f>'22'!$BP$21</f>
        <v>0</v>
      </c>
      <c r="FR27" s="55">
        <f>'22'!$BQ$21</f>
        <v>0</v>
      </c>
      <c r="FS27" s="55">
        <f>'22'!$BR$21</f>
        <v>0</v>
      </c>
      <c r="FT27" s="55">
        <f>'22'!$BS$21</f>
        <v>0</v>
      </c>
      <c r="FU27" s="55">
        <f>'22'!$BT$21</f>
        <v>0</v>
      </c>
      <c r="FV27" s="55">
        <f>'22'!$BU$21</f>
        <v>0</v>
      </c>
      <c r="FW27" s="55">
        <f>'22'!$BV$21</f>
        <v>0</v>
      </c>
      <c r="FX27" s="55">
        <f>'22'!$BW$21</f>
        <v>0</v>
      </c>
      <c r="FY27" s="55">
        <f>'22'!$BX$21</f>
        <v>0</v>
      </c>
      <c r="FZ27" s="55">
        <f>'22'!$BY$21</f>
        <v>0</v>
      </c>
      <c r="GA27" s="55">
        <f>'22'!$BN$22</f>
        <v>0</v>
      </c>
      <c r="GB27" s="55">
        <f>'22'!$BO$22</f>
        <v>0</v>
      </c>
      <c r="GC27" s="55">
        <f>'22'!$BP$22</f>
        <v>0</v>
      </c>
      <c r="GD27" s="55">
        <f>'22'!$BQ$22</f>
        <v>0</v>
      </c>
      <c r="GE27" s="55">
        <f>'22'!$BR$22</f>
        <v>0</v>
      </c>
      <c r="GF27" s="55">
        <f>'22'!$BS$22</f>
        <v>0</v>
      </c>
      <c r="GG27" s="55">
        <f>'22'!$BT$22</f>
        <v>0</v>
      </c>
      <c r="GH27" s="55">
        <f>'22'!$BU$22</f>
        <v>0</v>
      </c>
      <c r="GI27" s="55">
        <f>'22'!$BV$22</f>
        <v>0</v>
      </c>
      <c r="GJ27" s="55">
        <f>'22'!$BW$22</f>
        <v>0</v>
      </c>
      <c r="GK27" s="55">
        <f>'22'!$BX$22</f>
        <v>0</v>
      </c>
      <c r="GL27" s="55">
        <f>'22'!$BY$22</f>
        <v>0</v>
      </c>
      <c r="GM27" s="55">
        <f>'22'!$BN$23</f>
        <v>0</v>
      </c>
      <c r="GN27" s="55">
        <f>'22'!$BO$23</f>
        <v>0</v>
      </c>
      <c r="GO27" s="55">
        <f>'22'!$BP$23</f>
        <v>0</v>
      </c>
      <c r="GP27" s="55">
        <f>'22'!$BQ$23</f>
        <v>0</v>
      </c>
      <c r="GQ27" s="55">
        <f>'22'!$BR$23</f>
        <v>0</v>
      </c>
      <c r="GR27" s="55">
        <f>'22'!$BS$23</f>
        <v>0</v>
      </c>
      <c r="GS27" s="55">
        <f>'22'!$BT$23</f>
        <v>0</v>
      </c>
      <c r="GT27" s="55">
        <f>'22'!$BU$23</f>
        <v>0</v>
      </c>
      <c r="GU27" s="55">
        <f>'22'!$BV$23</f>
        <v>0</v>
      </c>
      <c r="GV27" s="55">
        <f>'22'!$BW$23</f>
        <v>0</v>
      </c>
      <c r="GW27" s="55">
        <f>'22'!$BX$23</f>
        <v>0</v>
      </c>
      <c r="GX27" s="55">
        <f>'22'!$BY$23</f>
        <v>0</v>
      </c>
      <c r="GY27" s="55">
        <f>'22'!$BN$24</f>
        <v>0</v>
      </c>
      <c r="GZ27" s="55">
        <f>'22'!$BO$24</f>
        <v>0</v>
      </c>
      <c r="HA27" s="55">
        <f>'22'!$BP$24</f>
        <v>0</v>
      </c>
      <c r="HB27" s="55">
        <f>'22'!$BQ$24</f>
        <v>0</v>
      </c>
      <c r="HC27" s="55">
        <f>'22'!$BR$24</f>
        <v>0</v>
      </c>
      <c r="HD27" s="55">
        <f>'22'!$BS$24</f>
        <v>0</v>
      </c>
      <c r="HE27" s="55">
        <f>'22'!$BT$24</f>
        <v>0</v>
      </c>
      <c r="HF27" s="55">
        <f>'22'!$BU$24</f>
        <v>0</v>
      </c>
      <c r="HG27" s="55">
        <f>'22'!$BV$24</f>
        <v>0</v>
      </c>
      <c r="HH27" s="55">
        <f>'22'!$BW$24</f>
        <v>0</v>
      </c>
      <c r="HI27" s="55">
        <f>'22'!$BX$24</f>
        <v>0</v>
      </c>
      <c r="HJ27" s="55">
        <f>'22'!$BY$24</f>
        <v>0</v>
      </c>
      <c r="HK27" s="55">
        <f>'22'!$BN$25</f>
        <v>0</v>
      </c>
      <c r="HL27" s="55">
        <f>'22'!$BO$25</f>
        <v>0</v>
      </c>
      <c r="HM27" s="55">
        <f>'22'!$BP$25</f>
        <v>0</v>
      </c>
      <c r="HN27" s="55">
        <f>'22'!$BQ$25</f>
        <v>0</v>
      </c>
      <c r="HO27" s="55">
        <f>'22'!$BR$25</f>
        <v>0</v>
      </c>
      <c r="HP27" s="55">
        <f>'22'!$BS$25</f>
        <v>0</v>
      </c>
      <c r="HQ27" s="55">
        <f>'22'!$BT$25</f>
        <v>0</v>
      </c>
      <c r="HR27" s="55">
        <f>'22'!$BU$25</f>
        <v>0</v>
      </c>
      <c r="HS27" s="55">
        <f>'22'!$BV$25</f>
        <v>0</v>
      </c>
      <c r="HT27" s="55">
        <f>'22'!$BW$25</f>
        <v>0</v>
      </c>
      <c r="HU27" s="55">
        <f>'22'!$BX$25</f>
        <v>0</v>
      </c>
      <c r="HV27" s="55">
        <f>'22'!$BY$25</f>
        <v>0</v>
      </c>
      <c r="HW27" s="55">
        <f>'22'!$BN$26</f>
        <v>0</v>
      </c>
      <c r="HX27" s="55">
        <f>'22'!$BO$26</f>
        <v>0</v>
      </c>
      <c r="HY27" s="55">
        <f>'22'!$BP$26</f>
        <v>0</v>
      </c>
      <c r="HZ27" s="55">
        <f>'22'!$BQ$26</f>
        <v>0</v>
      </c>
      <c r="IA27" s="55">
        <f>'22'!$BR$26</f>
        <v>0</v>
      </c>
      <c r="IB27" s="55">
        <f>'22'!$BS$26</f>
        <v>0</v>
      </c>
      <c r="IC27" s="55">
        <f>'22'!$BT$26</f>
        <v>0</v>
      </c>
      <c r="ID27" s="55">
        <f>'22'!$BU$26</f>
        <v>0</v>
      </c>
      <c r="IE27" s="55">
        <f>'22'!$BV$26</f>
        <v>0</v>
      </c>
      <c r="IF27" s="55">
        <f>'22'!$BW$26</f>
        <v>0</v>
      </c>
      <c r="IG27" s="55">
        <f>'22'!$BX$26</f>
        <v>0</v>
      </c>
      <c r="IH27" s="55">
        <f>'22'!$BY$26</f>
        <v>0</v>
      </c>
      <c r="II27" s="55">
        <f>'22'!$BN$27</f>
        <v>0</v>
      </c>
      <c r="IJ27" s="55">
        <f>'22'!$BO$27</f>
        <v>0</v>
      </c>
      <c r="IK27" s="55">
        <f>'22'!$BP$27</f>
        <v>0</v>
      </c>
      <c r="IL27" s="55">
        <f>'22'!$BQ$27</f>
        <v>0</v>
      </c>
      <c r="IM27" s="55">
        <f>'22'!$BR$27</f>
        <v>0</v>
      </c>
      <c r="IN27" s="55">
        <f>'22'!$BS$27</f>
        <v>0</v>
      </c>
      <c r="IO27" s="55">
        <f>'22'!$BT$27</f>
        <v>0</v>
      </c>
      <c r="IP27" s="55">
        <f>'22'!$BU$27</f>
        <v>0</v>
      </c>
      <c r="IQ27" s="55">
        <f>'22'!$BV$27</f>
        <v>0</v>
      </c>
      <c r="IR27" s="55">
        <f>'22'!$BW$27</f>
        <v>0</v>
      </c>
      <c r="IS27" s="55">
        <f>'22'!$BX$27</f>
        <v>0</v>
      </c>
      <c r="IT27" s="55">
        <f>'22'!$BY$27</f>
        <v>0</v>
      </c>
      <c r="IU27" s="55">
        <f>'22'!$BN$28</f>
        <v>0</v>
      </c>
      <c r="IV27" s="55">
        <f>'22'!$BO$28</f>
        <v>0</v>
      </c>
      <c r="IW27" s="55">
        <f>'22'!$BP$28</f>
        <v>0</v>
      </c>
      <c r="IX27" s="55">
        <f>'22'!$BQ$28</f>
        <v>0</v>
      </c>
      <c r="IY27" s="55">
        <f>'22'!$BR$28</f>
        <v>0</v>
      </c>
      <c r="IZ27" s="55">
        <f>'22'!$BS$28</f>
        <v>0</v>
      </c>
      <c r="JA27" s="55">
        <f>'22'!$BT$28</f>
        <v>0</v>
      </c>
      <c r="JB27" s="55">
        <f>'22'!$BU$28</f>
        <v>0</v>
      </c>
      <c r="JC27" s="55">
        <f>'22'!$BV$28</f>
        <v>0</v>
      </c>
      <c r="JD27" s="55">
        <f>'22'!$BW$28</f>
        <v>0</v>
      </c>
      <c r="JE27" s="55">
        <f>'22'!$BX$28</f>
        <v>0</v>
      </c>
      <c r="JF27" s="55">
        <f>'22'!$BY$28</f>
        <v>0</v>
      </c>
      <c r="JG27" s="55">
        <f>'22'!$BN$29</f>
        <v>0</v>
      </c>
      <c r="JH27" s="55">
        <f>'22'!$BO$29</f>
        <v>0</v>
      </c>
      <c r="JI27" s="55">
        <f>'22'!$BP$29</f>
        <v>0</v>
      </c>
      <c r="JJ27" s="55">
        <f>'22'!$BQ$29</f>
        <v>0</v>
      </c>
      <c r="JK27" s="55">
        <f>'22'!$BR$29</f>
        <v>0</v>
      </c>
      <c r="JL27" s="55">
        <f>'22'!$BS$29</f>
        <v>0</v>
      </c>
      <c r="JM27" s="55">
        <f>'22'!$BT$29</f>
        <v>0</v>
      </c>
      <c r="JN27" s="55">
        <f>'22'!$BU$29</f>
        <v>0</v>
      </c>
      <c r="JO27" s="55">
        <f>'22'!$BV$29</f>
        <v>0</v>
      </c>
      <c r="JP27" s="55">
        <f>'22'!$BW$29</f>
        <v>0</v>
      </c>
      <c r="JQ27" s="55">
        <f>'22'!$BX$29</f>
        <v>0</v>
      </c>
      <c r="JR27" s="55">
        <f>'22'!$BY$29</f>
        <v>0</v>
      </c>
      <c r="JS27" s="55">
        <f>'22'!$BN$30</f>
        <v>0</v>
      </c>
      <c r="JT27" s="55">
        <f>'22'!$BO$30</f>
        <v>0</v>
      </c>
      <c r="JU27" s="55">
        <f>'22'!$BP$30</f>
        <v>0</v>
      </c>
      <c r="JV27" s="55">
        <f>'22'!$BQ$30</f>
        <v>0</v>
      </c>
      <c r="JW27" s="55">
        <f>'22'!$BR$30</f>
        <v>0</v>
      </c>
      <c r="JX27" s="55">
        <f>'22'!$BS$30</f>
        <v>0</v>
      </c>
      <c r="JY27" s="55">
        <f>'22'!$BT$30</f>
        <v>0</v>
      </c>
      <c r="JZ27" s="55">
        <f>'22'!$BU$30</f>
        <v>0</v>
      </c>
      <c r="KA27" s="55">
        <f>'22'!$BV$30</f>
        <v>0</v>
      </c>
      <c r="KB27" s="55">
        <f>'22'!$BW$30</f>
        <v>0</v>
      </c>
      <c r="KC27" s="55">
        <f>'22'!$BX$30</f>
        <v>0</v>
      </c>
      <c r="KD27" s="55">
        <f>'22'!$BY$30</f>
        <v>0</v>
      </c>
    </row>
    <row r="28" spans="1:290" ht="15" x14ac:dyDescent="0.25">
      <c r="A28" s="50">
        <v>46196</v>
      </c>
      <c r="B28" s="52"/>
      <c r="C28" s="55">
        <f>'23'!$BN$6</f>
        <v>0</v>
      </c>
      <c r="D28" s="55">
        <f>'23'!$BO$6</f>
        <v>0</v>
      </c>
      <c r="E28" s="55">
        <f>'23'!$BP$6</f>
        <v>0</v>
      </c>
      <c r="F28" s="55">
        <f>'23'!$BQ$6</f>
        <v>0</v>
      </c>
      <c r="G28" s="55">
        <f>'23'!$BR$6</f>
        <v>0</v>
      </c>
      <c r="H28" s="55">
        <f>'23'!$BS$6</f>
        <v>0</v>
      </c>
      <c r="I28" s="55">
        <f>'23'!$BT$6</f>
        <v>0</v>
      </c>
      <c r="J28" s="55">
        <f>'23'!$BU$6</f>
        <v>0</v>
      </c>
      <c r="K28" s="55">
        <f>'23'!$BV$6</f>
        <v>0</v>
      </c>
      <c r="L28" s="55">
        <f>'23'!$BW$6</f>
        <v>0</v>
      </c>
      <c r="M28" s="55">
        <f>'23'!$BX$6</f>
        <v>0</v>
      </c>
      <c r="N28" s="55">
        <f>'23'!$BY$6</f>
        <v>0</v>
      </c>
      <c r="O28" s="55">
        <f>'23'!$BN$7</f>
        <v>0</v>
      </c>
      <c r="P28" s="55">
        <f>'23'!$BO$7</f>
        <v>0</v>
      </c>
      <c r="Q28" s="55">
        <f>'23'!$BP$7</f>
        <v>0</v>
      </c>
      <c r="R28" s="55">
        <f>'23'!$BQ$7</f>
        <v>0</v>
      </c>
      <c r="S28" s="55">
        <f>'23'!$BR$7</f>
        <v>0</v>
      </c>
      <c r="T28" s="55">
        <f>'23'!$BS$7</f>
        <v>0</v>
      </c>
      <c r="U28" s="55">
        <f>'23'!$BT$7</f>
        <v>0</v>
      </c>
      <c r="V28" s="55">
        <f>'23'!$BU$7</f>
        <v>0</v>
      </c>
      <c r="W28" s="55">
        <f>'23'!$BV$7</f>
        <v>0</v>
      </c>
      <c r="X28" s="55">
        <f>'23'!$BW$7</f>
        <v>0</v>
      </c>
      <c r="Y28" s="55">
        <f>'23'!$BX$7</f>
        <v>0</v>
      </c>
      <c r="Z28" s="55">
        <f>'23'!$BY$7</f>
        <v>0</v>
      </c>
      <c r="AA28" s="55">
        <f>'23'!$BN$8</f>
        <v>0</v>
      </c>
      <c r="AB28" s="55">
        <f>'23'!$BO$8</f>
        <v>0</v>
      </c>
      <c r="AC28" s="55">
        <f>'23'!$BP$8</f>
        <v>0</v>
      </c>
      <c r="AD28" s="55">
        <f>'23'!$BQ$8</f>
        <v>0</v>
      </c>
      <c r="AE28" s="55">
        <f>'23'!$BR$8</f>
        <v>0</v>
      </c>
      <c r="AF28" s="55">
        <f>'23'!$BS$8</f>
        <v>0</v>
      </c>
      <c r="AG28" s="55">
        <f>'23'!$BT$8</f>
        <v>0</v>
      </c>
      <c r="AH28" s="55">
        <f>'23'!$BU$8</f>
        <v>0</v>
      </c>
      <c r="AI28" s="55">
        <f>'23'!$BV$8</f>
        <v>0</v>
      </c>
      <c r="AJ28" s="55">
        <f>'23'!$BW$8</f>
        <v>0</v>
      </c>
      <c r="AK28" s="55">
        <f>'23'!$BX$8</f>
        <v>0</v>
      </c>
      <c r="AL28" s="55">
        <f>'23'!$BY$8</f>
        <v>0</v>
      </c>
      <c r="AM28" s="55">
        <f>'23'!$BN$9</f>
        <v>0</v>
      </c>
      <c r="AN28" s="55">
        <f>'23'!$BO$9</f>
        <v>0</v>
      </c>
      <c r="AO28" s="55">
        <f>'23'!$BP$9</f>
        <v>0</v>
      </c>
      <c r="AP28" s="55">
        <f>'23'!$BQ$9</f>
        <v>0</v>
      </c>
      <c r="AQ28" s="55">
        <f>'23'!$BR$9</f>
        <v>0</v>
      </c>
      <c r="AR28" s="55">
        <f>'23'!$BS$9</f>
        <v>0</v>
      </c>
      <c r="AS28" s="55">
        <f>'23'!$BT$9</f>
        <v>0</v>
      </c>
      <c r="AT28" s="55">
        <f>'23'!$BU$9</f>
        <v>0</v>
      </c>
      <c r="AU28" s="55">
        <f>'23'!$BV$9</f>
        <v>0</v>
      </c>
      <c r="AV28" s="55">
        <f>'23'!$BW$9</f>
        <v>0</v>
      </c>
      <c r="AW28" s="55">
        <f>'23'!$BX$9</f>
        <v>0</v>
      </c>
      <c r="AX28" s="55">
        <f>'23'!$BY$9</f>
        <v>0</v>
      </c>
      <c r="AY28" s="55">
        <f>'23'!$BN$10</f>
        <v>0</v>
      </c>
      <c r="AZ28" s="55">
        <f>'23'!$BO$10</f>
        <v>0</v>
      </c>
      <c r="BA28" s="55">
        <f>'23'!$BP$10</f>
        <v>0</v>
      </c>
      <c r="BB28" s="55">
        <f>'23'!$BQ$10</f>
        <v>0</v>
      </c>
      <c r="BC28" s="55">
        <f>'23'!$BR$10</f>
        <v>0</v>
      </c>
      <c r="BD28" s="55">
        <f>'23'!$BS$10</f>
        <v>0</v>
      </c>
      <c r="BE28" s="55">
        <f>'23'!$BT$10</f>
        <v>0</v>
      </c>
      <c r="BF28" s="55">
        <f>'23'!$BU$10</f>
        <v>0</v>
      </c>
      <c r="BG28" s="55">
        <f>'23'!$BV$10</f>
        <v>0</v>
      </c>
      <c r="BH28" s="55">
        <f>'23'!$BW$10</f>
        <v>0</v>
      </c>
      <c r="BI28" s="55">
        <f>'23'!$BX$10</f>
        <v>0</v>
      </c>
      <c r="BJ28" s="55">
        <f>'23'!$BY$10</f>
        <v>0</v>
      </c>
      <c r="BK28" s="55">
        <f>'23'!$BN$11</f>
        <v>0</v>
      </c>
      <c r="BL28" s="55">
        <f>'23'!$BO$11</f>
        <v>0</v>
      </c>
      <c r="BM28" s="55">
        <f>'23'!$BP$11</f>
        <v>0</v>
      </c>
      <c r="BN28" s="55">
        <f>'23'!$BQ$11</f>
        <v>0</v>
      </c>
      <c r="BO28" s="55">
        <f>'23'!$BR$11</f>
        <v>0</v>
      </c>
      <c r="BP28" s="55">
        <f>'23'!$BS$11</f>
        <v>0</v>
      </c>
      <c r="BQ28" s="55">
        <f>'23'!$BT$11</f>
        <v>0</v>
      </c>
      <c r="BR28" s="55">
        <f>'23'!$BU$11</f>
        <v>0</v>
      </c>
      <c r="BS28" s="55">
        <f>'23'!$BV$11</f>
        <v>0</v>
      </c>
      <c r="BT28" s="55">
        <f>'23'!$BW$11</f>
        <v>0</v>
      </c>
      <c r="BU28" s="55">
        <f>'23'!$BX$11</f>
        <v>0</v>
      </c>
      <c r="BV28" s="55">
        <f>'23'!$BY$11</f>
        <v>0</v>
      </c>
      <c r="BW28" s="55">
        <f>'23'!$BN$12</f>
        <v>0</v>
      </c>
      <c r="BX28" s="55">
        <f>'23'!$BO$12</f>
        <v>0</v>
      </c>
      <c r="BY28" s="55">
        <f>'23'!$BP$12</f>
        <v>0</v>
      </c>
      <c r="BZ28" s="55">
        <f>'23'!$BQ$12</f>
        <v>0</v>
      </c>
      <c r="CA28" s="55">
        <f>'23'!$BR$12</f>
        <v>0</v>
      </c>
      <c r="CB28" s="55">
        <f>'23'!$BS$12</f>
        <v>0</v>
      </c>
      <c r="CC28" s="55">
        <f>'23'!$BT$12</f>
        <v>0</v>
      </c>
      <c r="CD28" s="55">
        <f>'23'!$BU$12</f>
        <v>0</v>
      </c>
      <c r="CE28" s="55">
        <f>'23'!$BV$12</f>
        <v>0</v>
      </c>
      <c r="CF28" s="55">
        <f>'23'!$BW$12</f>
        <v>0</v>
      </c>
      <c r="CG28" s="55">
        <f>'23'!$BX$12</f>
        <v>0</v>
      </c>
      <c r="CH28" s="55">
        <f>'23'!$BY$12</f>
        <v>0</v>
      </c>
      <c r="CI28" s="55">
        <f>'23'!$BN$13</f>
        <v>0</v>
      </c>
      <c r="CJ28" s="55">
        <f>'23'!$BO$13</f>
        <v>0</v>
      </c>
      <c r="CK28" s="55">
        <f>'23'!$BP$13</f>
        <v>0</v>
      </c>
      <c r="CL28" s="55">
        <f>'23'!$BQ$13</f>
        <v>0</v>
      </c>
      <c r="CM28" s="55">
        <f>'23'!$BR$13</f>
        <v>0</v>
      </c>
      <c r="CN28" s="55">
        <f>'23'!$BS$13</f>
        <v>0</v>
      </c>
      <c r="CO28" s="55">
        <f>'23'!$BT$13</f>
        <v>0</v>
      </c>
      <c r="CP28" s="55">
        <f>'23'!$BU$13</f>
        <v>0</v>
      </c>
      <c r="CQ28" s="55">
        <f>'23'!$BV$13</f>
        <v>0</v>
      </c>
      <c r="CR28" s="55">
        <f>'23'!$BW$13</f>
        <v>0</v>
      </c>
      <c r="CS28" s="55">
        <f>'23'!$BX$13</f>
        <v>0</v>
      </c>
      <c r="CT28" s="55">
        <f>'23'!$BY$13</f>
        <v>0</v>
      </c>
      <c r="CU28" s="55">
        <f>'23'!$BN$14</f>
        <v>0</v>
      </c>
      <c r="CV28" s="55">
        <f>'23'!$BO$14</f>
        <v>0</v>
      </c>
      <c r="CW28" s="55">
        <f>'23'!$BP$14</f>
        <v>0</v>
      </c>
      <c r="CX28" s="55">
        <f>'23'!$BQ$14</f>
        <v>0</v>
      </c>
      <c r="CY28" s="55">
        <f>'23'!$BR$14</f>
        <v>0</v>
      </c>
      <c r="CZ28" s="55">
        <f>'23'!$BS$14</f>
        <v>0</v>
      </c>
      <c r="DA28" s="55">
        <f>'23'!$BT$14</f>
        <v>0</v>
      </c>
      <c r="DB28" s="55">
        <f>'23'!$BU$14</f>
        <v>0</v>
      </c>
      <c r="DC28" s="55">
        <f>'23'!$BV$14</f>
        <v>0</v>
      </c>
      <c r="DD28" s="55">
        <f>'23'!$BW$14</f>
        <v>0</v>
      </c>
      <c r="DE28" s="55">
        <f>'23'!$BX$14</f>
        <v>0</v>
      </c>
      <c r="DF28" s="55">
        <f>'23'!$BY$14</f>
        <v>0</v>
      </c>
      <c r="DG28" s="55">
        <f>'23'!$BN$15</f>
        <v>0</v>
      </c>
      <c r="DH28" s="55">
        <f>'23'!$BO$15</f>
        <v>0</v>
      </c>
      <c r="DI28" s="55">
        <f>'23'!$BP$15</f>
        <v>0</v>
      </c>
      <c r="DJ28" s="55">
        <f>'23'!$BQ$15</f>
        <v>0</v>
      </c>
      <c r="DK28" s="55">
        <f>'23'!$BR$15</f>
        <v>0</v>
      </c>
      <c r="DL28" s="55">
        <f>'23'!$BS$15</f>
        <v>0</v>
      </c>
      <c r="DM28" s="55">
        <f>'23'!$BT$15</f>
        <v>0</v>
      </c>
      <c r="DN28" s="55">
        <f>'23'!$BU$15</f>
        <v>0</v>
      </c>
      <c r="DO28" s="55">
        <f>'23'!$BV$15</f>
        <v>0</v>
      </c>
      <c r="DP28" s="55">
        <f>'23'!$BW$15</f>
        <v>0</v>
      </c>
      <c r="DQ28" s="55">
        <f>'23'!$BX$15</f>
        <v>0</v>
      </c>
      <c r="DR28" s="55">
        <f>'23'!$BY$15</f>
        <v>0</v>
      </c>
      <c r="DS28" s="55">
        <f>'23'!$BN$16</f>
        <v>0</v>
      </c>
      <c r="DT28" s="55">
        <f>'23'!$BO$16</f>
        <v>0</v>
      </c>
      <c r="DU28" s="55">
        <f>'23'!$BP$16</f>
        <v>0</v>
      </c>
      <c r="DV28" s="55">
        <f>'23'!$BQ$16</f>
        <v>0</v>
      </c>
      <c r="DW28" s="55">
        <f>'23'!$BR$16</f>
        <v>0</v>
      </c>
      <c r="DX28" s="55">
        <f>'23'!$BS$16</f>
        <v>0</v>
      </c>
      <c r="DY28" s="55">
        <f>'23'!$BT$16</f>
        <v>0</v>
      </c>
      <c r="DZ28" s="55">
        <f>'23'!$BU$16</f>
        <v>0</v>
      </c>
      <c r="EA28" s="55">
        <f>'23'!$BV$16</f>
        <v>0</v>
      </c>
      <c r="EB28" s="55">
        <f>'23'!$BW$16</f>
        <v>0</v>
      </c>
      <c r="EC28" s="55">
        <f>'23'!$BX$16</f>
        <v>0</v>
      </c>
      <c r="ED28" s="55">
        <f>'23'!$BY$16</f>
        <v>0</v>
      </c>
      <c r="EE28" s="55">
        <f>'23'!$BN$17</f>
        <v>0</v>
      </c>
      <c r="EF28" s="55">
        <f>'23'!$BO$17</f>
        <v>0</v>
      </c>
      <c r="EG28" s="55">
        <f>'23'!$BP$17</f>
        <v>0</v>
      </c>
      <c r="EH28" s="55">
        <f>'23'!$BQ$17</f>
        <v>0</v>
      </c>
      <c r="EI28" s="55">
        <f>'23'!$BR$17</f>
        <v>0</v>
      </c>
      <c r="EJ28" s="55">
        <f>'23'!$BS$17</f>
        <v>0</v>
      </c>
      <c r="EK28" s="55">
        <f>'23'!$BT$17</f>
        <v>0</v>
      </c>
      <c r="EL28" s="55">
        <f>'23'!$BU$17</f>
        <v>0</v>
      </c>
      <c r="EM28" s="55">
        <f>'23'!$BV$17</f>
        <v>0</v>
      </c>
      <c r="EN28" s="55">
        <f>'23'!$BW$17</f>
        <v>0</v>
      </c>
      <c r="EO28" s="55">
        <f>'23'!$BX$17</f>
        <v>0</v>
      </c>
      <c r="EP28" s="55">
        <f>'23'!$BY$17</f>
        <v>0</v>
      </c>
      <c r="EQ28" s="55">
        <f>'23'!$BN$18</f>
        <v>0</v>
      </c>
      <c r="ER28" s="55">
        <f>'23'!$BO$18</f>
        <v>0</v>
      </c>
      <c r="ES28" s="55">
        <f>'23'!$BP$18</f>
        <v>0</v>
      </c>
      <c r="ET28" s="55">
        <f>'23'!$BQ$18</f>
        <v>0</v>
      </c>
      <c r="EU28" s="55">
        <f>'23'!$BR$18</f>
        <v>0</v>
      </c>
      <c r="EV28" s="55">
        <f>'23'!$BS$18</f>
        <v>0</v>
      </c>
      <c r="EW28" s="55">
        <f>'23'!$BT$18</f>
        <v>0</v>
      </c>
      <c r="EX28" s="55">
        <f>'23'!$BU$18</f>
        <v>0</v>
      </c>
      <c r="EY28" s="55">
        <f>'23'!$BV$18</f>
        <v>0</v>
      </c>
      <c r="EZ28" s="55">
        <f>'23'!$BW$18</f>
        <v>0</v>
      </c>
      <c r="FA28" s="55">
        <f>'23'!$BX$18</f>
        <v>0</v>
      </c>
      <c r="FB28" s="55">
        <f>'23'!$BY$18</f>
        <v>0</v>
      </c>
      <c r="FC28" s="55">
        <f>'23'!$BN$19</f>
        <v>0</v>
      </c>
      <c r="FD28" s="55">
        <f>'23'!$BO$19</f>
        <v>0</v>
      </c>
      <c r="FE28" s="55">
        <f>'23'!$BP$19</f>
        <v>0</v>
      </c>
      <c r="FF28" s="55">
        <f>'23'!$BQ$19</f>
        <v>0</v>
      </c>
      <c r="FG28" s="55">
        <f>'23'!$BR$19</f>
        <v>0</v>
      </c>
      <c r="FH28" s="55">
        <f>'23'!$BS$19</f>
        <v>0</v>
      </c>
      <c r="FI28" s="55">
        <f>'23'!$BT$19</f>
        <v>0</v>
      </c>
      <c r="FJ28" s="55">
        <f>'23'!$BU$19</f>
        <v>0</v>
      </c>
      <c r="FK28" s="55">
        <f>'23'!$BV$19</f>
        <v>0</v>
      </c>
      <c r="FL28" s="55">
        <f>'23'!$BW$19</f>
        <v>0</v>
      </c>
      <c r="FM28" s="55">
        <f>'23'!$BX$19</f>
        <v>0</v>
      </c>
      <c r="FN28" s="55">
        <f>'23'!$BY$19</f>
        <v>0</v>
      </c>
      <c r="FO28" s="55">
        <f>'23'!$BN$20</f>
        <v>0</v>
      </c>
      <c r="FP28" s="55">
        <f>'23'!$BO$20</f>
        <v>0</v>
      </c>
      <c r="FQ28" s="55">
        <f>'23'!$BP$20</f>
        <v>0</v>
      </c>
      <c r="FR28" s="55">
        <f>'23'!$BQ$20</f>
        <v>0</v>
      </c>
      <c r="FS28" s="55">
        <f>'23'!$BR$20</f>
        <v>0</v>
      </c>
      <c r="FT28" s="55">
        <f>'23'!$BS$20</f>
        <v>0</v>
      </c>
      <c r="FU28" s="55">
        <f>'23'!$BT$20</f>
        <v>0</v>
      </c>
      <c r="FV28" s="55">
        <f>'23'!$BU$20</f>
        <v>0</v>
      </c>
      <c r="FW28" s="55">
        <f>'23'!$BV$20</f>
        <v>0</v>
      </c>
      <c r="FX28" s="55">
        <f>'23'!$BW$20</f>
        <v>0</v>
      </c>
      <c r="FY28" s="55">
        <f>'23'!$BX$20</f>
        <v>0</v>
      </c>
      <c r="FZ28" s="55">
        <f>'23'!$BY$20</f>
        <v>0</v>
      </c>
      <c r="GA28" s="55">
        <f>'23'!$BN$21</f>
        <v>0</v>
      </c>
      <c r="GB28" s="55">
        <f>'23'!$BO$21</f>
        <v>0</v>
      </c>
      <c r="GC28" s="55">
        <f>'23'!$BP$21</f>
        <v>0</v>
      </c>
      <c r="GD28" s="55">
        <f>'23'!$BQ$21</f>
        <v>0</v>
      </c>
      <c r="GE28" s="55">
        <f>'23'!$BR$21</f>
        <v>0</v>
      </c>
      <c r="GF28" s="55">
        <f>'23'!$BS$21</f>
        <v>0</v>
      </c>
      <c r="GG28" s="55">
        <f>'23'!$BT$21</f>
        <v>0</v>
      </c>
      <c r="GH28" s="55">
        <f>'23'!$BU$21</f>
        <v>0</v>
      </c>
      <c r="GI28" s="55">
        <f>'23'!$BV$21</f>
        <v>0</v>
      </c>
      <c r="GJ28" s="55">
        <f>'23'!$BW$21</f>
        <v>0</v>
      </c>
      <c r="GK28" s="55">
        <f>'23'!$BX$21</f>
        <v>0</v>
      </c>
      <c r="GL28" s="55">
        <f>'23'!$BY$21</f>
        <v>0</v>
      </c>
      <c r="GM28" s="55">
        <f>'23'!$BN$22</f>
        <v>0</v>
      </c>
      <c r="GN28" s="55">
        <f>'23'!$BO$22</f>
        <v>0</v>
      </c>
      <c r="GO28" s="55">
        <f>'23'!$BP$22</f>
        <v>0</v>
      </c>
      <c r="GP28" s="55">
        <f>'23'!$BQ$22</f>
        <v>0</v>
      </c>
      <c r="GQ28" s="55">
        <f>'23'!$BR$22</f>
        <v>0</v>
      </c>
      <c r="GR28" s="55">
        <f>'23'!$BS$22</f>
        <v>0</v>
      </c>
      <c r="GS28" s="55">
        <f>'23'!$BT$22</f>
        <v>0</v>
      </c>
      <c r="GT28" s="55">
        <f>'23'!$BU$22</f>
        <v>0</v>
      </c>
      <c r="GU28" s="55">
        <f>'23'!$BV$22</f>
        <v>0</v>
      </c>
      <c r="GV28" s="55">
        <f>'23'!$BW$22</f>
        <v>0</v>
      </c>
      <c r="GW28" s="55">
        <f>'23'!$BX$22</f>
        <v>0</v>
      </c>
      <c r="GX28" s="55">
        <f>'23'!$BY$22</f>
        <v>0</v>
      </c>
      <c r="GY28" s="55">
        <f>'23'!$BN$23</f>
        <v>0</v>
      </c>
      <c r="GZ28" s="55">
        <f>'23'!$BO$23</f>
        <v>0</v>
      </c>
      <c r="HA28" s="55">
        <f>'23'!$BP$23</f>
        <v>0</v>
      </c>
      <c r="HB28" s="55">
        <f>'23'!$BQ$23</f>
        <v>0</v>
      </c>
      <c r="HC28" s="55">
        <f>'23'!$BR$23</f>
        <v>0</v>
      </c>
      <c r="HD28" s="55">
        <f>'23'!$BS$23</f>
        <v>0</v>
      </c>
      <c r="HE28" s="55">
        <f>'23'!$BT$23</f>
        <v>0</v>
      </c>
      <c r="HF28" s="55">
        <f>'23'!$BU$23</f>
        <v>0</v>
      </c>
      <c r="HG28" s="55">
        <f>'23'!$BV$23</f>
        <v>0</v>
      </c>
      <c r="HH28" s="55">
        <f>'23'!$BW$23</f>
        <v>0</v>
      </c>
      <c r="HI28" s="55">
        <f>'23'!$BX$23</f>
        <v>0</v>
      </c>
      <c r="HJ28" s="55">
        <f>'23'!$BY$23</f>
        <v>0</v>
      </c>
      <c r="HK28" s="55">
        <f>'23'!$BN$24</f>
        <v>0</v>
      </c>
      <c r="HL28" s="55">
        <f>'23'!$BO$24</f>
        <v>0</v>
      </c>
      <c r="HM28" s="55">
        <f>'23'!$BP$24</f>
        <v>0</v>
      </c>
      <c r="HN28" s="55">
        <f>'23'!$BQ$24</f>
        <v>0</v>
      </c>
      <c r="HO28" s="55">
        <f>'23'!$BR$24</f>
        <v>0</v>
      </c>
      <c r="HP28" s="55">
        <f>'23'!$BS$24</f>
        <v>0</v>
      </c>
      <c r="HQ28" s="55">
        <f>'23'!$BT$24</f>
        <v>0</v>
      </c>
      <c r="HR28" s="55">
        <f>'23'!$BU$24</f>
        <v>0</v>
      </c>
      <c r="HS28" s="55">
        <f>'23'!$BV$24</f>
        <v>0</v>
      </c>
      <c r="HT28" s="55">
        <f>'23'!$BW$24</f>
        <v>0</v>
      </c>
      <c r="HU28" s="55">
        <f>'23'!$BX$24</f>
        <v>0</v>
      </c>
      <c r="HV28" s="55">
        <f>'23'!$BY$24</f>
        <v>0</v>
      </c>
      <c r="HW28" s="55">
        <f>'23'!$BN$25</f>
        <v>0</v>
      </c>
      <c r="HX28" s="55">
        <f>'23'!$BO$25</f>
        <v>0</v>
      </c>
      <c r="HY28" s="55">
        <f>'23'!$BP$25</f>
        <v>0</v>
      </c>
      <c r="HZ28" s="55">
        <f>'23'!$BQ$25</f>
        <v>0</v>
      </c>
      <c r="IA28" s="55">
        <f>'23'!$BR$25</f>
        <v>0</v>
      </c>
      <c r="IB28" s="55">
        <f>'23'!$BS$25</f>
        <v>0</v>
      </c>
      <c r="IC28" s="55">
        <f>'23'!$BT$25</f>
        <v>0</v>
      </c>
      <c r="ID28" s="55">
        <f>'23'!$BU$25</f>
        <v>0</v>
      </c>
      <c r="IE28" s="55">
        <f>'23'!$BV$25</f>
        <v>0</v>
      </c>
      <c r="IF28" s="55">
        <f>'23'!$BW$25</f>
        <v>0</v>
      </c>
      <c r="IG28" s="55">
        <f>'23'!$BX$25</f>
        <v>0</v>
      </c>
      <c r="IH28" s="55">
        <f>'23'!$BY$25</f>
        <v>0</v>
      </c>
      <c r="II28" s="55">
        <f>'23'!$BN$26</f>
        <v>0</v>
      </c>
      <c r="IJ28" s="55">
        <f>'23'!$BO$26</f>
        <v>0</v>
      </c>
      <c r="IK28" s="55">
        <f>'23'!$BP$26</f>
        <v>0</v>
      </c>
      <c r="IL28" s="55">
        <f>'23'!$BQ$26</f>
        <v>0</v>
      </c>
      <c r="IM28" s="55">
        <f>'23'!$BR$26</f>
        <v>0</v>
      </c>
      <c r="IN28" s="55">
        <f>'23'!$BS$26</f>
        <v>0</v>
      </c>
      <c r="IO28" s="55">
        <f>'23'!$BT$26</f>
        <v>0</v>
      </c>
      <c r="IP28" s="55">
        <f>'23'!$BU$26</f>
        <v>0</v>
      </c>
      <c r="IQ28" s="55">
        <f>'23'!$BV$26</f>
        <v>0</v>
      </c>
      <c r="IR28" s="55">
        <f>'23'!$BW$26</f>
        <v>0</v>
      </c>
      <c r="IS28" s="55">
        <f>'23'!$BX$26</f>
        <v>0</v>
      </c>
      <c r="IT28" s="55">
        <f>'23'!$BY$26</f>
        <v>0</v>
      </c>
      <c r="IU28" s="55">
        <f>'23'!$BN$27</f>
        <v>0</v>
      </c>
      <c r="IV28" s="55">
        <f>'23'!$BO$27</f>
        <v>0</v>
      </c>
      <c r="IW28" s="55">
        <f>'23'!$BP$27</f>
        <v>0</v>
      </c>
      <c r="IX28" s="55">
        <f>'23'!$BQ$27</f>
        <v>0</v>
      </c>
      <c r="IY28" s="55">
        <f>'23'!$BR$27</f>
        <v>0</v>
      </c>
      <c r="IZ28" s="55">
        <f>'23'!$BS$27</f>
        <v>0</v>
      </c>
      <c r="JA28" s="55">
        <f>'23'!$BT$27</f>
        <v>0</v>
      </c>
      <c r="JB28" s="55">
        <f>'23'!$BU$27</f>
        <v>0</v>
      </c>
      <c r="JC28" s="55">
        <f>'23'!$BV$27</f>
        <v>0</v>
      </c>
      <c r="JD28" s="55">
        <f>'23'!$BW$27</f>
        <v>0</v>
      </c>
      <c r="JE28" s="55">
        <f>'23'!$BX$27</f>
        <v>0</v>
      </c>
      <c r="JF28" s="55">
        <f>'23'!$BY$27</f>
        <v>0</v>
      </c>
      <c r="JG28" s="55">
        <f>'23'!$BN$28</f>
        <v>0</v>
      </c>
      <c r="JH28" s="55">
        <f>'23'!$BO$28</f>
        <v>0</v>
      </c>
      <c r="JI28" s="55">
        <f>'23'!$BP$28</f>
        <v>0</v>
      </c>
      <c r="JJ28" s="55">
        <f>'23'!$BQ$28</f>
        <v>0</v>
      </c>
      <c r="JK28" s="55">
        <f>'23'!$BR$28</f>
        <v>0</v>
      </c>
      <c r="JL28" s="55">
        <f>'23'!$BS$28</f>
        <v>0</v>
      </c>
      <c r="JM28" s="55">
        <f>'23'!$BT$28</f>
        <v>0</v>
      </c>
      <c r="JN28" s="55">
        <f>'23'!$BU$28</f>
        <v>0</v>
      </c>
      <c r="JO28" s="55">
        <f>'23'!$BV$28</f>
        <v>0</v>
      </c>
      <c r="JP28" s="55">
        <f>'23'!$BW$28</f>
        <v>0</v>
      </c>
      <c r="JQ28" s="55">
        <f>'23'!$BX$28</f>
        <v>0</v>
      </c>
      <c r="JR28" s="55">
        <f>'23'!$BY$28</f>
        <v>0</v>
      </c>
      <c r="JS28" s="55">
        <f>'23'!$BN$29</f>
        <v>0</v>
      </c>
      <c r="JT28" s="55">
        <f>'23'!$BO$29</f>
        <v>0</v>
      </c>
      <c r="JU28" s="55">
        <f>'23'!$BP$29</f>
        <v>0</v>
      </c>
      <c r="JV28" s="55">
        <f>'23'!$BQ$29</f>
        <v>0</v>
      </c>
      <c r="JW28" s="55">
        <f>'23'!$BR$29</f>
        <v>0</v>
      </c>
      <c r="JX28" s="55">
        <f>'23'!$BS$29</f>
        <v>0</v>
      </c>
      <c r="JY28" s="55">
        <f>'23'!$BT$29</f>
        <v>0</v>
      </c>
      <c r="JZ28" s="55">
        <f>'23'!$BU$29</f>
        <v>0</v>
      </c>
      <c r="KA28" s="55">
        <f>'23'!$BV$29</f>
        <v>0</v>
      </c>
      <c r="KB28" s="55">
        <f>'23'!$BW$29</f>
        <v>0</v>
      </c>
      <c r="KC28" s="55">
        <f>'23'!$BX$29</f>
        <v>0</v>
      </c>
      <c r="KD28" s="55">
        <f>'23'!$BY$29</f>
        <v>0</v>
      </c>
    </row>
    <row r="29" spans="1:290" ht="15" x14ac:dyDescent="0.25">
      <c r="A29" s="50">
        <v>46197</v>
      </c>
      <c r="B29" s="52"/>
      <c r="C29" s="55">
        <f>'24'!$BN$6</f>
        <v>0</v>
      </c>
      <c r="D29" s="55">
        <f>'24'!$BO$6</f>
        <v>0</v>
      </c>
      <c r="E29" s="55">
        <f>'24'!$BP$6</f>
        <v>0</v>
      </c>
      <c r="F29" s="55">
        <f>'24'!$BQ$6</f>
        <v>0</v>
      </c>
      <c r="G29" s="55">
        <f>'24'!$BR$6</f>
        <v>0</v>
      </c>
      <c r="H29" s="55">
        <f>'24'!$BS$6</f>
        <v>0</v>
      </c>
      <c r="I29" s="55">
        <f>'24'!$BT$6</f>
        <v>0</v>
      </c>
      <c r="J29" s="55">
        <f>'24'!$BU$6</f>
        <v>0</v>
      </c>
      <c r="K29" s="55">
        <f>'24'!$BV$6</f>
        <v>0</v>
      </c>
      <c r="L29" s="55">
        <f>'24'!$BW$6</f>
        <v>0</v>
      </c>
      <c r="M29" s="55">
        <f>'24'!$BX$6</f>
        <v>0</v>
      </c>
      <c r="N29" s="55">
        <f>'24'!$BY$6</f>
        <v>0</v>
      </c>
      <c r="O29" s="55">
        <f>'24'!$BN$7</f>
        <v>0</v>
      </c>
      <c r="P29" s="55">
        <f>'24'!$BO$7</f>
        <v>0</v>
      </c>
      <c r="Q29" s="55">
        <f>'24'!$BP$7</f>
        <v>0</v>
      </c>
      <c r="R29" s="55">
        <f>'24'!$BQ$7</f>
        <v>0</v>
      </c>
      <c r="S29" s="55">
        <f>'24'!$BR$7</f>
        <v>0</v>
      </c>
      <c r="T29" s="55">
        <f>'24'!$BS$7</f>
        <v>0</v>
      </c>
      <c r="U29" s="55">
        <f>'24'!$BT$7</f>
        <v>0</v>
      </c>
      <c r="V29" s="55">
        <f>'24'!$BU$7</f>
        <v>0</v>
      </c>
      <c r="W29" s="55">
        <f>'24'!$BV$7</f>
        <v>0</v>
      </c>
      <c r="X29" s="55">
        <f>'24'!$BW$7</f>
        <v>0</v>
      </c>
      <c r="Y29" s="55">
        <f>'24'!$BX$7</f>
        <v>0</v>
      </c>
      <c r="Z29" s="55">
        <f>'24'!$BY$7</f>
        <v>0</v>
      </c>
      <c r="AA29" s="55">
        <f>'24'!$BN$8</f>
        <v>0</v>
      </c>
      <c r="AB29" s="55">
        <f>'24'!$BO$8</f>
        <v>0</v>
      </c>
      <c r="AC29" s="55">
        <f>'24'!$BP$8</f>
        <v>0</v>
      </c>
      <c r="AD29" s="55">
        <f>'24'!$BQ$8</f>
        <v>0</v>
      </c>
      <c r="AE29" s="55">
        <f>'24'!$BR$8</f>
        <v>0</v>
      </c>
      <c r="AF29" s="55">
        <f>'24'!$BS$8</f>
        <v>0</v>
      </c>
      <c r="AG29" s="55">
        <f>'24'!$BT$8</f>
        <v>0</v>
      </c>
      <c r="AH29" s="55">
        <f>'24'!$BU$8</f>
        <v>0</v>
      </c>
      <c r="AI29" s="55">
        <f>'24'!$BV$8</f>
        <v>0</v>
      </c>
      <c r="AJ29" s="55">
        <f>'24'!$BW$8</f>
        <v>0</v>
      </c>
      <c r="AK29" s="55">
        <f>'24'!$BX$8</f>
        <v>0</v>
      </c>
      <c r="AL29" s="55">
        <f>'24'!$BY$8</f>
        <v>0</v>
      </c>
      <c r="AM29" s="55">
        <f>'24'!$BN$9</f>
        <v>0</v>
      </c>
      <c r="AN29" s="55">
        <f>'24'!$BO$9</f>
        <v>0</v>
      </c>
      <c r="AO29" s="55">
        <f>'24'!$BP$9</f>
        <v>0</v>
      </c>
      <c r="AP29" s="55">
        <f>'24'!$BQ$9</f>
        <v>0</v>
      </c>
      <c r="AQ29" s="55">
        <f>'24'!$BR$9</f>
        <v>0</v>
      </c>
      <c r="AR29" s="55">
        <f>'24'!$BS$9</f>
        <v>0</v>
      </c>
      <c r="AS29" s="55">
        <f>'24'!$BT$9</f>
        <v>0</v>
      </c>
      <c r="AT29" s="55">
        <f>'24'!$BU$9</f>
        <v>0</v>
      </c>
      <c r="AU29" s="55">
        <f>'24'!$BV$9</f>
        <v>0</v>
      </c>
      <c r="AV29" s="55">
        <f>'24'!$BW$9</f>
        <v>0</v>
      </c>
      <c r="AW29" s="55">
        <f>'24'!$BX$9</f>
        <v>0</v>
      </c>
      <c r="AX29" s="55">
        <f>'24'!$BY$9</f>
        <v>0</v>
      </c>
      <c r="AY29" s="55">
        <f>'24'!$BN$10</f>
        <v>0</v>
      </c>
      <c r="AZ29" s="55">
        <f>'24'!$BO$10</f>
        <v>0</v>
      </c>
      <c r="BA29" s="55">
        <f>'24'!$BP$10</f>
        <v>0</v>
      </c>
      <c r="BB29" s="55">
        <f>'24'!$BQ$10</f>
        <v>0</v>
      </c>
      <c r="BC29" s="55">
        <f>'24'!$BR$10</f>
        <v>0</v>
      </c>
      <c r="BD29" s="55">
        <f>'24'!$BS$10</f>
        <v>0</v>
      </c>
      <c r="BE29" s="55">
        <f>'24'!$BT$10</f>
        <v>0</v>
      </c>
      <c r="BF29" s="55">
        <f>'24'!$BU$10</f>
        <v>0</v>
      </c>
      <c r="BG29" s="55">
        <f>'24'!$BV$10</f>
        <v>0</v>
      </c>
      <c r="BH29" s="55">
        <f>'24'!$BW$10</f>
        <v>0</v>
      </c>
      <c r="BI29" s="55">
        <f>'24'!$BX$10</f>
        <v>0</v>
      </c>
      <c r="BJ29" s="55">
        <f>'24'!$BY$10</f>
        <v>0</v>
      </c>
      <c r="BK29" s="55">
        <f>'24'!$BN$11</f>
        <v>0</v>
      </c>
      <c r="BL29" s="55">
        <f>'24'!$BO$11</f>
        <v>0</v>
      </c>
      <c r="BM29" s="55">
        <f>'24'!$BP$11</f>
        <v>0</v>
      </c>
      <c r="BN29" s="55">
        <f>'24'!$BQ$11</f>
        <v>0</v>
      </c>
      <c r="BO29" s="55">
        <f>'24'!$BR$11</f>
        <v>0</v>
      </c>
      <c r="BP29" s="55">
        <f>'24'!$BS$11</f>
        <v>0</v>
      </c>
      <c r="BQ29" s="55">
        <f>'24'!$BT$11</f>
        <v>0</v>
      </c>
      <c r="BR29" s="55">
        <f>'24'!$BU$11</f>
        <v>0</v>
      </c>
      <c r="BS29" s="55">
        <f>'24'!$BV$11</f>
        <v>0</v>
      </c>
      <c r="BT29" s="55">
        <f>'24'!$BW$11</f>
        <v>0</v>
      </c>
      <c r="BU29" s="55">
        <f>'24'!$BX$11</f>
        <v>0</v>
      </c>
      <c r="BV29" s="55">
        <f>'24'!$BY$11</f>
        <v>0</v>
      </c>
      <c r="BW29" s="55">
        <f>'24'!$BN$12</f>
        <v>0</v>
      </c>
      <c r="BX29" s="55">
        <f>'24'!$BO$12</f>
        <v>0</v>
      </c>
      <c r="BY29" s="55">
        <f>'24'!$BP$12</f>
        <v>0</v>
      </c>
      <c r="BZ29" s="55">
        <f>'24'!$BQ$12</f>
        <v>0</v>
      </c>
      <c r="CA29" s="55">
        <f>'24'!$BR$12</f>
        <v>0</v>
      </c>
      <c r="CB29" s="55">
        <f>'24'!$BS$12</f>
        <v>0</v>
      </c>
      <c r="CC29" s="55">
        <f>'24'!$BT$12</f>
        <v>0</v>
      </c>
      <c r="CD29" s="55">
        <f>'24'!$BU$12</f>
        <v>0</v>
      </c>
      <c r="CE29" s="55">
        <f>'24'!$BV$12</f>
        <v>0</v>
      </c>
      <c r="CF29" s="55">
        <f>'24'!$BW$12</f>
        <v>0</v>
      </c>
      <c r="CG29" s="55">
        <f>'24'!$BX$12</f>
        <v>0</v>
      </c>
      <c r="CH29" s="55">
        <f>'24'!$BY$12</f>
        <v>0</v>
      </c>
      <c r="CI29" s="55">
        <f>'24'!$BN$13</f>
        <v>0</v>
      </c>
      <c r="CJ29" s="55">
        <f>'24'!$BO$13</f>
        <v>0</v>
      </c>
      <c r="CK29" s="55">
        <f>'24'!$BP$13</f>
        <v>0</v>
      </c>
      <c r="CL29" s="55">
        <f>'24'!$BQ$13</f>
        <v>0</v>
      </c>
      <c r="CM29" s="55">
        <f>'24'!$BR$13</f>
        <v>0</v>
      </c>
      <c r="CN29" s="55">
        <f>'24'!$BS$13</f>
        <v>0</v>
      </c>
      <c r="CO29" s="55">
        <f>'24'!$BT$13</f>
        <v>0</v>
      </c>
      <c r="CP29" s="55">
        <f>'24'!$BU$13</f>
        <v>0</v>
      </c>
      <c r="CQ29" s="55">
        <f>'24'!$BV$13</f>
        <v>0</v>
      </c>
      <c r="CR29" s="55">
        <f>'24'!$BW$13</f>
        <v>0</v>
      </c>
      <c r="CS29" s="55">
        <f>'24'!$BX$13</f>
        <v>0</v>
      </c>
      <c r="CT29" s="55">
        <f>'24'!$BY$13</f>
        <v>0</v>
      </c>
      <c r="CU29" s="55">
        <f>'24'!$BN$14</f>
        <v>0</v>
      </c>
      <c r="CV29" s="55">
        <f>'24'!$BO$14</f>
        <v>0</v>
      </c>
      <c r="CW29" s="55">
        <f>'24'!$BP$14</f>
        <v>0</v>
      </c>
      <c r="CX29" s="55">
        <f>'24'!$BQ$14</f>
        <v>0</v>
      </c>
      <c r="CY29" s="55">
        <f>'24'!$BR$14</f>
        <v>0</v>
      </c>
      <c r="CZ29" s="55">
        <f>'24'!$BS$14</f>
        <v>0</v>
      </c>
      <c r="DA29" s="55">
        <f>'24'!$BT$14</f>
        <v>0</v>
      </c>
      <c r="DB29" s="55">
        <f>'24'!$BU$14</f>
        <v>0</v>
      </c>
      <c r="DC29" s="55">
        <f>'24'!$BV$14</f>
        <v>0</v>
      </c>
      <c r="DD29" s="55">
        <f>'24'!$BW$14</f>
        <v>0</v>
      </c>
      <c r="DE29" s="55">
        <f>'24'!$BX$14</f>
        <v>0</v>
      </c>
      <c r="DF29" s="55">
        <f>'24'!$BY$14</f>
        <v>0</v>
      </c>
      <c r="DG29" s="55">
        <f>'24'!$BN$15</f>
        <v>0</v>
      </c>
      <c r="DH29" s="55">
        <f>'24'!$BO$15</f>
        <v>0</v>
      </c>
      <c r="DI29" s="55">
        <f>'24'!$BP$15</f>
        <v>0</v>
      </c>
      <c r="DJ29" s="55">
        <f>'24'!$BQ$15</f>
        <v>0</v>
      </c>
      <c r="DK29" s="55">
        <f>'24'!$BR$15</f>
        <v>0</v>
      </c>
      <c r="DL29" s="55">
        <f>'24'!$BS$15</f>
        <v>0</v>
      </c>
      <c r="DM29" s="55">
        <f>'24'!$BT$15</f>
        <v>0</v>
      </c>
      <c r="DN29" s="55">
        <f>'24'!$BU$15</f>
        <v>0</v>
      </c>
      <c r="DO29" s="55">
        <f>'24'!$BV$15</f>
        <v>0</v>
      </c>
      <c r="DP29" s="55">
        <f>'24'!$BW$15</f>
        <v>0</v>
      </c>
      <c r="DQ29" s="55">
        <f>'24'!$BX$15</f>
        <v>0</v>
      </c>
      <c r="DR29" s="55">
        <f>'24'!$BY$15</f>
        <v>0</v>
      </c>
      <c r="DS29" s="55">
        <f>'24'!$BN$16</f>
        <v>0</v>
      </c>
      <c r="DT29" s="55">
        <f>'24'!$BO$16</f>
        <v>0</v>
      </c>
      <c r="DU29" s="55">
        <f>'24'!$BP$16</f>
        <v>0</v>
      </c>
      <c r="DV29" s="55">
        <f>'24'!$BQ$16</f>
        <v>0</v>
      </c>
      <c r="DW29" s="55">
        <f>'24'!$BR$16</f>
        <v>0</v>
      </c>
      <c r="DX29" s="55">
        <f>'24'!$BS$16</f>
        <v>0</v>
      </c>
      <c r="DY29" s="55">
        <f>'24'!$BT$16</f>
        <v>0</v>
      </c>
      <c r="DZ29" s="55">
        <f>'24'!$BU$16</f>
        <v>0</v>
      </c>
      <c r="EA29" s="55">
        <f>'24'!$BV$16</f>
        <v>0</v>
      </c>
      <c r="EB29" s="55">
        <f>'24'!$BW$16</f>
        <v>0</v>
      </c>
      <c r="EC29" s="55">
        <f>'24'!$BX$16</f>
        <v>0</v>
      </c>
      <c r="ED29" s="55">
        <f>'24'!$BY$16</f>
        <v>0</v>
      </c>
      <c r="EE29" s="55">
        <f>'24'!$BN$17</f>
        <v>0</v>
      </c>
      <c r="EF29" s="55">
        <f>'24'!$BO$17</f>
        <v>0</v>
      </c>
      <c r="EG29" s="55">
        <f>'24'!$BP$17</f>
        <v>0</v>
      </c>
      <c r="EH29" s="55">
        <f>'24'!$BQ$17</f>
        <v>0</v>
      </c>
      <c r="EI29" s="55">
        <f>'24'!$BR$17</f>
        <v>0</v>
      </c>
      <c r="EJ29" s="55">
        <f>'24'!$BS$17</f>
        <v>0</v>
      </c>
      <c r="EK29" s="55">
        <f>'24'!$BT$17</f>
        <v>0</v>
      </c>
      <c r="EL29" s="55">
        <f>'24'!$BU$17</f>
        <v>0</v>
      </c>
      <c r="EM29" s="55">
        <f>'24'!$BV$17</f>
        <v>0</v>
      </c>
      <c r="EN29" s="55">
        <f>'24'!$BW$17</f>
        <v>0</v>
      </c>
      <c r="EO29" s="55">
        <f>'24'!$BX$17</f>
        <v>0</v>
      </c>
      <c r="EP29" s="55">
        <f>'24'!$BY$17</f>
        <v>0</v>
      </c>
      <c r="EQ29" s="55">
        <f>'24'!$BN$18</f>
        <v>0</v>
      </c>
      <c r="ER29" s="55">
        <f>'24'!$BO$18</f>
        <v>0</v>
      </c>
      <c r="ES29" s="55">
        <f>'24'!$BP$18</f>
        <v>0</v>
      </c>
      <c r="ET29" s="55">
        <f>'24'!$BQ$18</f>
        <v>0</v>
      </c>
      <c r="EU29" s="55">
        <f>'24'!$BR$18</f>
        <v>0</v>
      </c>
      <c r="EV29" s="55">
        <f>'24'!$BS$18</f>
        <v>0</v>
      </c>
      <c r="EW29" s="55">
        <f>'24'!$BT$18</f>
        <v>0</v>
      </c>
      <c r="EX29" s="55">
        <f>'24'!$BU$18</f>
        <v>0</v>
      </c>
      <c r="EY29" s="55">
        <f>'24'!$BV$18</f>
        <v>0</v>
      </c>
      <c r="EZ29" s="55">
        <f>'24'!$BW$18</f>
        <v>0</v>
      </c>
      <c r="FA29" s="55">
        <f>'24'!$BX$18</f>
        <v>0</v>
      </c>
      <c r="FB29" s="55">
        <f>'24'!$BY$18</f>
        <v>0</v>
      </c>
      <c r="FC29" s="55">
        <f>'24'!$BN$19</f>
        <v>0</v>
      </c>
      <c r="FD29" s="55">
        <f>'24'!$BO$19</f>
        <v>0</v>
      </c>
      <c r="FE29" s="55">
        <f>'24'!$BP$19</f>
        <v>0</v>
      </c>
      <c r="FF29" s="55">
        <f>'24'!$BQ$19</f>
        <v>0</v>
      </c>
      <c r="FG29" s="55">
        <f>'24'!$BR$19</f>
        <v>0</v>
      </c>
      <c r="FH29" s="55">
        <f>'24'!$BS$19</f>
        <v>0</v>
      </c>
      <c r="FI29" s="55">
        <f>'24'!$BT$19</f>
        <v>0</v>
      </c>
      <c r="FJ29" s="55">
        <f>'24'!$BU$19</f>
        <v>0</v>
      </c>
      <c r="FK29" s="55">
        <f>'24'!$BV$19</f>
        <v>0</v>
      </c>
      <c r="FL29" s="55">
        <f>'24'!$BW$19</f>
        <v>0</v>
      </c>
      <c r="FM29" s="55">
        <f>'24'!$BX$19</f>
        <v>0</v>
      </c>
      <c r="FN29" s="55">
        <f>'24'!$BY$19</f>
        <v>0</v>
      </c>
      <c r="FO29" s="55">
        <f>'24'!$BN$20</f>
        <v>0</v>
      </c>
      <c r="FP29" s="55">
        <f>'24'!$BO$20</f>
        <v>0</v>
      </c>
      <c r="FQ29" s="55">
        <f>'24'!$BP$20</f>
        <v>0</v>
      </c>
      <c r="FR29" s="55">
        <f>'24'!$BQ$20</f>
        <v>0</v>
      </c>
      <c r="FS29" s="55">
        <f>'24'!$BR$20</f>
        <v>0</v>
      </c>
      <c r="FT29" s="55">
        <f>'24'!$BS$20</f>
        <v>0</v>
      </c>
      <c r="FU29" s="55">
        <f>'24'!$BT$20</f>
        <v>0</v>
      </c>
      <c r="FV29" s="55">
        <f>'24'!$BU$20</f>
        <v>0</v>
      </c>
      <c r="FW29" s="55">
        <f>'24'!$BV$20</f>
        <v>0</v>
      </c>
      <c r="FX29" s="55">
        <f>'24'!$BW$20</f>
        <v>0</v>
      </c>
      <c r="FY29" s="55">
        <f>'24'!$BX$20</f>
        <v>0</v>
      </c>
      <c r="FZ29" s="55">
        <f>'24'!$BY$20</f>
        <v>0</v>
      </c>
      <c r="GA29" s="55">
        <f>'24'!$BN$21</f>
        <v>0</v>
      </c>
      <c r="GB29" s="55">
        <f>'24'!$BO$21</f>
        <v>0</v>
      </c>
      <c r="GC29" s="55">
        <f>'24'!$BP$21</f>
        <v>0</v>
      </c>
      <c r="GD29" s="55">
        <f>'24'!$BQ$21</f>
        <v>0</v>
      </c>
      <c r="GE29" s="55">
        <f>'24'!$BR$21</f>
        <v>0</v>
      </c>
      <c r="GF29" s="55">
        <f>'24'!$BS$21</f>
        <v>0</v>
      </c>
      <c r="GG29" s="55">
        <f>'24'!$BT$21</f>
        <v>0</v>
      </c>
      <c r="GH29" s="55">
        <f>'24'!$BU$21</f>
        <v>0</v>
      </c>
      <c r="GI29" s="55">
        <f>'24'!$BV$21</f>
        <v>0</v>
      </c>
      <c r="GJ29" s="55">
        <f>'24'!$BW$21</f>
        <v>0</v>
      </c>
      <c r="GK29" s="55">
        <f>'24'!$BX$21</f>
        <v>0</v>
      </c>
      <c r="GL29" s="55">
        <f>'24'!$BY$21</f>
        <v>0</v>
      </c>
      <c r="GM29" s="55">
        <f>'24'!$BN$22</f>
        <v>0</v>
      </c>
      <c r="GN29" s="55">
        <f>'24'!$BO$22</f>
        <v>0</v>
      </c>
      <c r="GO29" s="55">
        <f>'24'!$BP$22</f>
        <v>0</v>
      </c>
      <c r="GP29" s="55">
        <f>'24'!$BQ$22</f>
        <v>0</v>
      </c>
      <c r="GQ29" s="55">
        <f>'24'!$BR$22</f>
        <v>0</v>
      </c>
      <c r="GR29" s="55">
        <f>'24'!$BS$22</f>
        <v>0</v>
      </c>
      <c r="GS29" s="55">
        <f>'24'!$BT$22</f>
        <v>0</v>
      </c>
      <c r="GT29" s="55">
        <f>'24'!$BU$22</f>
        <v>0</v>
      </c>
      <c r="GU29" s="55">
        <f>'24'!$BV$22</f>
        <v>0</v>
      </c>
      <c r="GV29" s="55">
        <f>'24'!$BW$22</f>
        <v>0</v>
      </c>
      <c r="GW29" s="55">
        <f>'24'!$BX$22</f>
        <v>0</v>
      </c>
      <c r="GX29" s="55">
        <f>'24'!$BY$22</f>
        <v>0</v>
      </c>
      <c r="GY29" s="55">
        <f>'24'!$BN$23</f>
        <v>0</v>
      </c>
      <c r="GZ29" s="55">
        <f>'24'!$BO$23</f>
        <v>0</v>
      </c>
      <c r="HA29" s="55">
        <f>'24'!$BP$23</f>
        <v>0</v>
      </c>
      <c r="HB29" s="55">
        <f>'24'!$BQ$23</f>
        <v>0</v>
      </c>
      <c r="HC29" s="55">
        <f>'24'!$BR$23</f>
        <v>0</v>
      </c>
      <c r="HD29" s="55">
        <f>'24'!$BS$23</f>
        <v>0</v>
      </c>
      <c r="HE29" s="55">
        <f>'24'!$BT$23</f>
        <v>0</v>
      </c>
      <c r="HF29" s="55">
        <f>'24'!$BU$23</f>
        <v>0</v>
      </c>
      <c r="HG29" s="55">
        <f>'24'!$BV$23</f>
        <v>0</v>
      </c>
      <c r="HH29" s="55">
        <f>'24'!$BW$23</f>
        <v>0</v>
      </c>
      <c r="HI29" s="55">
        <f>'24'!$BX$23</f>
        <v>0</v>
      </c>
      <c r="HJ29" s="55">
        <f>'24'!$BY$23</f>
        <v>0</v>
      </c>
      <c r="HK29" s="55">
        <f>'24'!$BN$24</f>
        <v>0</v>
      </c>
      <c r="HL29" s="55">
        <f>'24'!$BO$24</f>
        <v>0</v>
      </c>
      <c r="HM29" s="55">
        <f>'24'!$BP$24</f>
        <v>0</v>
      </c>
      <c r="HN29" s="55">
        <f>'24'!$BQ$24</f>
        <v>0</v>
      </c>
      <c r="HO29" s="55">
        <f>'24'!$BR$24</f>
        <v>0</v>
      </c>
      <c r="HP29" s="55">
        <f>'24'!$BS$24</f>
        <v>0</v>
      </c>
      <c r="HQ29" s="55">
        <f>'24'!$BT$24</f>
        <v>0</v>
      </c>
      <c r="HR29" s="55">
        <f>'24'!$BU$24</f>
        <v>0</v>
      </c>
      <c r="HS29" s="55">
        <f>'24'!$BV$24</f>
        <v>0</v>
      </c>
      <c r="HT29" s="55">
        <f>'24'!$BW$24</f>
        <v>0</v>
      </c>
      <c r="HU29" s="55">
        <f>'24'!$BX$24</f>
        <v>0</v>
      </c>
      <c r="HV29" s="55">
        <f>'24'!$BY$24</f>
        <v>0</v>
      </c>
      <c r="HW29" s="55">
        <f>'24'!$BN$25</f>
        <v>0</v>
      </c>
      <c r="HX29" s="55">
        <f>'24'!$BO$25</f>
        <v>0</v>
      </c>
      <c r="HY29" s="55">
        <f>'24'!$BP$25</f>
        <v>0</v>
      </c>
      <c r="HZ29" s="55">
        <f>'24'!$BQ$25</f>
        <v>0</v>
      </c>
      <c r="IA29" s="55">
        <f>'24'!$BR$25</f>
        <v>0</v>
      </c>
      <c r="IB29" s="55">
        <f>'24'!$BS$25</f>
        <v>0</v>
      </c>
      <c r="IC29" s="55">
        <f>'24'!$BT$25</f>
        <v>0</v>
      </c>
      <c r="ID29" s="55">
        <f>'24'!$BU$25</f>
        <v>0</v>
      </c>
      <c r="IE29" s="55">
        <f>'24'!$BV$25</f>
        <v>0</v>
      </c>
      <c r="IF29" s="55">
        <f>'24'!$BW$25</f>
        <v>0</v>
      </c>
      <c r="IG29" s="55">
        <f>'24'!$BX$25</f>
        <v>0</v>
      </c>
      <c r="IH29" s="55">
        <f>'24'!$BY$25</f>
        <v>0</v>
      </c>
      <c r="II29" s="55">
        <f>'24'!$BN$26</f>
        <v>0</v>
      </c>
      <c r="IJ29" s="55">
        <f>'24'!$BO$26</f>
        <v>0</v>
      </c>
      <c r="IK29" s="55">
        <f>'24'!$BP$26</f>
        <v>0</v>
      </c>
      <c r="IL29" s="55">
        <f>'24'!$BQ$26</f>
        <v>0</v>
      </c>
      <c r="IM29" s="55">
        <f>'24'!$BR$26</f>
        <v>0</v>
      </c>
      <c r="IN29" s="55">
        <f>'24'!$BS$26</f>
        <v>0</v>
      </c>
      <c r="IO29" s="55">
        <f>'24'!$BT$26</f>
        <v>0</v>
      </c>
      <c r="IP29" s="55">
        <f>'24'!$BU$26</f>
        <v>0</v>
      </c>
      <c r="IQ29" s="55">
        <f>'24'!$BV$26</f>
        <v>0</v>
      </c>
      <c r="IR29" s="55">
        <f>'24'!$BW$26</f>
        <v>0</v>
      </c>
      <c r="IS29" s="55">
        <f>'24'!$BX$26</f>
        <v>0</v>
      </c>
      <c r="IT29" s="55">
        <f>'24'!$BY$26</f>
        <v>0</v>
      </c>
      <c r="IU29" s="55">
        <f>'24'!$BN$27</f>
        <v>0</v>
      </c>
      <c r="IV29" s="55">
        <f>'24'!$BO$27</f>
        <v>0</v>
      </c>
      <c r="IW29" s="55">
        <f>'24'!$BP$27</f>
        <v>0</v>
      </c>
      <c r="IX29" s="55">
        <f>'24'!$BQ$27</f>
        <v>0</v>
      </c>
      <c r="IY29" s="55">
        <f>'24'!$BR$27</f>
        <v>0</v>
      </c>
      <c r="IZ29" s="55">
        <f>'24'!$BS$27</f>
        <v>0</v>
      </c>
      <c r="JA29" s="55">
        <f>'24'!$BT$27</f>
        <v>0</v>
      </c>
      <c r="JB29" s="55">
        <f>'24'!$BU$27</f>
        <v>0</v>
      </c>
      <c r="JC29" s="55">
        <f>'24'!$BV$27</f>
        <v>0</v>
      </c>
      <c r="JD29" s="55">
        <f>'24'!$BW$27</f>
        <v>0</v>
      </c>
      <c r="JE29" s="55">
        <f>'24'!$BX$27</f>
        <v>0</v>
      </c>
      <c r="JF29" s="55">
        <f>'24'!$BY$27</f>
        <v>0</v>
      </c>
      <c r="JG29" s="55">
        <f>'24'!$BN$28</f>
        <v>0</v>
      </c>
      <c r="JH29" s="55">
        <f>'24'!$BO$28</f>
        <v>0</v>
      </c>
      <c r="JI29" s="55">
        <f>'24'!$BP$28</f>
        <v>0</v>
      </c>
      <c r="JJ29" s="55">
        <f>'24'!$BQ$28</f>
        <v>0</v>
      </c>
      <c r="JK29" s="55">
        <f>'24'!$BR$28</f>
        <v>0</v>
      </c>
      <c r="JL29" s="55">
        <f>'24'!$BS$28</f>
        <v>0</v>
      </c>
      <c r="JM29" s="55">
        <f>'24'!$BT$28</f>
        <v>0</v>
      </c>
      <c r="JN29" s="55">
        <f>'24'!$BU$28</f>
        <v>0</v>
      </c>
      <c r="JO29" s="55">
        <f>'24'!$BV$28</f>
        <v>0</v>
      </c>
      <c r="JP29" s="55">
        <f>'24'!$BW$28</f>
        <v>0</v>
      </c>
      <c r="JQ29" s="55">
        <f>'24'!$BX$28</f>
        <v>0</v>
      </c>
      <c r="JR29" s="55">
        <f>'24'!$BY$28</f>
        <v>0</v>
      </c>
      <c r="JS29" s="55">
        <f>'24'!$BN$29</f>
        <v>0</v>
      </c>
      <c r="JT29" s="55">
        <f>'24'!$BO$29</f>
        <v>0</v>
      </c>
      <c r="JU29" s="55">
        <f>'24'!$BP$29</f>
        <v>0</v>
      </c>
      <c r="JV29" s="55">
        <f>'24'!$BQ$29</f>
        <v>0</v>
      </c>
      <c r="JW29" s="55">
        <f>'24'!$BR$29</f>
        <v>0</v>
      </c>
      <c r="JX29" s="55">
        <f>'24'!$BS$29</f>
        <v>0</v>
      </c>
      <c r="JY29" s="55">
        <f>'24'!$BT$29</f>
        <v>0</v>
      </c>
      <c r="JZ29" s="55">
        <f>'24'!$BU$29</f>
        <v>0</v>
      </c>
      <c r="KA29" s="55">
        <f>'24'!$BV$29</f>
        <v>0</v>
      </c>
      <c r="KB29" s="55">
        <f>'24'!$BW$29</f>
        <v>0</v>
      </c>
      <c r="KC29" s="55">
        <f>'24'!$BX$29</f>
        <v>0</v>
      </c>
      <c r="KD29" s="55">
        <f>'24'!$BY$29</f>
        <v>0</v>
      </c>
    </row>
    <row r="30" spans="1:290" ht="15" x14ac:dyDescent="0.25">
      <c r="A30" s="50">
        <v>46198</v>
      </c>
      <c r="B30" s="52"/>
      <c r="C30" s="55">
        <f>'25'!$BN$6</f>
        <v>0</v>
      </c>
      <c r="D30" s="55">
        <f>'25'!$BO$6</f>
        <v>0</v>
      </c>
      <c r="E30" s="55">
        <f>'25'!$BP$6</f>
        <v>0</v>
      </c>
      <c r="F30" s="55">
        <f>'25'!$BQ$6</f>
        <v>0</v>
      </c>
      <c r="G30" s="55">
        <f>'25'!$BR$6</f>
        <v>0</v>
      </c>
      <c r="H30" s="55">
        <f>'25'!$BS$6</f>
        <v>0</v>
      </c>
      <c r="I30" s="55">
        <f>'25'!$BT$6</f>
        <v>0</v>
      </c>
      <c r="J30" s="55">
        <f>'25'!$BU$6</f>
        <v>0</v>
      </c>
      <c r="K30" s="55">
        <f>'25'!$BV$6</f>
        <v>0</v>
      </c>
      <c r="L30" s="55">
        <f>'25'!$BW$6</f>
        <v>0</v>
      </c>
      <c r="M30" s="55">
        <f>'25'!$BX$6</f>
        <v>0</v>
      </c>
      <c r="N30" s="55">
        <f>'25'!$BY$6</f>
        <v>0</v>
      </c>
      <c r="O30" s="55">
        <f>'25'!$BN$7</f>
        <v>0</v>
      </c>
      <c r="P30" s="55">
        <f>'25'!$BO$7</f>
        <v>0</v>
      </c>
      <c r="Q30" s="55">
        <f>'25'!$BP$7</f>
        <v>0</v>
      </c>
      <c r="R30" s="55">
        <f>'25'!$BQ$7</f>
        <v>0</v>
      </c>
      <c r="S30" s="55">
        <f>'25'!$BR$7</f>
        <v>0</v>
      </c>
      <c r="T30" s="55">
        <f>'25'!$BS$7</f>
        <v>0</v>
      </c>
      <c r="U30" s="55">
        <f>'25'!$BT$7</f>
        <v>0</v>
      </c>
      <c r="V30" s="55">
        <f>'25'!$BU$7</f>
        <v>0</v>
      </c>
      <c r="W30" s="55">
        <f>'25'!$BV$7</f>
        <v>0</v>
      </c>
      <c r="X30" s="55">
        <f>'25'!$BW$7</f>
        <v>0</v>
      </c>
      <c r="Y30" s="55">
        <f>'25'!$BX$7</f>
        <v>0</v>
      </c>
      <c r="Z30" s="55">
        <f>'25'!$BY$7</f>
        <v>0</v>
      </c>
      <c r="AA30" s="55">
        <f>'25'!$BN$8</f>
        <v>0</v>
      </c>
      <c r="AB30" s="55">
        <f>'25'!$BO$8</f>
        <v>0</v>
      </c>
      <c r="AC30" s="55">
        <f>'25'!$BP$8</f>
        <v>0</v>
      </c>
      <c r="AD30" s="55">
        <f>'25'!$BQ$8</f>
        <v>0</v>
      </c>
      <c r="AE30" s="55">
        <f>'25'!$BR$8</f>
        <v>0</v>
      </c>
      <c r="AF30" s="55">
        <f>'25'!$BS$8</f>
        <v>0</v>
      </c>
      <c r="AG30" s="55">
        <f>'25'!$BT$8</f>
        <v>0</v>
      </c>
      <c r="AH30" s="55">
        <f>'25'!$BU$8</f>
        <v>0</v>
      </c>
      <c r="AI30" s="55">
        <f>'25'!$BV$8</f>
        <v>0</v>
      </c>
      <c r="AJ30" s="55">
        <f>'25'!$BW$8</f>
        <v>0</v>
      </c>
      <c r="AK30" s="55">
        <f>'25'!$BX$8</f>
        <v>0</v>
      </c>
      <c r="AL30" s="55">
        <f>'25'!$BY$8</f>
        <v>0</v>
      </c>
      <c r="AM30" s="55">
        <f>'25'!$BN$9</f>
        <v>0</v>
      </c>
      <c r="AN30" s="55">
        <f>'25'!$BO$9</f>
        <v>0</v>
      </c>
      <c r="AO30" s="55">
        <f>'25'!$BP$9</f>
        <v>0</v>
      </c>
      <c r="AP30" s="55">
        <f>'25'!$BQ$9</f>
        <v>0</v>
      </c>
      <c r="AQ30" s="55">
        <f>'25'!$BR$9</f>
        <v>0</v>
      </c>
      <c r="AR30" s="55">
        <f>'25'!$BS$9</f>
        <v>0</v>
      </c>
      <c r="AS30" s="55">
        <f>'25'!$BT$9</f>
        <v>0</v>
      </c>
      <c r="AT30" s="55">
        <f>'25'!$BU$9</f>
        <v>0</v>
      </c>
      <c r="AU30" s="55">
        <f>'25'!$BV$9</f>
        <v>0</v>
      </c>
      <c r="AV30" s="55">
        <f>'25'!$BW$9</f>
        <v>0</v>
      </c>
      <c r="AW30" s="55">
        <f>'25'!$BX$9</f>
        <v>0</v>
      </c>
      <c r="AX30" s="55">
        <f>'25'!$BY$9</f>
        <v>0</v>
      </c>
      <c r="AY30" s="55">
        <f>'25'!$BN$10</f>
        <v>0</v>
      </c>
      <c r="AZ30" s="55">
        <f>'25'!$BO$10</f>
        <v>0</v>
      </c>
      <c r="BA30" s="55">
        <f>'25'!$BP$10</f>
        <v>0</v>
      </c>
      <c r="BB30" s="55">
        <f>'25'!$BQ$10</f>
        <v>0</v>
      </c>
      <c r="BC30" s="55">
        <f>'25'!$BR$10</f>
        <v>0</v>
      </c>
      <c r="BD30" s="55">
        <f>'25'!$BS$10</f>
        <v>0</v>
      </c>
      <c r="BE30" s="55">
        <f>'25'!$BT$10</f>
        <v>0</v>
      </c>
      <c r="BF30" s="55">
        <f>'25'!$BU$10</f>
        <v>0</v>
      </c>
      <c r="BG30" s="55">
        <f>'25'!$BV$10</f>
        <v>0</v>
      </c>
      <c r="BH30" s="55">
        <f>'25'!$BW$10</f>
        <v>0</v>
      </c>
      <c r="BI30" s="55">
        <f>'25'!$BX$10</f>
        <v>0</v>
      </c>
      <c r="BJ30" s="55">
        <f>'25'!$BY$10</f>
        <v>0</v>
      </c>
      <c r="BK30" s="55">
        <f>'25'!$BN$11</f>
        <v>0</v>
      </c>
      <c r="BL30" s="55">
        <f>'25'!$BO$11</f>
        <v>0</v>
      </c>
      <c r="BM30" s="55">
        <f>'25'!$BP$11</f>
        <v>0</v>
      </c>
      <c r="BN30" s="55">
        <f>'25'!$BQ$11</f>
        <v>0</v>
      </c>
      <c r="BO30" s="55">
        <f>'25'!$BR$11</f>
        <v>0</v>
      </c>
      <c r="BP30" s="55">
        <f>'25'!$BS$11</f>
        <v>0</v>
      </c>
      <c r="BQ30" s="55">
        <f>'25'!$BT$11</f>
        <v>0</v>
      </c>
      <c r="BR30" s="55">
        <f>'25'!$BU$11</f>
        <v>0</v>
      </c>
      <c r="BS30" s="55">
        <f>'25'!$BV$11</f>
        <v>0</v>
      </c>
      <c r="BT30" s="55">
        <f>'25'!$BW$11</f>
        <v>0</v>
      </c>
      <c r="BU30" s="55">
        <f>'25'!$BX$11</f>
        <v>0</v>
      </c>
      <c r="BV30" s="55">
        <f>'25'!$BY$11</f>
        <v>0</v>
      </c>
      <c r="BW30" s="55">
        <f>'25'!$BN$12</f>
        <v>0</v>
      </c>
      <c r="BX30" s="55">
        <f>'25'!$BO$12</f>
        <v>0</v>
      </c>
      <c r="BY30" s="55">
        <f>'25'!$BP$12</f>
        <v>0</v>
      </c>
      <c r="BZ30" s="55">
        <f>'25'!$BQ$12</f>
        <v>0</v>
      </c>
      <c r="CA30" s="55">
        <f>'25'!$BR$12</f>
        <v>0</v>
      </c>
      <c r="CB30" s="55">
        <f>'25'!$BS$12</f>
        <v>0</v>
      </c>
      <c r="CC30" s="55">
        <f>'25'!$BT$12</f>
        <v>0</v>
      </c>
      <c r="CD30" s="55">
        <f>'25'!$BU$12</f>
        <v>0</v>
      </c>
      <c r="CE30" s="55">
        <f>'25'!$BV$12</f>
        <v>0</v>
      </c>
      <c r="CF30" s="55">
        <f>'25'!$BW$12</f>
        <v>0</v>
      </c>
      <c r="CG30" s="55">
        <f>'25'!$BX$12</f>
        <v>0</v>
      </c>
      <c r="CH30" s="55">
        <f>'25'!$BY$12</f>
        <v>0</v>
      </c>
      <c r="CI30" s="55">
        <f>'25'!$BN$13</f>
        <v>0</v>
      </c>
      <c r="CJ30" s="55">
        <f>'25'!$BO$13</f>
        <v>0</v>
      </c>
      <c r="CK30" s="55">
        <f>'25'!$BP$13</f>
        <v>0</v>
      </c>
      <c r="CL30" s="55">
        <f>'25'!$BQ$13</f>
        <v>0</v>
      </c>
      <c r="CM30" s="55">
        <f>'25'!$BR$13</f>
        <v>0</v>
      </c>
      <c r="CN30" s="55">
        <f>'25'!$BS$13</f>
        <v>0</v>
      </c>
      <c r="CO30" s="55">
        <f>'25'!$BT$13</f>
        <v>0</v>
      </c>
      <c r="CP30" s="55">
        <f>'25'!$BU$13</f>
        <v>0</v>
      </c>
      <c r="CQ30" s="55">
        <f>'25'!$BV$13</f>
        <v>0</v>
      </c>
      <c r="CR30" s="55">
        <f>'25'!$BW$13</f>
        <v>0</v>
      </c>
      <c r="CS30" s="55">
        <f>'25'!$BX$13</f>
        <v>0</v>
      </c>
      <c r="CT30" s="55">
        <f>'25'!$BY$13</f>
        <v>0</v>
      </c>
      <c r="CU30" s="55">
        <f>'25'!$BN$14</f>
        <v>0</v>
      </c>
      <c r="CV30" s="55">
        <f>'25'!$BO$14</f>
        <v>0</v>
      </c>
      <c r="CW30" s="55">
        <f>'25'!$BP$14</f>
        <v>0</v>
      </c>
      <c r="CX30" s="55">
        <f>'25'!$BQ$14</f>
        <v>0</v>
      </c>
      <c r="CY30" s="55">
        <f>'25'!$BR$14</f>
        <v>0</v>
      </c>
      <c r="CZ30" s="55">
        <f>'25'!$BS$14</f>
        <v>0</v>
      </c>
      <c r="DA30" s="55">
        <f>'25'!$BT$14</f>
        <v>0</v>
      </c>
      <c r="DB30" s="55">
        <f>'25'!$BU$14</f>
        <v>0</v>
      </c>
      <c r="DC30" s="55">
        <f>'25'!$BV$14</f>
        <v>0</v>
      </c>
      <c r="DD30" s="55">
        <f>'25'!$BW$14</f>
        <v>0</v>
      </c>
      <c r="DE30" s="55">
        <f>'25'!$BX$14</f>
        <v>0</v>
      </c>
      <c r="DF30" s="55">
        <f>'25'!$BY$14</f>
        <v>0</v>
      </c>
      <c r="DG30" s="55">
        <f>'25'!$BN$15</f>
        <v>0</v>
      </c>
      <c r="DH30" s="55">
        <f>'25'!$BO$15</f>
        <v>0</v>
      </c>
      <c r="DI30" s="55">
        <f>'25'!$BP$15</f>
        <v>0</v>
      </c>
      <c r="DJ30" s="55">
        <f>'25'!$BQ$15</f>
        <v>0</v>
      </c>
      <c r="DK30" s="55">
        <f>'25'!$BR$15</f>
        <v>0</v>
      </c>
      <c r="DL30" s="55">
        <f>'25'!$BS$15</f>
        <v>0</v>
      </c>
      <c r="DM30" s="55">
        <f>'25'!$BT$15</f>
        <v>0</v>
      </c>
      <c r="DN30" s="55">
        <f>'25'!$BU$15</f>
        <v>0</v>
      </c>
      <c r="DO30" s="55">
        <f>'25'!$BV$15</f>
        <v>0</v>
      </c>
      <c r="DP30" s="55">
        <f>'25'!$BW$15</f>
        <v>0</v>
      </c>
      <c r="DQ30" s="55">
        <f>'25'!$BX$15</f>
        <v>0</v>
      </c>
      <c r="DR30" s="55">
        <f>'25'!$BY$15</f>
        <v>0</v>
      </c>
      <c r="DS30" s="55">
        <f>'25'!$BN$16</f>
        <v>0</v>
      </c>
      <c r="DT30" s="55">
        <f>'25'!$BO$16</f>
        <v>0</v>
      </c>
      <c r="DU30" s="55">
        <f>'25'!$BP$16</f>
        <v>0</v>
      </c>
      <c r="DV30" s="55">
        <f>'25'!$BQ$16</f>
        <v>0</v>
      </c>
      <c r="DW30" s="55">
        <f>'25'!$BR$16</f>
        <v>0</v>
      </c>
      <c r="DX30" s="55">
        <f>'25'!$BS$16</f>
        <v>0</v>
      </c>
      <c r="DY30" s="55">
        <f>'25'!$BT$16</f>
        <v>0</v>
      </c>
      <c r="DZ30" s="55">
        <f>'25'!$BU$16</f>
        <v>0</v>
      </c>
      <c r="EA30" s="55">
        <f>'25'!$BV$16</f>
        <v>0</v>
      </c>
      <c r="EB30" s="55">
        <f>'25'!$BW$16</f>
        <v>0</v>
      </c>
      <c r="EC30" s="55">
        <f>'25'!$BX$16</f>
        <v>0</v>
      </c>
      <c r="ED30" s="55">
        <f>'25'!$BY$16</f>
        <v>0</v>
      </c>
      <c r="EE30" s="55">
        <f>'25'!$BN$17</f>
        <v>0</v>
      </c>
      <c r="EF30" s="55">
        <f>'25'!$BO$17</f>
        <v>0</v>
      </c>
      <c r="EG30" s="55">
        <f>'25'!$BP$17</f>
        <v>0</v>
      </c>
      <c r="EH30" s="55">
        <f>'25'!$BQ$17</f>
        <v>0</v>
      </c>
      <c r="EI30" s="55">
        <f>'25'!$BR$17</f>
        <v>0</v>
      </c>
      <c r="EJ30" s="55">
        <f>'25'!$BS$17</f>
        <v>0</v>
      </c>
      <c r="EK30" s="55">
        <f>'25'!$BT$17</f>
        <v>0</v>
      </c>
      <c r="EL30" s="55">
        <f>'25'!$BU$17</f>
        <v>0</v>
      </c>
      <c r="EM30" s="55">
        <f>'25'!$BV$17</f>
        <v>0</v>
      </c>
      <c r="EN30" s="55">
        <f>'25'!$BW$17</f>
        <v>0</v>
      </c>
      <c r="EO30" s="55">
        <f>'25'!$BX$17</f>
        <v>0</v>
      </c>
      <c r="EP30" s="55">
        <f>'25'!$BY$17</f>
        <v>0</v>
      </c>
      <c r="EQ30" s="55">
        <f>'25'!$BN$18</f>
        <v>0</v>
      </c>
      <c r="ER30" s="55">
        <f>'25'!$BO$18</f>
        <v>0</v>
      </c>
      <c r="ES30" s="55">
        <f>'25'!$BP$18</f>
        <v>0</v>
      </c>
      <c r="ET30" s="55">
        <f>'25'!$BQ$18</f>
        <v>0</v>
      </c>
      <c r="EU30" s="55">
        <f>'25'!$BR$18</f>
        <v>0</v>
      </c>
      <c r="EV30" s="55">
        <f>'25'!$BS$18</f>
        <v>0</v>
      </c>
      <c r="EW30" s="55">
        <f>'25'!$BT$18</f>
        <v>0</v>
      </c>
      <c r="EX30" s="55">
        <f>'25'!$BU$18</f>
        <v>0</v>
      </c>
      <c r="EY30" s="55">
        <f>'25'!$BV$18</f>
        <v>0</v>
      </c>
      <c r="EZ30" s="55">
        <f>'25'!$BW$18</f>
        <v>0</v>
      </c>
      <c r="FA30" s="55">
        <f>'25'!$BX$18</f>
        <v>0</v>
      </c>
      <c r="FB30" s="55">
        <f>'25'!$BY$18</f>
        <v>0</v>
      </c>
      <c r="FC30" s="55">
        <f>'25'!$BN$19</f>
        <v>0</v>
      </c>
      <c r="FD30" s="55">
        <f>'25'!$BO$19</f>
        <v>0</v>
      </c>
      <c r="FE30" s="55">
        <f>'25'!$BP$19</f>
        <v>0</v>
      </c>
      <c r="FF30" s="55">
        <f>'25'!$BQ$19</f>
        <v>0</v>
      </c>
      <c r="FG30" s="55">
        <f>'25'!$BR$19</f>
        <v>0</v>
      </c>
      <c r="FH30" s="55">
        <f>'25'!$BS$19</f>
        <v>0</v>
      </c>
      <c r="FI30" s="55">
        <f>'25'!$BT$19</f>
        <v>0</v>
      </c>
      <c r="FJ30" s="55">
        <f>'25'!$BU$19</f>
        <v>0</v>
      </c>
      <c r="FK30" s="55">
        <f>'25'!$BV$19</f>
        <v>0</v>
      </c>
      <c r="FL30" s="55">
        <f>'25'!$BW$19</f>
        <v>0</v>
      </c>
      <c r="FM30" s="55">
        <f>'25'!$BX$19</f>
        <v>0</v>
      </c>
      <c r="FN30" s="55">
        <f>'25'!$BY$19</f>
        <v>0</v>
      </c>
      <c r="FO30" s="55">
        <f>'25'!$BN$20</f>
        <v>0</v>
      </c>
      <c r="FP30" s="55">
        <f>'25'!$BO$20</f>
        <v>0</v>
      </c>
      <c r="FQ30" s="55">
        <f>'25'!$BP$20</f>
        <v>0</v>
      </c>
      <c r="FR30" s="55">
        <f>'25'!$BQ$20</f>
        <v>0</v>
      </c>
      <c r="FS30" s="55">
        <f>'25'!$BR$20</f>
        <v>0</v>
      </c>
      <c r="FT30" s="55">
        <f>'25'!$BS$20</f>
        <v>0</v>
      </c>
      <c r="FU30" s="55">
        <f>'25'!$BT$20</f>
        <v>0</v>
      </c>
      <c r="FV30" s="55">
        <f>'25'!$BU$20</f>
        <v>0</v>
      </c>
      <c r="FW30" s="55">
        <f>'25'!$BV$20</f>
        <v>0</v>
      </c>
      <c r="FX30" s="55">
        <f>'25'!$BW$20</f>
        <v>0</v>
      </c>
      <c r="FY30" s="55">
        <f>'25'!$BX$20</f>
        <v>0</v>
      </c>
      <c r="FZ30" s="55">
        <f>'25'!$BY$20</f>
        <v>0</v>
      </c>
      <c r="GA30" s="55">
        <f>'25'!$BN$21</f>
        <v>0</v>
      </c>
      <c r="GB30" s="55">
        <f>'25'!$BO$21</f>
        <v>0</v>
      </c>
      <c r="GC30" s="55">
        <f>'25'!$BP$21</f>
        <v>0</v>
      </c>
      <c r="GD30" s="55">
        <f>'25'!$BQ$21</f>
        <v>0</v>
      </c>
      <c r="GE30" s="55">
        <f>'25'!$BR$21</f>
        <v>0</v>
      </c>
      <c r="GF30" s="55">
        <f>'25'!$BS$21</f>
        <v>0</v>
      </c>
      <c r="GG30" s="55">
        <f>'25'!$BT$21</f>
        <v>0</v>
      </c>
      <c r="GH30" s="55">
        <f>'25'!$BU$21</f>
        <v>0</v>
      </c>
      <c r="GI30" s="55">
        <f>'25'!$BV$21</f>
        <v>0</v>
      </c>
      <c r="GJ30" s="55">
        <f>'25'!$BW$21</f>
        <v>0</v>
      </c>
      <c r="GK30" s="55">
        <f>'25'!$BX$21</f>
        <v>0</v>
      </c>
      <c r="GL30" s="55">
        <f>'25'!$BY$21</f>
        <v>0</v>
      </c>
      <c r="GM30" s="55">
        <f>'25'!$BN$22</f>
        <v>0</v>
      </c>
      <c r="GN30" s="55">
        <f>'25'!$BO$22</f>
        <v>0</v>
      </c>
      <c r="GO30" s="55">
        <f>'25'!$BP$22</f>
        <v>0</v>
      </c>
      <c r="GP30" s="55">
        <f>'25'!$BQ$22</f>
        <v>0</v>
      </c>
      <c r="GQ30" s="55">
        <f>'25'!$BR$22</f>
        <v>0</v>
      </c>
      <c r="GR30" s="55">
        <f>'25'!$BS$22</f>
        <v>0</v>
      </c>
      <c r="GS30" s="55">
        <f>'25'!$BT$22</f>
        <v>0</v>
      </c>
      <c r="GT30" s="55">
        <f>'25'!$BU$22</f>
        <v>0</v>
      </c>
      <c r="GU30" s="55">
        <f>'25'!$BV$22</f>
        <v>0</v>
      </c>
      <c r="GV30" s="55">
        <f>'25'!$BW$22</f>
        <v>0</v>
      </c>
      <c r="GW30" s="55">
        <f>'25'!$BX$22</f>
        <v>0</v>
      </c>
      <c r="GX30" s="55">
        <f>'25'!$BY$22</f>
        <v>0</v>
      </c>
      <c r="GY30" s="55">
        <f>'25'!$BN$23</f>
        <v>0</v>
      </c>
      <c r="GZ30" s="55">
        <f>'25'!$BO$23</f>
        <v>0</v>
      </c>
      <c r="HA30" s="55">
        <f>'25'!$BP$23</f>
        <v>0</v>
      </c>
      <c r="HB30" s="55">
        <f>'25'!$BQ$23</f>
        <v>0</v>
      </c>
      <c r="HC30" s="55">
        <f>'25'!$BR$23</f>
        <v>0</v>
      </c>
      <c r="HD30" s="55">
        <f>'25'!$BS$23</f>
        <v>0</v>
      </c>
      <c r="HE30" s="55">
        <f>'25'!$BT$23</f>
        <v>0</v>
      </c>
      <c r="HF30" s="55">
        <f>'25'!$BU$23</f>
        <v>0</v>
      </c>
      <c r="HG30" s="55">
        <f>'25'!$BV$23</f>
        <v>0</v>
      </c>
      <c r="HH30" s="55">
        <f>'25'!$BW$23</f>
        <v>0</v>
      </c>
      <c r="HI30" s="55">
        <f>'25'!$BX$23</f>
        <v>0</v>
      </c>
      <c r="HJ30" s="55">
        <f>'25'!$BY$23</f>
        <v>0</v>
      </c>
      <c r="HK30" s="55">
        <f>'25'!$BN$24</f>
        <v>0</v>
      </c>
      <c r="HL30" s="55">
        <f>'25'!$BO$24</f>
        <v>0</v>
      </c>
      <c r="HM30" s="55">
        <f>'25'!$BP$24</f>
        <v>0</v>
      </c>
      <c r="HN30" s="55">
        <f>'25'!$BQ$24</f>
        <v>0</v>
      </c>
      <c r="HO30" s="55">
        <f>'25'!$BR$24</f>
        <v>0</v>
      </c>
      <c r="HP30" s="55">
        <f>'25'!$BS$24</f>
        <v>0</v>
      </c>
      <c r="HQ30" s="55">
        <f>'25'!$BT$24</f>
        <v>0</v>
      </c>
      <c r="HR30" s="55">
        <f>'25'!$BU$24</f>
        <v>0</v>
      </c>
      <c r="HS30" s="55">
        <f>'25'!$BV$24</f>
        <v>0</v>
      </c>
      <c r="HT30" s="55">
        <f>'25'!$BW$24</f>
        <v>0</v>
      </c>
      <c r="HU30" s="55">
        <f>'25'!$BX$24</f>
        <v>0</v>
      </c>
      <c r="HV30" s="55">
        <f>'25'!$BY$24</f>
        <v>0</v>
      </c>
      <c r="HW30" s="55">
        <f>'25'!$BN$25</f>
        <v>0</v>
      </c>
      <c r="HX30" s="55">
        <f>'25'!$BO$25</f>
        <v>0</v>
      </c>
      <c r="HY30" s="55">
        <f>'25'!$BP$25</f>
        <v>0</v>
      </c>
      <c r="HZ30" s="55">
        <f>'25'!$BQ$25</f>
        <v>0</v>
      </c>
      <c r="IA30" s="55">
        <f>'25'!$BR$25</f>
        <v>0</v>
      </c>
      <c r="IB30" s="55">
        <f>'25'!$BS$25</f>
        <v>0</v>
      </c>
      <c r="IC30" s="55">
        <f>'25'!$BT$25</f>
        <v>0</v>
      </c>
      <c r="ID30" s="55">
        <f>'25'!$BU$25</f>
        <v>0</v>
      </c>
      <c r="IE30" s="55">
        <f>'25'!$BV$25</f>
        <v>0</v>
      </c>
      <c r="IF30" s="55">
        <f>'25'!$BW$25</f>
        <v>0</v>
      </c>
      <c r="IG30" s="55">
        <f>'25'!$BX$25</f>
        <v>0</v>
      </c>
      <c r="IH30" s="55">
        <f>'25'!$BY$25</f>
        <v>0</v>
      </c>
      <c r="II30" s="55">
        <f>'25'!$BN$26</f>
        <v>0</v>
      </c>
      <c r="IJ30" s="55">
        <f>'25'!$BO$26</f>
        <v>0</v>
      </c>
      <c r="IK30" s="55">
        <f>'25'!$BP$26</f>
        <v>0</v>
      </c>
      <c r="IL30" s="55">
        <f>'25'!$BQ$26</f>
        <v>0</v>
      </c>
      <c r="IM30" s="55">
        <f>'25'!$BR$26</f>
        <v>0</v>
      </c>
      <c r="IN30" s="55">
        <f>'25'!$BS$26</f>
        <v>0</v>
      </c>
      <c r="IO30" s="55">
        <f>'25'!$BT$26</f>
        <v>0</v>
      </c>
      <c r="IP30" s="55">
        <f>'25'!$BU$26</f>
        <v>0</v>
      </c>
      <c r="IQ30" s="55">
        <f>'25'!$BV$26</f>
        <v>0</v>
      </c>
      <c r="IR30" s="55">
        <f>'25'!$BW$26</f>
        <v>0</v>
      </c>
      <c r="IS30" s="55">
        <f>'25'!$BX$26</f>
        <v>0</v>
      </c>
      <c r="IT30" s="55">
        <f>'25'!$BY$26</f>
        <v>0</v>
      </c>
      <c r="IU30" s="55">
        <f>'25'!$BN$27</f>
        <v>0</v>
      </c>
      <c r="IV30" s="55">
        <f>'25'!$BO$27</f>
        <v>0</v>
      </c>
      <c r="IW30" s="55">
        <f>'25'!$BP$27</f>
        <v>0</v>
      </c>
      <c r="IX30" s="55">
        <f>'25'!$BQ$27</f>
        <v>0</v>
      </c>
      <c r="IY30" s="55">
        <f>'25'!$BR$27</f>
        <v>0</v>
      </c>
      <c r="IZ30" s="55">
        <f>'25'!$BS$27</f>
        <v>0</v>
      </c>
      <c r="JA30" s="55">
        <f>'25'!$BT$27</f>
        <v>0</v>
      </c>
      <c r="JB30" s="55">
        <f>'25'!$BU$27</f>
        <v>0</v>
      </c>
      <c r="JC30" s="55">
        <f>'25'!$BV$27</f>
        <v>0</v>
      </c>
      <c r="JD30" s="55">
        <f>'25'!$BW$27</f>
        <v>0</v>
      </c>
      <c r="JE30" s="55">
        <f>'25'!$BX$27</f>
        <v>0</v>
      </c>
      <c r="JF30" s="55">
        <f>'25'!$BY$27</f>
        <v>0</v>
      </c>
      <c r="JG30" s="55">
        <f>'25'!$BN$28</f>
        <v>0</v>
      </c>
      <c r="JH30" s="55">
        <f>'25'!$BO$28</f>
        <v>0</v>
      </c>
      <c r="JI30" s="55">
        <f>'25'!$BP$28</f>
        <v>0</v>
      </c>
      <c r="JJ30" s="55">
        <f>'25'!$BQ$28</f>
        <v>0</v>
      </c>
      <c r="JK30" s="55">
        <f>'25'!$BR$28</f>
        <v>0</v>
      </c>
      <c r="JL30" s="55">
        <f>'25'!$BS$28</f>
        <v>0</v>
      </c>
      <c r="JM30" s="55">
        <f>'25'!$BT$28</f>
        <v>0</v>
      </c>
      <c r="JN30" s="55">
        <f>'25'!$BU$28</f>
        <v>0</v>
      </c>
      <c r="JO30" s="55">
        <f>'25'!$BV$28</f>
        <v>0</v>
      </c>
      <c r="JP30" s="55">
        <f>'25'!$BW$28</f>
        <v>0</v>
      </c>
      <c r="JQ30" s="55">
        <f>'25'!$BX$28</f>
        <v>0</v>
      </c>
      <c r="JR30" s="55">
        <f>'25'!$BY$28</f>
        <v>0</v>
      </c>
      <c r="JS30" s="55">
        <f>'25'!$BN$29</f>
        <v>0</v>
      </c>
      <c r="JT30" s="55">
        <f>'25'!$BO$29</f>
        <v>0</v>
      </c>
      <c r="JU30" s="55">
        <f>'25'!$BP$29</f>
        <v>0</v>
      </c>
      <c r="JV30" s="55">
        <f>'25'!$BQ$29</f>
        <v>0</v>
      </c>
      <c r="JW30" s="55">
        <f>'25'!$BR$29</f>
        <v>0</v>
      </c>
      <c r="JX30" s="55">
        <f>'25'!$BS$29</f>
        <v>0</v>
      </c>
      <c r="JY30" s="55">
        <f>'25'!$BT$29</f>
        <v>0</v>
      </c>
      <c r="JZ30" s="55">
        <f>'25'!$BU$29</f>
        <v>0</v>
      </c>
      <c r="KA30" s="55">
        <f>'25'!$BV$29</f>
        <v>0</v>
      </c>
      <c r="KB30" s="55">
        <f>'25'!$BW$29</f>
        <v>0</v>
      </c>
      <c r="KC30" s="55">
        <f>'25'!$BX$29</f>
        <v>0</v>
      </c>
      <c r="KD30" s="55">
        <f>'25'!$BY$29</f>
        <v>0</v>
      </c>
    </row>
    <row r="31" spans="1:290" ht="15" x14ac:dyDescent="0.25">
      <c r="A31" s="50">
        <v>46199</v>
      </c>
      <c r="B31" s="52"/>
      <c r="C31" s="55">
        <f>'26'!$BN$6</f>
        <v>0</v>
      </c>
      <c r="D31" s="55">
        <f>'26'!$BO$6</f>
        <v>0</v>
      </c>
      <c r="E31" s="55">
        <f>'26'!$BP$6</f>
        <v>0</v>
      </c>
      <c r="F31" s="55">
        <f>'26'!$BQ$6</f>
        <v>0</v>
      </c>
      <c r="G31" s="55">
        <f>'26'!$BR$6</f>
        <v>0</v>
      </c>
      <c r="H31" s="55">
        <f>'26'!$BS$6</f>
        <v>0</v>
      </c>
      <c r="I31" s="55">
        <f>'26'!$BT$6</f>
        <v>0</v>
      </c>
      <c r="J31" s="55">
        <f>'26'!$BU$6</f>
        <v>0</v>
      </c>
      <c r="K31" s="55">
        <f>'26'!$BV$6</f>
        <v>0</v>
      </c>
      <c r="L31" s="55">
        <f>'26'!$BW$6</f>
        <v>0</v>
      </c>
      <c r="M31" s="55">
        <f>'26'!$BX$6</f>
        <v>0</v>
      </c>
      <c r="N31" s="55">
        <f>'26'!$BY$6</f>
        <v>0</v>
      </c>
      <c r="O31" s="55">
        <f>'26'!$BN$7</f>
        <v>0</v>
      </c>
      <c r="P31" s="55">
        <f>'26'!$BO$7</f>
        <v>0</v>
      </c>
      <c r="Q31" s="55">
        <f>'26'!$BP$7</f>
        <v>0</v>
      </c>
      <c r="R31" s="55">
        <f>'26'!$BQ$7</f>
        <v>0</v>
      </c>
      <c r="S31" s="55">
        <f>'26'!$BR$7</f>
        <v>0</v>
      </c>
      <c r="T31" s="55">
        <f>'26'!$BS$7</f>
        <v>0</v>
      </c>
      <c r="U31" s="55">
        <f>'26'!$BT$7</f>
        <v>0</v>
      </c>
      <c r="V31" s="55">
        <f>'26'!$BU$7</f>
        <v>0</v>
      </c>
      <c r="W31" s="55">
        <f>'26'!$BV$7</f>
        <v>0</v>
      </c>
      <c r="X31" s="55">
        <f>'26'!$BW$7</f>
        <v>0</v>
      </c>
      <c r="Y31" s="55">
        <f>'26'!$BX$7</f>
        <v>0</v>
      </c>
      <c r="Z31" s="55">
        <f>'26'!$BY$7</f>
        <v>0</v>
      </c>
      <c r="AA31" s="55">
        <f>'26'!$BN$8</f>
        <v>0</v>
      </c>
      <c r="AB31" s="55">
        <f>'26'!$BO$8</f>
        <v>0</v>
      </c>
      <c r="AC31" s="55">
        <f>'26'!$BP$8</f>
        <v>0</v>
      </c>
      <c r="AD31" s="55">
        <f>'26'!$BQ$8</f>
        <v>0</v>
      </c>
      <c r="AE31" s="55">
        <f>'26'!$BR$8</f>
        <v>0</v>
      </c>
      <c r="AF31" s="55">
        <f>'26'!$BS$8</f>
        <v>0</v>
      </c>
      <c r="AG31" s="55">
        <f>'26'!$BT$8</f>
        <v>0</v>
      </c>
      <c r="AH31" s="55">
        <f>'26'!$BU$8</f>
        <v>0</v>
      </c>
      <c r="AI31" s="55">
        <f>'26'!$BV$8</f>
        <v>0</v>
      </c>
      <c r="AJ31" s="55">
        <f>'26'!$BW$8</f>
        <v>0</v>
      </c>
      <c r="AK31" s="55">
        <f>'26'!$BX$8</f>
        <v>0</v>
      </c>
      <c r="AL31" s="55">
        <f>'26'!$BY$8</f>
        <v>0</v>
      </c>
      <c r="AM31" s="55">
        <f>'26'!$BN$9</f>
        <v>0</v>
      </c>
      <c r="AN31" s="55">
        <f>'26'!$BO$9</f>
        <v>0</v>
      </c>
      <c r="AO31" s="55">
        <f>'26'!$BP$9</f>
        <v>0</v>
      </c>
      <c r="AP31" s="55">
        <f>'26'!$BQ$9</f>
        <v>0</v>
      </c>
      <c r="AQ31" s="55">
        <f>'26'!$BR$9</f>
        <v>0</v>
      </c>
      <c r="AR31" s="55">
        <f>'26'!$BS$9</f>
        <v>0</v>
      </c>
      <c r="AS31" s="55">
        <f>'26'!$BT$9</f>
        <v>0</v>
      </c>
      <c r="AT31" s="55">
        <f>'26'!$BU$9</f>
        <v>0</v>
      </c>
      <c r="AU31" s="55">
        <f>'26'!$BV$9</f>
        <v>0</v>
      </c>
      <c r="AV31" s="55">
        <f>'26'!$BW$9</f>
        <v>0</v>
      </c>
      <c r="AW31" s="55">
        <f>'26'!$BX$9</f>
        <v>0</v>
      </c>
      <c r="AX31" s="55">
        <f>'26'!$BY$9</f>
        <v>0</v>
      </c>
      <c r="AY31" s="55">
        <f>'26'!$BN$10</f>
        <v>0</v>
      </c>
      <c r="AZ31" s="55">
        <f>'26'!$BO$10</f>
        <v>0</v>
      </c>
      <c r="BA31" s="55">
        <f>'26'!$BP$10</f>
        <v>0</v>
      </c>
      <c r="BB31" s="55">
        <f>'26'!$BQ$10</f>
        <v>0</v>
      </c>
      <c r="BC31" s="55">
        <f>'26'!$BR$10</f>
        <v>0</v>
      </c>
      <c r="BD31" s="55">
        <f>'26'!$BS$10</f>
        <v>0</v>
      </c>
      <c r="BE31" s="55">
        <f>'26'!$BT$10</f>
        <v>0</v>
      </c>
      <c r="BF31" s="55">
        <f>'26'!$BU$10</f>
        <v>0</v>
      </c>
      <c r="BG31" s="55">
        <f>'26'!$BV$10</f>
        <v>0</v>
      </c>
      <c r="BH31" s="55">
        <f>'26'!$BW$10</f>
        <v>0</v>
      </c>
      <c r="BI31" s="55">
        <f>'26'!$BX$10</f>
        <v>0</v>
      </c>
      <c r="BJ31" s="55">
        <f>'26'!$BY$10</f>
        <v>0</v>
      </c>
      <c r="BK31" s="55">
        <f>'26'!$BN$11</f>
        <v>0</v>
      </c>
      <c r="BL31" s="55">
        <f>'26'!$BO$11</f>
        <v>0</v>
      </c>
      <c r="BM31" s="55">
        <f>'26'!$BP$11</f>
        <v>0</v>
      </c>
      <c r="BN31" s="55">
        <f>'26'!$BQ$11</f>
        <v>0</v>
      </c>
      <c r="BO31" s="55">
        <f>'26'!$BR$11</f>
        <v>0</v>
      </c>
      <c r="BP31" s="55">
        <f>'26'!$BS$11</f>
        <v>0</v>
      </c>
      <c r="BQ31" s="55">
        <f>'26'!$BT$11</f>
        <v>0</v>
      </c>
      <c r="BR31" s="55">
        <f>'26'!$BU$11</f>
        <v>0</v>
      </c>
      <c r="BS31" s="55">
        <f>'26'!$BV$11</f>
        <v>0</v>
      </c>
      <c r="BT31" s="55">
        <f>'26'!$BW$11</f>
        <v>0</v>
      </c>
      <c r="BU31" s="55">
        <f>'26'!$BX$11</f>
        <v>0</v>
      </c>
      <c r="BV31" s="55">
        <f>'26'!$BY$11</f>
        <v>0</v>
      </c>
      <c r="BW31" s="55">
        <f>'26'!$BN$12</f>
        <v>0</v>
      </c>
      <c r="BX31" s="55">
        <f>'26'!$BO$12</f>
        <v>0</v>
      </c>
      <c r="BY31" s="55">
        <f>'26'!$BP$12</f>
        <v>0</v>
      </c>
      <c r="BZ31" s="55">
        <f>'26'!$BQ$12</f>
        <v>0</v>
      </c>
      <c r="CA31" s="55">
        <f>'26'!$BR$12</f>
        <v>0</v>
      </c>
      <c r="CB31" s="55">
        <f>'26'!$BS$12</f>
        <v>0</v>
      </c>
      <c r="CC31" s="55">
        <f>'26'!$BT$12</f>
        <v>0</v>
      </c>
      <c r="CD31" s="55">
        <f>'26'!$BU$12</f>
        <v>0</v>
      </c>
      <c r="CE31" s="55">
        <f>'26'!$BV$12</f>
        <v>0</v>
      </c>
      <c r="CF31" s="55">
        <f>'26'!$BW$12</f>
        <v>0</v>
      </c>
      <c r="CG31" s="55">
        <f>'26'!$BX$12</f>
        <v>0</v>
      </c>
      <c r="CH31" s="55">
        <f>'26'!$BY$12</f>
        <v>0</v>
      </c>
      <c r="CI31" s="55">
        <f>'26'!$BN$13</f>
        <v>0</v>
      </c>
      <c r="CJ31" s="55">
        <f>'26'!$BO$13</f>
        <v>0</v>
      </c>
      <c r="CK31" s="55">
        <f>'26'!$BP$13</f>
        <v>0</v>
      </c>
      <c r="CL31" s="55">
        <f>'26'!$BQ$13</f>
        <v>0</v>
      </c>
      <c r="CM31" s="55">
        <f>'26'!$BR$13</f>
        <v>0</v>
      </c>
      <c r="CN31" s="55">
        <f>'26'!$BS$13</f>
        <v>0</v>
      </c>
      <c r="CO31" s="55">
        <f>'26'!$BT$13</f>
        <v>0</v>
      </c>
      <c r="CP31" s="55">
        <f>'26'!$BU$13</f>
        <v>0</v>
      </c>
      <c r="CQ31" s="55">
        <f>'26'!$BV$13</f>
        <v>0</v>
      </c>
      <c r="CR31" s="55">
        <f>'26'!$BW$13</f>
        <v>0</v>
      </c>
      <c r="CS31" s="55">
        <f>'26'!$BX$13</f>
        <v>0</v>
      </c>
      <c r="CT31" s="55">
        <f>'26'!$BY$13</f>
        <v>0</v>
      </c>
      <c r="CU31" s="55">
        <f>'26'!$BN$14</f>
        <v>0</v>
      </c>
      <c r="CV31" s="55">
        <f>'26'!$BO$14</f>
        <v>0</v>
      </c>
      <c r="CW31" s="55">
        <f>'26'!$BP$14</f>
        <v>0</v>
      </c>
      <c r="CX31" s="55">
        <f>'26'!$BQ$14</f>
        <v>0</v>
      </c>
      <c r="CY31" s="55">
        <f>'26'!$BR$14</f>
        <v>0</v>
      </c>
      <c r="CZ31" s="55">
        <f>'26'!$BS$14</f>
        <v>0</v>
      </c>
      <c r="DA31" s="55">
        <f>'26'!$BT$14</f>
        <v>0</v>
      </c>
      <c r="DB31" s="55">
        <f>'26'!$BU$14</f>
        <v>0</v>
      </c>
      <c r="DC31" s="55">
        <f>'26'!$BV$14</f>
        <v>0</v>
      </c>
      <c r="DD31" s="55">
        <f>'26'!$BW$14</f>
        <v>0</v>
      </c>
      <c r="DE31" s="55">
        <f>'26'!$BX$14</f>
        <v>0</v>
      </c>
      <c r="DF31" s="55">
        <f>'26'!$BY$14</f>
        <v>0</v>
      </c>
      <c r="DG31" s="55">
        <f>'26'!$BN$15</f>
        <v>0</v>
      </c>
      <c r="DH31" s="55">
        <f>'26'!$BO$15</f>
        <v>0</v>
      </c>
      <c r="DI31" s="55">
        <f>'26'!$BP$15</f>
        <v>0</v>
      </c>
      <c r="DJ31" s="55">
        <f>'26'!$BQ$15</f>
        <v>0</v>
      </c>
      <c r="DK31" s="55">
        <f>'26'!$BR$15</f>
        <v>0</v>
      </c>
      <c r="DL31" s="55">
        <f>'26'!$BS$15</f>
        <v>0</v>
      </c>
      <c r="DM31" s="55">
        <f>'26'!$BT$15</f>
        <v>0</v>
      </c>
      <c r="DN31" s="55">
        <f>'26'!$BU$15</f>
        <v>0</v>
      </c>
      <c r="DO31" s="55">
        <f>'26'!$BV$15</f>
        <v>0</v>
      </c>
      <c r="DP31" s="55">
        <f>'26'!$BW$15</f>
        <v>0</v>
      </c>
      <c r="DQ31" s="55">
        <f>'26'!$BX$15</f>
        <v>0</v>
      </c>
      <c r="DR31" s="55">
        <f>'26'!$BY$15</f>
        <v>0</v>
      </c>
      <c r="DS31" s="55">
        <f>'26'!$BN$16</f>
        <v>0</v>
      </c>
      <c r="DT31" s="55">
        <f>'26'!$BO$16</f>
        <v>0</v>
      </c>
      <c r="DU31" s="55">
        <f>'26'!$BP$16</f>
        <v>0</v>
      </c>
      <c r="DV31" s="55">
        <f>'26'!$BQ$16</f>
        <v>0</v>
      </c>
      <c r="DW31" s="55">
        <f>'26'!$BR$16</f>
        <v>0</v>
      </c>
      <c r="DX31" s="55">
        <f>'26'!$BS$16</f>
        <v>0</v>
      </c>
      <c r="DY31" s="55">
        <f>'26'!$BT$16</f>
        <v>0</v>
      </c>
      <c r="DZ31" s="55">
        <f>'26'!$BU$16</f>
        <v>0</v>
      </c>
      <c r="EA31" s="55">
        <f>'26'!$BV$16</f>
        <v>0</v>
      </c>
      <c r="EB31" s="55">
        <f>'26'!$BW$16</f>
        <v>0</v>
      </c>
      <c r="EC31" s="55">
        <f>'26'!$BX$16</f>
        <v>0</v>
      </c>
      <c r="ED31" s="55">
        <f>'26'!$BY$16</f>
        <v>0</v>
      </c>
      <c r="EE31" s="55">
        <f>'26'!$BN$17</f>
        <v>0</v>
      </c>
      <c r="EF31" s="55">
        <f>'26'!$BO$17</f>
        <v>0</v>
      </c>
      <c r="EG31" s="55">
        <f>'26'!$BP$17</f>
        <v>0</v>
      </c>
      <c r="EH31" s="55">
        <f>'26'!$BQ$17</f>
        <v>0</v>
      </c>
      <c r="EI31" s="55">
        <f>'26'!$BR$17</f>
        <v>0</v>
      </c>
      <c r="EJ31" s="55">
        <f>'26'!$BS$17</f>
        <v>0</v>
      </c>
      <c r="EK31" s="55">
        <f>'26'!$BT$17</f>
        <v>0</v>
      </c>
      <c r="EL31" s="55">
        <f>'26'!$BU$17</f>
        <v>0</v>
      </c>
      <c r="EM31" s="55">
        <f>'26'!$BV$17</f>
        <v>0</v>
      </c>
      <c r="EN31" s="55">
        <f>'26'!$BW$17</f>
        <v>0</v>
      </c>
      <c r="EO31" s="55">
        <f>'26'!$BX$17</f>
        <v>0</v>
      </c>
      <c r="EP31" s="55">
        <f>'26'!$BY$17</f>
        <v>0</v>
      </c>
      <c r="EQ31" s="55">
        <f>'26'!$BN$18</f>
        <v>0</v>
      </c>
      <c r="ER31" s="55">
        <f>'26'!$BO$18</f>
        <v>0</v>
      </c>
      <c r="ES31" s="55">
        <f>'26'!$BP$18</f>
        <v>0</v>
      </c>
      <c r="ET31" s="55">
        <f>'26'!$BQ$18</f>
        <v>0</v>
      </c>
      <c r="EU31" s="55">
        <f>'26'!$BR$18</f>
        <v>0</v>
      </c>
      <c r="EV31" s="55">
        <f>'26'!$BS$18</f>
        <v>0</v>
      </c>
      <c r="EW31" s="55">
        <f>'26'!$BT$18</f>
        <v>0</v>
      </c>
      <c r="EX31" s="55">
        <f>'26'!$BU$18</f>
        <v>0</v>
      </c>
      <c r="EY31" s="55">
        <f>'26'!$BV$18</f>
        <v>0</v>
      </c>
      <c r="EZ31" s="55">
        <f>'26'!$BW$18</f>
        <v>0</v>
      </c>
      <c r="FA31" s="55">
        <f>'26'!$BX$18</f>
        <v>0</v>
      </c>
      <c r="FB31" s="55">
        <f>'26'!$BY$18</f>
        <v>0</v>
      </c>
      <c r="FC31" s="55">
        <f>'26'!$BN$19</f>
        <v>0</v>
      </c>
      <c r="FD31" s="55">
        <f>'26'!$BO$19</f>
        <v>0</v>
      </c>
      <c r="FE31" s="55">
        <f>'26'!$BP$19</f>
        <v>0</v>
      </c>
      <c r="FF31" s="55">
        <f>'26'!$BQ$19</f>
        <v>0</v>
      </c>
      <c r="FG31" s="55">
        <f>'26'!$BR$19</f>
        <v>0</v>
      </c>
      <c r="FH31" s="55">
        <f>'26'!$BS$19</f>
        <v>0</v>
      </c>
      <c r="FI31" s="55">
        <f>'26'!$BT$19</f>
        <v>0</v>
      </c>
      <c r="FJ31" s="55">
        <f>'26'!$BU$19</f>
        <v>0</v>
      </c>
      <c r="FK31" s="55">
        <f>'26'!$BV$19</f>
        <v>0</v>
      </c>
      <c r="FL31" s="55">
        <f>'26'!$BW$19</f>
        <v>0</v>
      </c>
      <c r="FM31" s="55">
        <f>'26'!$BX$19</f>
        <v>0</v>
      </c>
      <c r="FN31" s="55">
        <f>'26'!$BY$19</f>
        <v>0</v>
      </c>
      <c r="FO31" s="55">
        <f>'26'!$BN$20</f>
        <v>0</v>
      </c>
      <c r="FP31" s="55">
        <f>'26'!$BO$20</f>
        <v>0</v>
      </c>
      <c r="FQ31" s="55">
        <f>'26'!$BP$20</f>
        <v>0</v>
      </c>
      <c r="FR31" s="55">
        <f>'26'!$BQ$20</f>
        <v>0</v>
      </c>
      <c r="FS31" s="55">
        <f>'26'!$BR$20</f>
        <v>0</v>
      </c>
      <c r="FT31" s="55">
        <f>'26'!$BS$20</f>
        <v>0</v>
      </c>
      <c r="FU31" s="55">
        <f>'26'!$BT$20</f>
        <v>0</v>
      </c>
      <c r="FV31" s="55">
        <f>'26'!$BU$20</f>
        <v>0</v>
      </c>
      <c r="FW31" s="55">
        <f>'26'!$BV$20</f>
        <v>0</v>
      </c>
      <c r="FX31" s="55">
        <f>'26'!$BW$20</f>
        <v>0</v>
      </c>
      <c r="FY31" s="55">
        <f>'26'!$BX$20</f>
        <v>0</v>
      </c>
      <c r="FZ31" s="55">
        <f>'26'!$BY$20</f>
        <v>0</v>
      </c>
      <c r="GA31" s="55">
        <f>'26'!$BN$21</f>
        <v>0</v>
      </c>
      <c r="GB31" s="55">
        <f>'26'!$BO$21</f>
        <v>0</v>
      </c>
      <c r="GC31" s="55">
        <f>'26'!$BP$21</f>
        <v>0</v>
      </c>
      <c r="GD31" s="55">
        <f>'26'!$BQ$21</f>
        <v>0</v>
      </c>
      <c r="GE31" s="55">
        <f>'26'!$BR$21</f>
        <v>0</v>
      </c>
      <c r="GF31" s="55">
        <f>'26'!$BS$21</f>
        <v>0</v>
      </c>
      <c r="GG31" s="55">
        <f>'26'!$BT$21</f>
        <v>0</v>
      </c>
      <c r="GH31" s="55">
        <f>'26'!$BU$21</f>
        <v>0</v>
      </c>
      <c r="GI31" s="55">
        <f>'26'!$BV$21</f>
        <v>0</v>
      </c>
      <c r="GJ31" s="55">
        <f>'26'!$BW$21</f>
        <v>0</v>
      </c>
      <c r="GK31" s="55">
        <f>'26'!$BX$21</f>
        <v>0</v>
      </c>
      <c r="GL31" s="55">
        <f>'26'!$BY$21</f>
        <v>0</v>
      </c>
      <c r="GM31" s="55">
        <f>'26'!$BN$22</f>
        <v>0</v>
      </c>
      <c r="GN31" s="55">
        <f>'26'!$BO$22</f>
        <v>0</v>
      </c>
      <c r="GO31" s="55">
        <f>'26'!$BP$22</f>
        <v>0</v>
      </c>
      <c r="GP31" s="55">
        <f>'26'!$BQ$22</f>
        <v>0</v>
      </c>
      <c r="GQ31" s="55">
        <f>'26'!$BR$22</f>
        <v>0</v>
      </c>
      <c r="GR31" s="55">
        <f>'26'!$BS$22</f>
        <v>0</v>
      </c>
      <c r="GS31" s="55">
        <f>'26'!$BT$22</f>
        <v>0</v>
      </c>
      <c r="GT31" s="55">
        <f>'26'!$BU$22</f>
        <v>0</v>
      </c>
      <c r="GU31" s="55">
        <f>'26'!$BV$22</f>
        <v>0</v>
      </c>
      <c r="GV31" s="55">
        <f>'26'!$BW$22</f>
        <v>0</v>
      </c>
      <c r="GW31" s="55">
        <f>'26'!$BX$22</f>
        <v>0</v>
      </c>
      <c r="GX31" s="55">
        <f>'26'!$BY$22</f>
        <v>0</v>
      </c>
      <c r="GY31" s="55">
        <f>'26'!$BN$23</f>
        <v>0</v>
      </c>
      <c r="GZ31" s="55">
        <f>'26'!$BO$23</f>
        <v>0</v>
      </c>
      <c r="HA31" s="55">
        <f>'26'!$BP$23</f>
        <v>0</v>
      </c>
      <c r="HB31" s="55">
        <f>'26'!$BQ$23</f>
        <v>0</v>
      </c>
      <c r="HC31" s="55">
        <f>'26'!$BR$23</f>
        <v>0</v>
      </c>
      <c r="HD31" s="55">
        <f>'26'!$BS$23</f>
        <v>0</v>
      </c>
      <c r="HE31" s="55">
        <f>'26'!$BT$23</f>
        <v>0</v>
      </c>
      <c r="HF31" s="55">
        <f>'26'!$BU$23</f>
        <v>0</v>
      </c>
      <c r="HG31" s="55">
        <f>'26'!$BV$23</f>
        <v>0</v>
      </c>
      <c r="HH31" s="55">
        <f>'26'!$BW$23</f>
        <v>0</v>
      </c>
      <c r="HI31" s="55">
        <f>'26'!$BX$23</f>
        <v>0</v>
      </c>
      <c r="HJ31" s="55">
        <f>'26'!$BY$23</f>
        <v>0</v>
      </c>
      <c r="HK31" s="55">
        <f>'26'!$BN$24</f>
        <v>0</v>
      </c>
      <c r="HL31" s="55">
        <f>'26'!$BO$24</f>
        <v>0</v>
      </c>
      <c r="HM31" s="55">
        <f>'26'!$BP$24</f>
        <v>0</v>
      </c>
      <c r="HN31" s="55">
        <f>'26'!$BQ$24</f>
        <v>0</v>
      </c>
      <c r="HO31" s="55">
        <f>'26'!$BR$24</f>
        <v>0</v>
      </c>
      <c r="HP31" s="55">
        <f>'26'!$BS$24</f>
        <v>0</v>
      </c>
      <c r="HQ31" s="55">
        <f>'26'!$BT$24</f>
        <v>0</v>
      </c>
      <c r="HR31" s="55">
        <f>'26'!$BU$24</f>
        <v>0</v>
      </c>
      <c r="HS31" s="55">
        <f>'26'!$BV$24</f>
        <v>0</v>
      </c>
      <c r="HT31" s="55">
        <f>'26'!$BW$24</f>
        <v>0</v>
      </c>
      <c r="HU31" s="55">
        <f>'26'!$BX$24</f>
        <v>0</v>
      </c>
      <c r="HV31" s="55">
        <f>'26'!$BY$24</f>
        <v>0</v>
      </c>
      <c r="HW31" s="55">
        <f>'26'!$BN$25</f>
        <v>0</v>
      </c>
      <c r="HX31" s="55">
        <f>'26'!$BO$25</f>
        <v>0</v>
      </c>
      <c r="HY31" s="55">
        <f>'26'!$BP$25</f>
        <v>0</v>
      </c>
      <c r="HZ31" s="55">
        <f>'26'!$BQ$25</f>
        <v>0</v>
      </c>
      <c r="IA31" s="55">
        <f>'26'!$BR$25</f>
        <v>0</v>
      </c>
      <c r="IB31" s="55">
        <f>'26'!$BS$25</f>
        <v>0</v>
      </c>
      <c r="IC31" s="55">
        <f>'26'!$BT$25</f>
        <v>0</v>
      </c>
      <c r="ID31" s="55">
        <f>'26'!$BU$25</f>
        <v>0</v>
      </c>
      <c r="IE31" s="55">
        <f>'26'!$BV$25</f>
        <v>0</v>
      </c>
      <c r="IF31" s="55">
        <f>'26'!$BW$25</f>
        <v>0</v>
      </c>
      <c r="IG31" s="55">
        <f>'26'!$BX$25</f>
        <v>0</v>
      </c>
      <c r="IH31" s="55">
        <f>'26'!$BY$25</f>
        <v>0</v>
      </c>
      <c r="II31" s="55">
        <f>'26'!$BN$26</f>
        <v>0</v>
      </c>
      <c r="IJ31" s="55">
        <f>'26'!$BO$26</f>
        <v>0</v>
      </c>
      <c r="IK31" s="55">
        <f>'26'!$BP$26</f>
        <v>0</v>
      </c>
      <c r="IL31" s="55">
        <f>'26'!$BQ$26</f>
        <v>0</v>
      </c>
      <c r="IM31" s="55">
        <f>'26'!$BR$26</f>
        <v>0</v>
      </c>
      <c r="IN31" s="55">
        <f>'26'!$BS$26</f>
        <v>0</v>
      </c>
      <c r="IO31" s="55">
        <f>'26'!$BT$26</f>
        <v>0</v>
      </c>
      <c r="IP31" s="55">
        <f>'26'!$BU$26</f>
        <v>0</v>
      </c>
      <c r="IQ31" s="55">
        <f>'26'!$BV$26</f>
        <v>0</v>
      </c>
      <c r="IR31" s="55">
        <f>'26'!$BW$26</f>
        <v>0</v>
      </c>
      <c r="IS31" s="55">
        <f>'26'!$BX$26</f>
        <v>0</v>
      </c>
      <c r="IT31" s="55">
        <f>'26'!$BY$26</f>
        <v>0</v>
      </c>
      <c r="IU31" s="55">
        <f>'26'!$BN$27</f>
        <v>0</v>
      </c>
      <c r="IV31" s="55">
        <f>'26'!$BO$27</f>
        <v>0</v>
      </c>
      <c r="IW31" s="55">
        <f>'26'!$BP$27</f>
        <v>0</v>
      </c>
      <c r="IX31" s="55">
        <f>'26'!$BQ$27</f>
        <v>0</v>
      </c>
      <c r="IY31" s="55">
        <f>'26'!$BR$27</f>
        <v>0</v>
      </c>
      <c r="IZ31" s="55">
        <f>'26'!$BS$27</f>
        <v>0</v>
      </c>
      <c r="JA31" s="55">
        <f>'26'!$BT$27</f>
        <v>0</v>
      </c>
      <c r="JB31" s="55">
        <f>'26'!$BU$27</f>
        <v>0</v>
      </c>
      <c r="JC31" s="55">
        <f>'26'!$BV$27</f>
        <v>0</v>
      </c>
      <c r="JD31" s="55">
        <f>'26'!$BW$27</f>
        <v>0</v>
      </c>
      <c r="JE31" s="55">
        <f>'26'!$BX$27</f>
        <v>0</v>
      </c>
      <c r="JF31" s="55">
        <f>'26'!$BY$27</f>
        <v>0</v>
      </c>
      <c r="JG31" s="55">
        <f>'26'!$BN$28</f>
        <v>0</v>
      </c>
      <c r="JH31" s="55">
        <f>'26'!$BO$28</f>
        <v>0</v>
      </c>
      <c r="JI31" s="55">
        <f>'26'!$BP$28</f>
        <v>0</v>
      </c>
      <c r="JJ31" s="55">
        <f>'26'!$BQ$28</f>
        <v>0</v>
      </c>
      <c r="JK31" s="55">
        <f>'26'!$BR$28</f>
        <v>0</v>
      </c>
      <c r="JL31" s="55">
        <f>'26'!$BS$28</f>
        <v>0</v>
      </c>
      <c r="JM31" s="55">
        <f>'26'!$BT$28</f>
        <v>0</v>
      </c>
      <c r="JN31" s="55">
        <f>'26'!$BU$28</f>
        <v>0</v>
      </c>
      <c r="JO31" s="55">
        <f>'26'!$BV$28</f>
        <v>0</v>
      </c>
      <c r="JP31" s="55">
        <f>'26'!$BW$28</f>
        <v>0</v>
      </c>
      <c r="JQ31" s="55">
        <f>'26'!$BX$28</f>
        <v>0</v>
      </c>
      <c r="JR31" s="55">
        <f>'26'!$BY$28</f>
        <v>0</v>
      </c>
      <c r="JS31" s="55">
        <f>'26'!$BN$29</f>
        <v>0</v>
      </c>
      <c r="JT31" s="55">
        <f>'26'!$BO$29</f>
        <v>0</v>
      </c>
      <c r="JU31" s="55">
        <f>'26'!$BP$29</f>
        <v>0</v>
      </c>
      <c r="JV31" s="55">
        <f>'26'!$BQ$29</f>
        <v>0</v>
      </c>
      <c r="JW31" s="55">
        <f>'26'!$BR$29</f>
        <v>0</v>
      </c>
      <c r="JX31" s="55">
        <f>'26'!$BS$29</f>
        <v>0</v>
      </c>
      <c r="JY31" s="55">
        <f>'26'!$BT$29</f>
        <v>0</v>
      </c>
      <c r="JZ31" s="55">
        <f>'26'!$BU$29</f>
        <v>0</v>
      </c>
      <c r="KA31" s="55">
        <f>'26'!$BV$29</f>
        <v>0</v>
      </c>
      <c r="KB31" s="55">
        <f>'26'!$BW$29</f>
        <v>0</v>
      </c>
      <c r="KC31" s="55">
        <f>'26'!$BX$29</f>
        <v>0</v>
      </c>
      <c r="KD31" s="55">
        <f>'26'!$BY$29</f>
        <v>0</v>
      </c>
    </row>
    <row r="32" spans="1:290" ht="15" x14ac:dyDescent="0.25">
      <c r="A32" s="50">
        <v>46200</v>
      </c>
      <c r="B32" s="52"/>
      <c r="C32" s="55">
        <f>'27'!$BN$6</f>
        <v>0</v>
      </c>
      <c r="D32" s="55">
        <f>'27'!$BO$6</f>
        <v>0</v>
      </c>
      <c r="E32" s="55">
        <f>'27'!$BP$6</f>
        <v>0</v>
      </c>
      <c r="F32" s="55">
        <f>'27'!$BQ$6</f>
        <v>0</v>
      </c>
      <c r="G32" s="55">
        <f>'27'!$BR$6</f>
        <v>0</v>
      </c>
      <c r="H32" s="55">
        <f>'27'!$BS$6</f>
        <v>0</v>
      </c>
      <c r="I32" s="55">
        <f>'27'!$BT$6</f>
        <v>0</v>
      </c>
      <c r="J32" s="55">
        <f>'27'!$BU$6</f>
        <v>0</v>
      </c>
      <c r="K32" s="55">
        <f>'27'!$BV$6</f>
        <v>0</v>
      </c>
      <c r="L32" s="55">
        <f>'27'!$BW$6</f>
        <v>0</v>
      </c>
      <c r="M32" s="55">
        <f>'27'!$BX$6</f>
        <v>0</v>
      </c>
      <c r="N32" s="55">
        <f>'27'!$BY$6</f>
        <v>0</v>
      </c>
      <c r="O32" s="55">
        <f>'27'!$BN$7</f>
        <v>0</v>
      </c>
      <c r="P32" s="55">
        <f>'27'!$BO$7</f>
        <v>0</v>
      </c>
      <c r="Q32" s="55">
        <f>'27'!$BP$7</f>
        <v>0</v>
      </c>
      <c r="R32" s="55">
        <f>'27'!$BQ$7</f>
        <v>0</v>
      </c>
      <c r="S32" s="55">
        <f>'27'!$BR$7</f>
        <v>0</v>
      </c>
      <c r="T32" s="55">
        <f>'27'!$BS$7</f>
        <v>0</v>
      </c>
      <c r="U32" s="55">
        <f>'27'!$BT$7</f>
        <v>0</v>
      </c>
      <c r="V32" s="55">
        <f>'27'!$BU$7</f>
        <v>0</v>
      </c>
      <c r="W32" s="55">
        <f>'27'!$BV$7</f>
        <v>0</v>
      </c>
      <c r="X32" s="55">
        <f>'27'!$BW$7</f>
        <v>0</v>
      </c>
      <c r="Y32" s="55">
        <f>'27'!$BX$7</f>
        <v>0</v>
      </c>
      <c r="Z32" s="55">
        <f>'27'!$BY$7</f>
        <v>0</v>
      </c>
      <c r="AA32" s="55">
        <f>'27'!$BN$8</f>
        <v>0</v>
      </c>
      <c r="AB32" s="55">
        <f>'27'!$BO$8</f>
        <v>0</v>
      </c>
      <c r="AC32" s="55">
        <f>'27'!$BP$8</f>
        <v>0</v>
      </c>
      <c r="AD32" s="55">
        <f>'27'!$BQ$8</f>
        <v>0</v>
      </c>
      <c r="AE32" s="55">
        <f>'27'!$BR$8</f>
        <v>0</v>
      </c>
      <c r="AF32" s="55">
        <f>'27'!$BS$8</f>
        <v>0</v>
      </c>
      <c r="AG32" s="55">
        <f>'27'!$BT$8</f>
        <v>0</v>
      </c>
      <c r="AH32" s="55">
        <f>'27'!$BU$8</f>
        <v>0</v>
      </c>
      <c r="AI32" s="55">
        <f>'27'!$BV$8</f>
        <v>0</v>
      </c>
      <c r="AJ32" s="55">
        <f>'27'!$BW$8</f>
        <v>0</v>
      </c>
      <c r="AK32" s="55">
        <f>'27'!$BX$8</f>
        <v>0</v>
      </c>
      <c r="AL32" s="55">
        <f>'27'!$BY$8</f>
        <v>0</v>
      </c>
      <c r="AM32" s="55">
        <f>'27'!$BN$9</f>
        <v>0</v>
      </c>
      <c r="AN32" s="55">
        <f>'27'!$BO$9</f>
        <v>0</v>
      </c>
      <c r="AO32" s="55">
        <f>'27'!$BP$9</f>
        <v>0</v>
      </c>
      <c r="AP32" s="55">
        <f>'27'!$BQ$9</f>
        <v>0</v>
      </c>
      <c r="AQ32" s="55">
        <f>'27'!$BR$9</f>
        <v>0</v>
      </c>
      <c r="AR32" s="55">
        <f>'27'!$BS$9</f>
        <v>0</v>
      </c>
      <c r="AS32" s="55">
        <f>'27'!$BT$9</f>
        <v>0</v>
      </c>
      <c r="AT32" s="55">
        <f>'27'!$BU$9</f>
        <v>0</v>
      </c>
      <c r="AU32" s="55">
        <f>'27'!$BV$9</f>
        <v>0</v>
      </c>
      <c r="AV32" s="55">
        <f>'27'!$BW$9</f>
        <v>0</v>
      </c>
      <c r="AW32" s="55">
        <f>'27'!$BX$9</f>
        <v>0</v>
      </c>
      <c r="AX32" s="55">
        <f>'27'!$BY$9</f>
        <v>0</v>
      </c>
      <c r="AY32" s="55">
        <f>'27'!$BN$10</f>
        <v>0</v>
      </c>
      <c r="AZ32" s="55">
        <f>'27'!$BO$10</f>
        <v>0</v>
      </c>
      <c r="BA32" s="55">
        <f>'27'!$BP$10</f>
        <v>0</v>
      </c>
      <c r="BB32" s="55">
        <f>'27'!$BQ$10</f>
        <v>0</v>
      </c>
      <c r="BC32" s="55">
        <f>'27'!$BR$10</f>
        <v>0</v>
      </c>
      <c r="BD32" s="55">
        <f>'27'!$BS$10</f>
        <v>0</v>
      </c>
      <c r="BE32" s="55">
        <f>'27'!$BT$10</f>
        <v>0</v>
      </c>
      <c r="BF32" s="55">
        <f>'27'!$BU$10</f>
        <v>0</v>
      </c>
      <c r="BG32" s="55">
        <f>'27'!$BV$10</f>
        <v>0</v>
      </c>
      <c r="BH32" s="55">
        <f>'27'!$BW$10</f>
        <v>0</v>
      </c>
      <c r="BI32" s="55">
        <f>'27'!$BX$10</f>
        <v>0</v>
      </c>
      <c r="BJ32" s="55">
        <f>'27'!$BY$10</f>
        <v>0</v>
      </c>
      <c r="BK32" s="55">
        <f>'27'!$BN$11</f>
        <v>0</v>
      </c>
      <c r="BL32" s="55">
        <f>'27'!$BO$11</f>
        <v>0</v>
      </c>
      <c r="BM32" s="55">
        <f>'27'!$BP$11</f>
        <v>0</v>
      </c>
      <c r="BN32" s="55">
        <f>'27'!$BQ$11</f>
        <v>0</v>
      </c>
      <c r="BO32" s="55">
        <f>'27'!$BR$11</f>
        <v>0</v>
      </c>
      <c r="BP32" s="55">
        <f>'27'!$BS$11</f>
        <v>0</v>
      </c>
      <c r="BQ32" s="55">
        <f>'27'!$BT$11</f>
        <v>0</v>
      </c>
      <c r="BR32" s="55">
        <f>'27'!$BU$11</f>
        <v>0</v>
      </c>
      <c r="BS32" s="55">
        <f>'27'!$BV$11</f>
        <v>0</v>
      </c>
      <c r="BT32" s="55">
        <f>'27'!$BW$11</f>
        <v>0</v>
      </c>
      <c r="BU32" s="55">
        <f>'27'!$BX$11</f>
        <v>0</v>
      </c>
      <c r="BV32" s="55">
        <f>'27'!$BY$11</f>
        <v>0</v>
      </c>
      <c r="BW32" s="55">
        <f>'27'!$BN$12</f>
        <v>0</v>
      </c>
      <c r="BX32" s="55">
        <f>'27'!$BO$12</f>
        <v>0</v>
      </c>
      <c r="BY32" s="55">
        <f>'27'!$BP$12</f>
        <v>0</v>
      </c>
      <c r="BZ32" s="55">
        <f>'27'!$BQ$12</f>
        <v>0</v>
      </c>
      <c r="CA32" s="55">
        <f>'27'!$BR$12</f>
        <v>0</v>
      </c>
      <c r="CB32" s="55">
        <f>'27'!$BS$12</f>
        <v>0</v>
      </c>
      <c r="CC32" s="55">
        <f>'27'!$BT$12</f>
        <v>0</v>
      </c>
      <c r="CD32" s="55">
        <f>'27'!$BU$12</f>
        <v>0</v>
      </c>
      <c r="CE32" s="55">
        <f>'27'!$BV$12</f>
        <v>0</v>
      </c>
      <c r="CF32" s="55">
        <f>'27'!$BW$12</f>
        <v>0</v>
      </c>
      <c r="CG32" s="55">
        <f>'27'!$BX$12</f>
        <v>0</v>
      </c>
      <c r="CH32" s="55">
        <f>'27'!$BY$12</f>
        <v>0</v>
      </c>
      <c r="CI32" s="55">
        <f>'27'!$BN$13</f>
        <v>0</v>
      </c>
      <c r="CJ32" s="55">
        <f>'27'!$BO$13</f>
        <v>0</v>
      </c>
      <c r="CK32" s="55">
        <f>'27'!$BP$13</f>
        <v>0</v>
      </c>
      <c r="CL32" s="55">
        <f>'27'!$BQ$13</f>
        <v>0</v>
      </c>
      <c r="CM32" s="55">
        <f>'27'!$BR$13</f>
        <v>0</v>
      </c>
      <c r="CN32" s="55">
        <f>'27'!$BS$13</f>
        <v>0</v>
      </c>
      <c r="CO32" s="55">
        <f>'27'!$BT$13</f>
        <v>0</v>
      </c>
      <c r="CP32" s="55">
        <f>'27'!$BU$13</f>
        <v>0</v>
      </c>
      <c r="CQ32" s="55">
        <f>'27'!$BV$13</f>
        <v>0</v>
      </c>
      <c r="CR32" s="55">
        <f>'27'!$BW$13</f>
        <v>0</v>
      </c>
      <c r="CS32" s="55">
        <f>'27'!$BX$13</f>
        <v>0</v>
      </c>
      <c r="CT32" s="55">
        <f>'27'!$BY$13</f>
        <v>0</v>
      </c>
      <c r="CU32" s="55">
        <f>'27'!$BN$14</f>
        <v>0</v>
      </c>
      <c r="CV32" s="55">
        <f>'27'!$BO$14</f>
        <v>0</v>
      </c>
      <c r="CW32" s="55">
        <f>'27'!$BP$14</f>
        <v>0</v>
      </c>
      <c r="CX32" s="55">
        <f>'27'!$BQ$14</f>
        <v>0</v>
      </c>
      <c r="CY32" s="55">
        <f>'27'!$BR$14</f>
        <v>0</v>
      </c>
      <c r="CZ32" s="55">
        <f>'27'!$BS$14</f>
        <v>0</v>
      </c>
      <c r="DA32" s="55">
        <f>'27'!$BT$14</f>
        <v>0</v>
      </c>
      <c r="DB32" s="55">
        <f>'27'!$BU$14</f>
        <v>0</v>
      </c>
      <c r="DC32" s="55">
        <f>'27'!$BV$14</f>
        <v>0</v>
      </c>
      <c r="DD32" s="55">
        <f>'27'!$BW$14</f>
        <v>0</v>
      </c>
      <c r="DE32" s="55">
        <f>'27'!$BX$14</f>
        <v>0</v>
      </c>
      <c r="DF32" s="55">
        <f>'27'!$BY$14</f>
        <v>0</v>
      </c>
      <c r="DG32" s="55">
        <f>'27'!$BN$15</f>
        <v>0</v>
      </c>
      <c r="DH32" s="55">
        <f>'27'!$BO$15</f>
        <v>0</v>
      </c>
      <c r="DI32" s="55">
        <f>'27'!$BP$15</f>
        <v>0</v>
      </c>
      <c r="DJ32" s="55">
        <f>'27'!$BQ$15</f>
        <v>0</v>
      </c>
      <c r="DK32" s="55">
        <f>'27'!$BR$15</f>
        <v>0</v>
      </c>
      <c r="DL32" s="55">
        <f>'27'!$BS$15</f>
        <v>0</v>
      </c>
      <c r="DM32" s="55">
        <f>'27'!$BT$15</f>
        <v>0</v>
      </c>
      <c r="DN32" s="55">
        <f>'27'!$BU$15</f>
        <v>0</v>
      </c>
      <c r="DO32" s="55">
        <f>'27'!$BV$15</f>
        <v>0</v>
      </c>
      <c r="DP32" s="55">
        <f>'27'!$BW$15</f>
        <v>0</v>
      </c>
      <c r="DQ32" s="55">
        <f>'27'!$BX$15</f>
        <v>0</v>
      </c>
      <c r="DR32" s="55">
        <f>'27'!$BY$15</f>
        <v>0</v>
      </c>
      <c r="DS32" s="55">
        <f>'27'!$BN$16</f>
        <v>0</v>
      </c>
      <c r="DT32" s="55">
        <f>'27'!$BO$16</f>
        <v>0</v>
      </c>
      <c r="DU32" s="55">
        <f>'27'!$BP$16</f>
        <v>0</v>
      </c>
      <c r="DV32" s="55">
        <f>'27'!$BQ$16</f>
        <v>0</v>
      </c>
      <c r="DW32" s="55">
        <f>'27'!$BR$16</f>
        <v>0</v>
      </c>
      <c r="DX32" s="55">
        <f>'27'!$BS$16</f>
        <v>0</v>
      </c>
      <c r="DY32" s="55">
        <f>'27'!$BT$16</f>
        <v>0</v>
      </c>
      <c r="DZ32" s="55">
        <f>'27'!$BU$16</f>
        <v>0</v>
      </c>
      <c r="EA32" s="55">
        <f>'27'!$BV$16</f>
        <v>0</v>
      </c>
      <c r="EB32" s="55">
        <f>'27'!$BW$16</f>
        <v>0</v>
      </c>
      <c r="EC32" s="55">
        <f>'27'!$BX$16</f>
        <v>0</v>
      </c>
      <c r="ED32" s="55">
        <f>'27'!$BY$16</f>
        <v>0</v>
      </c>
      <c r="EE32" s="55">
        <f>'27'!$BN$17</f>
        <v>0</v>
      </c>
      <c r="EF32" s="55">
        <f>'27'!$BO$17</f>
        <v>0</v>
      </c>
      <c r="EG32" s="55">
        <f>'27'!$BP$17</f>
        <v>0</v>
      </c>
      <c r="EH32" s="55">
        <f>'27'!$BQ$17</f>
        <v>0</v>
      </c>
      <c r="EI32" s="55">
        <f>'27'!$BR$17</f>
        <v>0</v>
      </c>
      <c r="EJ32" s="55">
        <f>'27'!$BS$17</f>
        <v>0</v>
      </c>
      <c r="EK32" s="55">
        <f>'27'!$BT$17</f>
        <v>0</v>
      </c>
      <c r="EL32" s="55">
        <f>'27'!$BU$17</f>
        <v>0</v>
      </c>
      <c r="EM32" s="55">
        <f>'27'!$BV$17</f>
        <v>0</v>
      </c>
      <c r="EN32" s="55">
        <f>'27'!$BW$17</f>
        <v>0</v>
      </c>
      <c r="EO32" s="55">
        <f>'27'!$BX$17</f>
        <v>0</v>
      </c>
      <c r="EP32" s="55">
        <f>'27'!$BY$17</f>
        <v>0</v>
      </c>
      <c r="EQ32" s="55">
        <f>'27'!$BN$18</f>
        <v>0</v>
      </c>
      <c r="ER32" s="55">
        <f>'27'!$BO$18</f>
        <v>0</v>
      </c>
      <c r="ES32" s="55">
        <f>'27'!$BP$18</f>
        <v>0</v>
      </c>
      <c r="ET32" s="55">
        <f>'27'!$BQ$18</f>
        <v>0</v>
      </c>
      <c r="EU32" s="55">
        <f>'27'!$BR$18</f>
        <v>0</v>
      </c>
      <c r="EV32" s="55">
        <f>'27'!$BS$18</f>
        <v>0</v>
      </c>
      <c r="EW32" s="55">
        <f>'27'!$BT$18</f>
        <v>0</v>
      </c>
      <c r="EX32" s="55">
        <f>'27'!$BU$18</f>
        <v>0</v>
      </c>
      <c r="EY32" s="55">
        <f>'27'!$BV$18</f>
        <v>0</v>
      </c>
      <c r="EZ32" s="55">
        <f>'27'!$BW$18</f>
        <v>0</v>
      </c>
      <c r="FA32" s="55">
        <f>'27'!$BX$18</f>
        <v>0</v>
      </c>
      <c r="FB32" s="55">
        <f>'27'!$BY$18</f>
        <v>0</v>
      </c>
      <c r="FC32" s="55">
        <f>'27'!$BN$19</f>
        <v>0</v>
      </c>
      <c r="FD32" s="55">
        <f>'27'!$BO$19</f>
        <v>0</v>
      </c>
      <c r="FE32" s="55">
        <f>'27'!$BP$19</f>
        <v>0</v>
      </c>
      <c r="FF32" s="55">
        <f>'27'!$BQ$19</f>
        <v>0</v>
      </c>
      <c r="FG32" s="55">
        <f>'27'!$BR$19</f>
        <v>0</v>
      </c>
      <c r="FH32" s="55">
        <f>'27'!$BS$19</f>
        <v>0</v>
      </c>
      <c r="FI32" s="55">
        <f>'27'!$BT$19</f>
        <v>0</v>
      </c>
      <c r="FJ32" s="55">
        <f>'27'!$BU$19</f>
        <v>0</v>
      </c>
      <c r="FK32" s="55">
        <f>'27'!$BV$19</f>
        <v>0</v>
      </c>
      <c r="FL32" s="55">
        <f>'27'!$BW$19</f>
        <v>0</v>
      </c>
      <c r="FM32" s="55">
        <f>'27'!$BX$19</f>
        <v>0</v>
      </c>
      <c r="FN32" s="55">
        <f>'27'!$BY$19</f>
        <v>0</v>
      </c>
      <c r="FO32" s="55">
        <f>'27'!$BN$20</f>
        <v>0</v>
      </c>
      <c r="FP32" s="55">
        <f>'27'!$BO$20</f>
        <v>0</v>
      </c>
      <c r="FQ32" s="55">
        <f>'27'!$BP$20</f>
        <v>0</v>
      </c>
      <c r="FR32" s="55">
        <f>'27'!$BQ$20</f>
        <v>0</v>
      </c>
      <c r="FS32" s="55">
        <f>'27'!$BR$20</f>
        <v>0</v>
      </c>
      <c r="FT32" s="55">
        <f>'27'!$BS$20</f>
        <v>0</v>
      </c>
      <c r="FU32" s="55">
        <f>'27'!$BT$20</f>
        <v>0</v>
      </c>
      <c r="FV32" s="55">
        <f>'27'!$BU$20</f>
        <v>0</v>
      </c>
      <c r="FW32" s="55">
        <f>'27'!$BV$20</f>
        <v>0</v>
      </c>
      <c r="FX32" s="55">
        <f>'27'!$BW$20</f>
        <v>0</v>
      </c>
      <c r="FY32" s="55">
        <f>'27'!$BX$20</f>
        <v>0</v>
      </c>
      <c r="FZ32" s="55">
        <f>'27'!$BY$20</f>
        <v>0</v>
      </c>
      <c r="GA32" s="55">
        <f>'27'!$BN$21</f>
        <v>0</v>
      </c>
      <c r="GB32" s="55">
        <f>'27'!$BO$21</f>
        <v>0</v>
      </c>
      <c r="GC32" s="55">
        <f>'27'!$BP$21</f>
        <v>0</v>
      </c>
      <c r="GD32" s="55">
        <f>'27'!$BQ$21</f>
        <v>0</v>
      </c>
      <c r="GE32" s="55">
        <f>'27'!$BR$21</f>
        <v>0</v>
      </c>
      <c r="GF32" s="55">
        <f>'27'!$BS$21</f>
        <v>0</v>
      </c>
      <c r="GG32" s="55">
        <f>'27'!$BT$21</f>
        <v>0</v>
      </c>
      <c r="GH32" s="55">
        <f>'27'!$BU$21</f>
        <v>0</v>
      </c>
      <c r="GI32" s="55">
        <f>'27'!$BV$21</f>
        <v>0</v>
      </c>
      <c r="GJ32" s="55">
        <f>'27'!$BW$21</f>
        <v>0</v>
      </c>
      <c r="GK32" s="55">
        <f>'27'!$BX$21</f>
        <v>0</v>
      </c>
      <c r="GL32" s="55">
        <f>'27'!$BY$21</f>
        <v>0</v>
      </c>
      <c r="GM32" s="55">
        <f>'27'!$BN$22</f>
        <v>0</v>
      </c>
      <c r="GN32" s="55">
        <f>'27'!$BO$22</f>
        <v>0</v>
      </c>
      <c r="GO32" s="55">
        <f>'27'!$BP$22</f>
        <v>0</v>
      </c>
      <c r="GP32" s="55">
        <f>'27'!$BQ$22</f>
        <v>0</v>
      </c>
      <c r="GQ32" s="55">
        <f>'27'!$BR$22</f>
        <v>0</v>
      </c>
      <c r="GR32" s="55">
        <f>'27'!$BS$22</f>
        <v>0</v>
      </c>
      <c r="GS32" s="55">
        <f>'27'!$BT$22</f>
        <v>0</v>
      </c>
      <c r="GT32" s="55">
        <f>'27'!$BU$22</f>
        <v>0</v>
      </c>
      <c r="GU32" s="55">
        <f>'27'!$BV$22</f>
        <v>0</v>
      </c>
      <c r="GV32" s="55">
        <f>'27'!$BW$22</f>
        <v>0</v>
      </c>
      <c r="GW32" s="55">
        <f>'27'!$BX$22</f>
        <v>0</v>
      </c>
      <c r="GX32" s="55">
        <f>'27'!$BY$22</f>
        <v>0</v>
      </c>
      <c r="GY32" s="55">
        <f>'27'!$BN$23</f>
        <v>0</v>
      </c>
      <c r="GZ32" s="55">
        <f>'27'!$BO$23</f>
        <v>0</v>
      </c>
      <c r="HA32" s="55">
        <f>'27'!$BP$23</f>
        <v>0</v>
      </c>
      <c r="HB32" s="55">
        <f>'27'!$BQ$23</f>
        <v>0</v>
      </c>
      <c r="HC32" s="55">
        <f>'27'!$BR$23</f>
        <v>0</v>
      </c>
      <c r="HD32" s="55">
        <f>'27'!$BS$23</f>
        <v>0</v>
      </c>
      <c r="HE32" s="55">
        <f>'27'!$BT$23</f>
        <v>0</v>
      </c>
      <c r="HF32" s="55">
        <f>'27'!$BU$23</f>
        <v>0</v>
      </c>
      <c r="HG32" s="55">
        <f>'27'!$BV$23</f>
        <v>0</v>
      </c>
      <c r="HH32" s="55">
        <f>'27'!$BW$23</f>
        <v>0</v>
      </c>
      <c r="HI32" s="55">
        <f>'27'!$BX$23</f>
        <v>0</v>
      </c>
      <c r="HJ32" s="55">
        <f>'27'!$BY$23</f>
        <v>0</v>
      </c>
      <c r="HK32" s="55">
        <f>'27'!$BN$24</f>
        <v>0</v>
      </c>
      <c r="HL32" s="55">
        <f>'27'!$BO$24</f>
        <v>0</v>
      </c>
      <c r="HM32" s="55">
        <f>'27'!$BP$24</f>
        <v>0</v>
      </c>
      <c r="HN32" s="55">
        <f>'27'!$BQ$24</f>
        <v>0</v>
      </c>
      <c r="HO32" s="55">
        <f>'27'!$BR$24</f>
        <v>0</v>
      </c>
      <c r="HP32" s="55">
        <f>'27'!$BS$24</f>
        <v>0</v>
      </c>
      <c r="HQ32" s="55">
        <f>'27'!$BT$24</f>
        <v>0</v>
      </c>
      <c r="HR32" s="55">
        <f>'27'!$BU$24</f>
        <v>0</v>
      </c>
      <c r="HS32" s="55">
        <f>'27'!$BV$24</f>
        <v>0</v>
      </c>
      <c r="HT32" s="55">
        <f>'27'!$BW$24</f>
        <v>0</v>
      </c>
      <c r="HU32" s="55">
        <f>'27'!$BX$24</f>
        <v>0</v>
      </c>
      <c r="HV32" s="55">
        <f>'27'!$BY$24</f>
        <v>0</v>
      </c>
      <c r="HW32" s="55">
        <f>'27'!$BN$25</f>
        <v>0</v>
      </c>
      <c r="HX32" s="55">
        <f>'27'!$BO$25</f>
        <v>0</v>
      </c>
      <c r="HY32" s="55">
        <f>'27'!$BP$25</f>
        <v>0</v>
      </c>
      <c r="HZ32" s="55">
        <f>'27'!$BQ$25</f>
        <v>0</v>
      </c>
      <c r="IA32" s="55">
        <f>'27'!$BR$25</f>
        <v>0</v>
      </c>
      <c r="IB32" s="55">
        <f>'27'!$BS$25</f>
        <v>0</v>
      </c>
      <c r="IC32" s="55">
        <f>'27'!$BT$25</f>
        <v>0</v>
      </c>
      <c r="ID32" s="55">
        <f>'27'!$BU$25</f>
        <v>0</v>
      </c>
      <c r="IE32" s="55">
        <f>'27'!$BV$25</f>
        <v>0</v>
      </c>
      <c r="IF32" s="55">
        <f>'27'!$BW$25</f>
        <v>0</v>
      </c>
      <c r="IG32" s="55">
        <f>'27'!$BX$25</f>
        <v>0</v>
      </c>
      <c r="IH32" s="55">
        <f>'27'!$BY$25</f>
        <v>0</v>
      </c>
      <c r="II32" s="55">
        <f>'27'!$BN$26</f>
        <v>0</v>
      </c>
      <c r="IJ32" s="55">
        <f>'27'!$BO$26</f>
        <v>0</v>
      </c>
      <c r="IK32" s="55">
        <f>'27'!$BP$26</f>
        <v>0</v>
      </c>
      <c r="IL32" s="55">
        <f>'27'!$BQ$26</f>
        <v>0</v>
      </c>
      <c r="IM32" s="55">
        <f>'27'!$BR$26</f>
        <v>0</v>
      </c>
      <c r="IN32" s="55">
        <f>'27'!$BS$26</f>
        <v>0</v>
      </c>
      <c r="IO32" s="55">
        <f>'27'!$BT$26</f>
        <v>0</v>
      </c>
      <c r="IP32" s="55">
        <f>'27'!$BU$26</f>
        <v>0</v>
      </c>
      <c r="IQ32" s="55">
        <f>'27'!$BV$26</f>
        <v>0</v>
      </c>
      <c r="IR32" s="55">
        <f>'27'!$BW$26</f>
        <v>0</v>
      </c>
      <c r="IS32" s="55">
        <f>'27'!$BX$26</f>
        <v>0</v>
      </c>
      <c r="IT32" s="55">
        <f>'27'!$BY$26</f>
        <v>0</v>
      </c>
      <c r="IU32" s="55">
        <f>'27'!$BN$27</f>
        <v>0</v>
      </c>
      <c r="IV32" s="55">
        <f>'27'!$BO$27</f>
        <v>0</v>
      </c>
      <c r="IW32" s="55">
        <f>'27'!$BP$27</f>
        <v>0</v>
      </c>
      <c r="IX32" s="55">
        <f>'27'!$BQ$27</f>
        <v>0</v>
      </c>
      <c r="IY32" s="55">
        <f>'27'!$BR$27</f>
        <v>0</v>
      </c>
      <c r="IZ32" s="55">
        <f>'27'!$BS$27</f>
        <v>0</v>
      </c>
      <c r="JA32" s="55">
        <f>'27'!$BT$27</f>
        <v>0</v>
      </c>
      <c r="JB32" s="55">
        <f>'27'!$BU$27</f>
        <v>0</v>
      </c>
      <c r="JC32" s="55">
        <f>'27'!$BV$27</f>
        <v>0</v>
      </c>
      <c r="JD32" s="55">
        <f>'27'!$BW$27</f>
        <v>0</v>
      </c>
      <c r="JE32" s="55">
        <f>'27'!$BX$27</f>
        <v>0</v>
      </c>
      <c r="JF32" s="55">
        <f>'27'!$BY$27</f>
        <v>0</v>
      </c>
      <c r="JG32" s="55">
        <f>'27'!$BN$28</f>
        <v>0</v>
      </c>
      <c r="JH32" s="55">
        <f>'27'!$BO$28</f>
        <v>0</v>
      </c>
      <c r="JI32" s="55">
        <f>'27'!$BP$28</f>
        <v>0</v>
      </c>
      <c r="JJ32" s="55">
        <f>'27'!$BQ$28</f>
        <v>0</v>
      </c>
      <c r="JK32" s="55">
        <f>'27'!$BR$28</f>
        <v>0</v>
      </c>
      <c r="JL32" s="55">
        <f>'27'!$BS$28</f>
        <v>0</v>
      </c>
      <c r="JM32" s="55">
        <f>'27'!$BT$28</f>
        <v>0</v>
      </c>
      <c r="JN32" s="55">
        <f>'27'!$BU$28</f>
        <v>0</v>
      </c>
      <c r="JO32" s="55">
        <f>'27'!$BV$28</f>
        <v>0</v>
      </c>
      <c r="JP32" s="55">
        <f>'27'!$BW$28</f>
        <v>0</v>
      </c>
      <c r="JQ32" s="55">
        <f>'27'!$BX$28</f>
        <v>0</v>
      </c>
      <c r="JR32" s="55">
        <f>'27'!$BY$28</f>
        <v>0</v>
      </c>
      <c r="JS32" s="55">
        <f>'27'!$BN$29</f>
        <v>0</v>
      </c>
      <c r="JT32" s="55">
        <f>'27'!$BO$29</f>
        <v>0</v>
      </c>
      <c r="JU32" s="55">
        <f>'27'!$BP$29</f>
        <v>0</v>
      </c>
      <c r="JV32" s="55">
        <f>'27'!$BQ$29</f>
        <v>0</v>
      </c>
      <c r="JW32" s="55">
        <f>'27'!$BR$29</f>
        <v>0</v>
      </c>
      <c r="JX32" s="55">
        <f>'27'!$BS$29</f>
        <v>0</v>
      </c>
      <c r="JY32" s="55">
        <f>'27'!$BT$29</f>
        <v>0</v>
      </c>
      <c r="JZ32" s="55">
        <f>'27'!$BU$29</f>
        <v>0</v>
      </c>
      <c r="KA32" s="55">
        <f>'27'!$BV$29</f>
        <v>0</v>
      </c>
      <c r="KB32" s="55">
        <f>'27'!$BW$29</f>
        <v>0</v>
      </c>
      <c r="KC32" s="55">
        <f>'27'!$BX$29</f>
        <v>0</v>
      </c>
      <c r="KD32" s="55">
        <f>'27'!$BY$29</f>
        <v>0</v>
      </c>
    </row>
    <row r="33" spans="1:290" ht="15" x14ac:dyDescent="0.25">
      <c r="A33" s="50">
        <v>46201</v>
      </c>
      <c r="B33" s="52"/>
      <c r="C33" s="55">
        <f>'28'!$BN$6</f>
        <v>0</v>
      </c>
      <c r="D33" s="55">
        <f>'28'!$BO$6</f>
        <v>0</v>
      </c>
      <c r="E33" s="55">
        <f>'28'!$BP$6</f>
        <v>0</v>
      </c>
      <c r="F33" s="55">
        <f>'28'!$BQ$6</f>
        <v>0</v>
      </c>
      <c r="G33" s="55">
        <f>'28'!$BR$6</f>
        <v>0</v>
      </c>
      <c r="H33" s="55">
        <f>'28'!$BS$6</f>
        <v>0</v>
      </c>
      <c r="I33" s="55">
        <f>'28'!$BT$6</f>
        <v>0</v>
      </c>
      <c r="J33" s="55">
        <f>'28'!$BU$6</f>
        <v>0</v>
      </c>
      <c r="K33" s="55">
        <f>'28'!$BV$6</f>
        <v>0</v>
      </c>
      <c r="L33" s="55">
        <f>'28'!$BW$6</f>
        <v>0</v>
      </c>
      <c r="M33" s="55">
        <f>'28'!$BX$6</f>
        <v>0</v>
      </c>
      <c r="N33" s="55">
        <f>'28'!$BY$6</f>
        <v>0</v>
      </c>
      <c r="O33" s="55">
        <f>'28'!$BN$7</f>
        <v>0</v>
      </c>
      <c r="P33" s="55">
        <f>'28'!$BO$7</f>
        <v>0</v>
      </c>
      <c r="Q33" s="55">
        <f>'28'!$BP$7</f>
        <v>0</v>
      </c>
      <c r="R33" s="55">
        <f>'28'!$BQ$7</f>
        <v>0</v>
      </c>
      <c r="S33" s="55">
        <f>'28'!$BR$7</f>
        <v>0</v>
      </c>
      <c r="T33" s="55">
        <f>'28'!$BS$7</f>
        <v>0</v>
      </c>
      <c r="U33" s="55">
        <f>'28'!$BT$7</f>
        <v>0</v>
      </c>
      <c r="V33" s="55">
        <f>'28'!$BU$7</f>
        <v>0</v>
      </c>
      <c r="W33" s="55">
        <f>'28'!$BV$7</f>
        <v>0</v>
      </c>
      <c r="X33" s="55">
        <f>'28'!$BW$7</f>
        <v>0</v>
      </c>
      <c r="Y33" s="55">
        <f>'28'!$BX$7</f>
        <v>0</v>
      </c>
      <c r="Z33" s="55">
        <f>'28'!$BY$7</f>
        <v>0</v>
      </c>
      <c r="AA33" s="55">
        <f>'28'!$BN$8</f>
        <v>0</v>
      </c>
      <c r="AB33" s="55">
        <f>'28'!$BO$8</f>
        <v>0</v>
      </c>
      <c r="AC33" s="55">
        <f>'28'!$BP$8</f>
        <v>0</v>
      </c>
      <c r="AD33" s="55">
        <f>'28'!$BQ$8</f>
        <v>0</v>
      </c>
      <c r="AE33" s="55">
        <f>'28'!$BR$8</f>
        <v>0</v>
      </c>
      <c r="AF33" s="55">
        <f>'28'!$BS$8</f>
        <v>0</v>
      </c>
      <c r="AG33" s="55">
        <f>'28'!$BT$8</f>
        <v>0</v>
      </c>
      <c r="AH33" s="55">
        <f>'28'!$BU$8</f>
        <v>0</v>
      </c>
      <c r="AI33" s="55">
        <f>'28'!$BV$8</f>
        <v>0</v>
      </c>
      <c r="AJ33" s="55">
        <f>'28'!$BW$8</f>
        <v>0</v>
      </c>
      <c r="AK33" s="55">
        <f>'28'!$BX$8</f>
        <v>0</v>
      </c>
      <c r="AL33" s="55">
        <f>'28'!$BY$8</f>
        <v>0</v>
      </c>
      <c r="AM33" s="55">
        <f>'28'!$BN$9</f>
        <v>0</v>
      </c>
      <c r="AN33" s="55">
        <f>'28'!$BO$9</f>
        <v>0</v>
      </c>
      <c r="AO33" s="55">
        <f>'28'!$BP$9</f>
        <v>0</v>
      </c>
      <c r="AP33" s="55">
        <f>'28'!$BQ$9</f>
        <v>0</v>
      </c>
      <c r="AQ33" s="55">
        <f>'28'!$BR$9</f>
        <v>0</v>
      </c>
      <c r="AR33" s="55">
        <f>'28'!$BS$9</f>
        <v>0</v>
      </c>
      <c r="AS33" s="55">
        <f>'28'!$BT$9</f>
        <v>0</v>
      </c>
      <c r="AT33" s="55">
        <f>'28'!$BU$9</f>
        <v>0</v>
      </c>
      <c r="AU33" s="55">
        <f>'28'!$BV$9</f>
        <v>0</v>
      </c>
      <c r="AV33" s="55">
        <f>'28'!$BW$9</f>
        <v>0</v>
      </c>
      <c r="AW33" s="55">
        <f>'28'!$BX$9</f>
        <v>0</v>
      </c>
      <c r="AX33" s="55">
        <f>'28'!$BY$9</f>
        <v>0</v>
      </c>
      <c r="AY33" s="55">
        <f>'28'!$BN$10</f>
        <v>0</v>
      </c>
      <c r="AZ33" s="55">
        <f>'28'!$BO$10</f>
        <v>0</v>
      </c>
      <c r="BA33" s="55">
        <f>'28'!$BP$10</f>
        <v>0</v>
      </c>
      <c r="BB33" s="55">
        <f>'28'!$BQ$10</f>
        <v>0</v>
      </c>
      <c r="BC33" s="55">
        <f>'28'!$BR$10</f>
        <v>0</v>
      </c>
      <c r="BD33" s="55">
        <f>'28'!$BS$10</f>
        <v>0</v>
      </c>
      <c r="BE33" s="55">
        <f>'28'!$BT$10</f>
        <v>0</v>
      </c>
      <c r="BF33" s="55">
        <f>'28'!$BU$10</f>
        <v>0</v>
      </c>
      <c r="BG33" s="55">
        <f>'28'!$BV$10</f>
        <v>0</v>
      </c>
      <c r="BH33" s="55">
        <f>'28'!$BW$10</f>
        <v>0</v>
      </c>
      <c r="BI33" s="55">
        <f>'28'!$BX$10</f>
        <v>0</v>
      </c>
      <c r="BJ33" s="55">
        <f>'28'!$BY$10</f>
        <v>0</v>
      </c>
      <c r="BK33" s="55">
        <f>'28'!$BN$11</f>
        <v>0</v>
      </c>
      <c r="BL33" s="55">
        <f>'28'!$BO$11</f>
        <v>0</v>
      </c>
      <c r="BM33" s="55">
        <f>'28'!$BP$11</f>
        <v>0</v>
      </c>
      <c r="BN33" s="55">
        <f>'28'!$BQ$11</f>
        <v>0</v>
      </c>
      <c r="BO33" s="55">
        <f>'28'!$BR$11</f>
        <v>0</v>
      </c>
      <c r="BP33" s="55">
        <f>'28'!$BS$11</f>
        <v>0</v>
      </c>
      <c r="BQ33" s="55">
        <f>'28'!$BT$11</f>
        <v>0</v>
      </c>
      <c r="BR33" s="55">
        <f>'28'!$BU$11</f>
        <v>0</v>
      </c>
      <c r="BS33" s="55">
        <f>'28'!$BV$11</f>
        <v>0</v>
      </c>
      <c r="BT33" s="55">
        <f>'28'!$BW$11</f>
        <v>0</v>
      </c>
      <c r="BU33" s="55">
        <f>'28'!$BX$11</f>
        <v>0</v>
      </c>
      <c r="BV33" s="55">
        <f>'28'!$BY$11</f>
        <v>0</v>
      </c>
      <c r="BW33" s="55">
        <f>'28'!$BN$12</f>
        <v>0</v>
      </c>
      <c r="BX33" s="55">
        <f>'28'!$BO$12</f>
        <v>0</v>
      </c>
      <c r="BY33" s="55">
        <f>'28'!$BP$12</f>
        <v>0</v>
      </c>
      <c r="BZ33" s="55">
        <f>'28'!$BQ$12</f>
        <v>0</v>
      </c>
      <c r="CA33" s="55">
        <f>'28'!$BR$12</f>
        <v>0</v>
      </c>
      <c r="CB33" s="55">
        <f>'28'!$BS$12</f>
        <v>0</v>
      </c>
      <c r="CC33" s="55">
        <f>'28'!$BT$12</f>
        <v>0</v>
      </c>
      <c r="CD33" s="55">
        <f>'28'!$BU$12</f>
        <v>0</v>
      </c>
      <c r="CE33" s="55">
        <f>'28'!$BV$12</f>
        <v>0</v>
      </c>
      <c r="CF33" s="55">
        <f>'28'!$BW$12</f>
        <v>0</v>
      </c>
      <c r="CG33" s="55">
        <f>'28'!$BX$12</f>
        <v>0</v>
      </c>
      <c r="CH33" s="55">
        <f>'28'!$BY$12</f>
        <v>0</v>
      </c>
      <c r="CI33" s="55">
        <f>'28'!$BN$13</f>
        <v>0</v>
      </c>
      <c r="CJ33" s="55">
        <f>'28'!$BO$13</f>
        <v>0</v>
      </c>
      <c r="CK33" s="55">
        <f>'28'!$BP$13</f>
        <v>0</v>
      </c>
      <c r="CL33" s="55">
        <f>'28'!$BQ$13</f>
        <v>0</v>
      </c>
      <c r="CM33" s="55">
        <f>'28'!$BR$13</f>
        <v>0</v>
      </c>
      <c r="CN33" s="55">
        <f>'28'!$BS$13</f>
        <v>0</v>
      </c>
      <c r="CO33" s="55">
        <f>'28'!$BT$13</f>
        <v>0</v>
      </c>
      <c r="CP33" s="55">
        <f>'28'!$BU$13</f>
        <v>0</v>
      </c>
      <c r="CQ33" s="55">
        <f>'28'!$BV$13</f>
        <v>0</v>
      </c>
      <c r="CR33" s="55">
        <f>'28'!$BW$13</f>
        <v>0</v>
      </c>
      <c r="CS33" s="55">
        <f>'28'!$BX$13</f>
        <v>0</v>
      </c>
      <c r="CT33" s="55">
        <f>'28'!$BY$13</f>
        <v>0</v>
      </c>
      <c r="CU33" s="55">
        <f>'28'!$BN$14</f>
        <v>0</v>
      </c>
      <c r="CV33" s="55">
        <f>'28'!$BO$14</f>
        <v>0</v>
      </c>
      <c r="CW33" s="55">
        <f>'28'!$BP$14</f>
        <v>0</v>
      </c>
      <c r="CX33" s="55">
        <f>'28'!$BQ$14</f>
        <v>0</v>
      </c>
      <c r="CY33" s="55">
        <f>'28'!$BR$14</f>
        <v>0</v>
      </c>
      <c r="CZ33" s="55">
        <f>'28'!$BS$14</f>
        <v>0</v>
      </c>
      <c r="DA33" s="55">
        <f>'28'!$BT$14</f>
        <v>0</v>
      </c>
      <c r="DB33" s="55">
        <f>'28'!$BU$14</f>
        <v>0</v>
      </c>
      <c r="DC33" s="55">
        <f>'28'!$BV$14</f>
        <v>0</v>
      </c>
      <c r="DD33" s="55">
        <f>'28'!$BW$14</f>
        <v>0</v>
      </c>
      <c r="DE33" s="55">
        <f>'28'!$BX$14</f>
        <v>0</v>
      </c>
      <c r="DF33" s="55">
        <f>'28'!$BY$14</f>
        <v>0</v>
      </c>
      <c r="DG33" s="55">
        <f>'28'!$BN$15</f>
        <v>0</v>
      </c>
      <c r="DH33" s="55">
        <f>'28'!$BO$15</f>
        <v>0</v>
      </c>
      <c r="DI33" s="55">
        <f>'28'!$BP$15</f>
        <v>0</v>
      </c>
      <c r="DJ33" s="55">
        <f>'28'!$BQ$15</f>
        <v>0</v>
      </c>
      <c r="DK33" s="55">
        <f>'28'!$BR$15</f>
        <v>0</v>
      </c>
      <c r="DL33" s="55">
        <f>'28'!$BS$15</f>
        <v>0</v>
      </c>
      <c r="DM33" s="55">
        <f>'28'!$BT$15</f>
        <v>0</v>
      </c>
      <c r="DN33" s="55">
        <f>'28'!$BU$15</f>
        <v>0</v>
      </c>
      <c r="DO33" s="55">
        <f>'28'!$BV$15</f>
        <v>0</v>
      </c>
      <c r="DP33" s="55">
        <f>'28'!$BW$15</f>
        <v>0</v>
      </c>
      <c r="DQ33" s="55">
        <f>'28'!$BX$15</f>
        <v>0</v>
      </c>
      <c r="DR33" s="55">
        <f>'28'!$BY$15</f>
        <v>0</v>
      </c>
      <c r="DS33" s="55">
        <f>'28'!$BN$16</f>
        <v>0</v>
      </c>
      <c r="DT33" s="55">
        <f>'28'!$BO$16</f>
        <v>0</v>
      </c>
      <c r="DU33" s="55">
        <f>'28'!$BP$16</f>
        <v>0</v>
      </c>
      <c r="DV33" s="55">
        <f>'28'!$BQ$16</f>
        <v>0</v>
      </c>
      <c r="DW33" s="55">
        <f>'28'!$BR$16</f>
        <v>0</v>
      </c>
      <c r="DX33" s="55">
        <f>'28'!$BS$16</f>
        <v>0</v>
      </c>
      <c r="DY33" s="55">
        <f>'28'!$BT$16</f>
        <v>0</v>
      </c>
      <c r="DZ33" s="55">
        <f>'28'!$BU$16</f>
        <v>0</v>
      </c>
      <c r="EA33" s="55">
        <f>'28'!$BV$16</f>
        <v>0</v>
      </c>
      <c r="EB33" s="55">
        <f>'28'!$BW$16</f>
        <v>0</v>
      </c>
      <c r="EC33" s="55">
        <f>'28'!$BX$16</f>
        <v>0</v>
      </c>
      <c r="ED33" s="55">
        <f>'28'!$BY$16</f>
        <v>0</v>
      </c>
      <c r="EE33" s="55">
        <f>'28'!$BN$17</f>
        <v>0</v>
      </c>
      <c r="EF33" s="55">
        <f>'28'!$BO$17</f>
        <v>0</v>
      </c>
      <c r="EG33" s="55">
        <f>'28'!$BP$17</f>
        <v>0</v>
      </c>
      <c r="EH33" s="55">
        <f>'28'!$BQ$17</f>
        <v>0</v>
      </c>
      <c r="EI33" s="55">
        <f>'28'!$BR$17</f>
        <v>0</v>
      </c>
      <c r="EJ33" s="55">
        <f>'28'!$BS$17</f>
        <v>0</v>
      </c>
      <c r="EK33" s="55">
        <f>'28'!$BT$17</f>
        <v>0</v>
      </c>
      <c r="EL33" s="55">
        <f>'28'!$BU$17</f>
        <v>0</v>
      </c>
      <c r="EM33" s="55">
        <f>'28'!$BV$17</f>
        <v>0</v>
      </c>
      <c r="EN33" s="55">
        <f>'28'!$BW$17</f>
        <v>0</v>
      </c>
      <c r="EO33" s="55">
        <f>'28'!$BX$17</f>
        <v>0</v>
      </c>
      <c r="EP33" s="55">
        <f>'28'!$BY$17</f>
        <v>0</v>
      </c>
      <c r="EQ33" s="55">
        <f>'28'!$BN$18</f>
        <v>0</v>
      </c>
      <c r="ER33" s="55">
        <f>'28'!$BO$18</f>
        <v>0</v>
      </c>
      <c r="ES33" s="55">
        <f>'28'!$BP$18</f>
        <v>0</v>
      </c>
      <c r="ET33" s="55">
        <f>'28'!$BQ$18</f>
        <v>0</v>
      </c>
      <c r="EU33" s="55">
        <f>'28'!$BR$18</f>
        <v>0</v>
      </c>
      <c r="EV33" s="55">
        <f>'28'!$BS$18</f>
        <v>0</v>
      </c>
      <c r="EW33" s="55">
        <f>'28'!$BT$18</f>
        <v>0</v>
      </c>
      <c r="EX33" s="55">
        <f>'28'!$BU$18</f>
        <v>0</v>
      </c>
      <c r="EY33" s="55">
        <f>'28'!$BV$18</f>
        <v>0</v>
      </c>
      <c r="EZ33" s="55">
        <f>'28'!$BW$18</f>
        <v>0</v>
      </c>
      <c r="FA33" s="55">
        <f>'28'!$BX$18</f>
        <v>0</v>
      </c>
      <c r="FB33" s="55">
        <f>'28'!$BY$18</f>
        <v>0</v>
      </c>
      <c r="FC33" s="55">
        <f>'28'!$BN$19</f>
        <v>0</v>
      </c>
      <c r="FD33" s="55">
        <f>'28'!$BO$19</f>
        <v>0</v>
      </c>
      <c r="FE33" s="55">
        <f>'28'!$BP$19</f>
        <v>0</v>
      </c>
      <c r="FF33" s="55">
        <f>'28'!$BQ$19</f>
        <v>0</v>
      </c>
      <c r="FG33" s="55">
        <f>'28'!$BR$19</f>
        <v>0</v>
      </c>
      <c r="FH33" s="55">
        <f>'28'!$BS$19</f>
        <v>0</v>
      </c>
      <c r="FI33" s="55">
        <f>'28'!$BT$19</f>
        <v>0</v>
      </c>
      <c r="FJ33" s="55">
        <f>'28'!$BU$19</f>
        <v>0</v>
      </c>
      <c r="FK33" s="55">
        <f>'28'!$BV$19</f>
        <v>0</v>
      </c>
      <c r="FL33" s="55">
        <f>'28'!$BW$19</f>
        <v>0</v>
      </c>
      <c r="FM33" s="55">
        <f>'28'!$BX$19</f>
        <v>0</v>
      </c>
      <c r="FN33" s="55">
        <f>'28'!$BY$19</f>
        <v>0</v>
      </c>
      <c r="FO33" s="55">
        <f>'28'!$BN$20</f>
        <v>0</v>
      </c>
      <c r="FP33" s="55">
        <f>'28'!$BO$20</f>
        <v>0</v>
      </c>
      <c r="FQ33" s="55">
        <f>'28'!$BP$20</f>
        <v>0</v>
      </c>
      <c r="FR33" s="55">
        <f>'28'!$BQ$20</f>
        <v>0</v>
      </c>
      <c r="FS33" s="55">
        <f>'28'!$BR$20</f>
        <v>0</v>
      </c>
      <c r="FT33" s="55">
        <f>'28'!$BS$20</f>
        <v>0</v>
      </c>
      <c r="FU33" s="55">
        <f>'28'!$BT$20</f>
        <v>0</v>
      </c>
      <c r="FV33" s="55">
        <f>'28'!$BU$20</f>
        <v>0</v>
      </c>
      <c r="FW33" s="55">
        <f>'28'!$BV$20</f>
        <v>0</v>
      </c>
      <c r="FX33" s="55">
        <f>'28'!$BW$20</f>
        <v>0</v>
      </c>
      <c r="FY33" s="55">
        <f>'28'!$BX$20</f>
        <v>0</v>
      </c>
      <c r="FZ33" s="55">
        <f>'28'!$BY$20</f>
        <v>0</v>
      </c>
      <c r="GA33" s="55">
        <f>'28'!$BN$21</f>
        <v>0</v>
      </c>
      <c r="GB33" s="55">
        <f>'28'!$BO$21</f>
        <v>0</v>
      </c>
      <c r="GC33" s="55">
        <f>'28'!$BP$21</f>
        <v>0</v>
      </c>
      <c r="GD33" s="55">
        <f>'28'!$BQ$21</f>
        <v>0</v>
      </c>
      <c r="GE33" s="55">
        <f>'28'!$BR$21</f>
        <v>0</v>
      </c>
      <c r="GF33" s="55">
        <f>'28'!$BS$21</f>
        <v>0</v>
      </c>
      <c r="GG33" s="55">
        <f>'28'!$BT$21</f>
        <v>0</v>
      </c>
      <c r="GH33" s="55">
        <f>'28'!$BU$21</f>
        <v>0</v>
      </c>
      <c r="GI33" s="55">
        <f>'28'!$BV$21</f>
        <v>0</v>
      </c>
      <c r="GJ33" s="55">
        <f>'28'!$BW$21</f>
        <v>0</v>
      </c>
      <c r="GK33" s="55">
        <f>'28'!$BX$21</f>
        <v>0</v>
      </c>
      <c r="GL33" s="55">
        <f>'28'!$BY$21</f>
        <v>0</v>
      </c>
      <c r="GM33" s="55">
        <f>'28'!$BN$22</f>
        <v>0</v>
      </c>
      <c r="GN33" s="55">
        <f>'28'!$BO$22</f>
        <v>0</v>
      </c>
      <c r="GO33" s="55">
        <f>'28'!$BP$22</f>
        <v>0</v>
      </c>
      <c r="GP33" s="55">
        <f>'28'!$BQ$22</f>
        <v>0</v>
      </c>
      <c r="GQ33" s="55">
        <f>'28'!$BR$22</f>
        <v>0</v>
      </c>
      <c r="GR33" s="55">
        <f>'28'!$BS$22</f>
        <v>0</v>
      </c>
      <c r="GS33" s="55">
        <f>'28'!$BT$22</f>
        <v>0</v>
      </c>
      <c r="GT33" s="55">
        <f>'28'!$BU$22</f>
        <v>0</v>
      </c>
      <c r="GU33" s="55">
        <f>'28'!$BV$22</f>
        <v>0</v>
      </c>
      <c r="GV33" s="55">
        <f>'28'!$BW$22</f>
        <v>0</v>
      </c>
      <c r="GW33" s="55">
        <f>'28'!$BX$22</f>
        <v>0</v>
      </c>
      <c r="GX33" s="55">
        <f>'28'!$BY$22</f>
        <v>0</v>
      </c>
      <c r="GY33" s="55">
        <f>'28'!$BN$23</f>
        <v>0</v>
      </c>
      <c r="GZ33" s="55">
        <f>'28'!$BO$23</f>
        <v>0</v>
      </c>
      <c r="HA33" s="55">
        <f>'28'!$BP$23</f>
        <v>0</v>
      </c>
      <c r="HB33" s="55">
        <f>'28'!$BQ$23</f>
        <v>0</v>
      </c>
      <c r="HC33" s="55">
        <f>'28'!$BR$23</f>
        <v>0</v>
      </c>
      <c r="HD33" s="55">
        <f>'28'!$BS$23</f>
        <v>0</v>
      </c>
      <c r="HE33" s="55">
        <f>'28'!$BT$23</f>
        <v>0</v>
      </c>
      <c r="HF33" s="55">
        <f>'28'!$BU$23</f>
        <v>0</v>
      </c>
      <c r="HG33" s="55">
        <f>'28'!$BV$23</f>
        <v>0</v>
      </c>
      <c r="HH33" s="55">
        <f>'28'!$BW$23</f>
        <v>0</v>
      </c>
      <c r="HI33" s="55">
        <f>'28'!$BX$23</f>
        <v>0</v>
      </c>
      <c r="HJ33" s="55">
        <f>'28'!$BY$23</f>
        <v>0</v>
      </c>
      <c r="HK33" s="55">
        <f>'28'!$BN$24</f>
        <v>0</v>
      </c>
      <c r="HL33" s="55">
        <f>'28'!$BO$24</f>
        <v>0</v>
      </c>
      <c r="HM33" s="55">
        <f>'28'!$BP$24</f>
        <v>0</v>
      </c>
      <c r="HN33" s="55">
        <f>'28'!$BQ$24</f>
        <v>0</v>
      </c>
      <c r="HO33" s="55">
        <f>'28'!$BR$24</f>
        <v>0</v>
      </c>
      <c r="HP33" s="55">
        <f>'28'!$BS$24</f>
        <v>0</v>
      </c>
      <c r="HQ33" s="55">
        <f>'28'!$BT$24</f>
        <v>0</v>
      </c>
      <c r="HR33" s="55">
        <f>'28'!$BU$24</f>
        <v>0</v>
      </c>
      <c r="HS33" s="55">
        <f>'28'!$BV$24</f>
        <v>0</v>
      </c>
      <c r="HT33" s="55">
        <f>'28'!$BW$24</f>
        <v>0</v>
      </c>
      <c r="HU33" s="55">
        <f>'28'!$BX$24</f>
        <v>0</v>
      </c>
      <c r="HV33" s="55">
        <f>'28'!$BY$24</f>
        <v>0</v>
      </c>
      <c r="HW33" s="55">
        <f>'28'!$BN$25</f>
        <v>0</v>
      </c>
      <c r="HX33" s="55">
        <f>'28'!$BO$25</f>
        <v>0</v>
      </c>
      <c r="HY33" s="55">
        <f>'28'!$BP$25</f>
        <v>0</v>
      </c>
      <c r="HZ33" s="55">
        <f>'28'!$BQ$25</f>
        <v>0</v>
      </c>
      <c r="IA33" s="55">
        <f>'28'!$BR$25</f>
        <v>0</v>
      </c>
      <c r="IB33" s="55">
        <f>'28'!$BS$25</f>
        <v>0</v>
      </c>
      <c r="IC33" s="55">
        <f>'28'!$BT$25</f>
        <v>0</v>
      </c>
      <c r="ID33" s="55">
        <f>'28'!$BU$25</f>
        <v>0</v>
      </c>
      <c r="IE33" s="55">
        <f>'28'!$BV$25</f>
        <v>0</v>
      </c>
      <c r="IF33" s="55">
        <f>'28'!$BW$25</f>
        <v>0</v>
      </c>
      <c r="IG33" s="55">
        <f>'28'!$BX$25</f>
        <v>0</v>
      </c>
      <c r="IH33" s="55">
        <f>'28'!$BY$25</f>
        <v>0</v>
      </c>
      <c r="II33" s="55">
        <f>'28'!$BN$26</f>
        <v>0</v>
      </c>
      <c r="IJ33" s="55">
        <f>'28'!$BO$26</f>
        <v>0</v>
      </c>
      <c r="IK33" s="55">
        <f>'28'!$BP$26</f>
        <v>0</v>
      </c>
      <c r="IL33" s="55">
        <f>'28'!$BQ$26</f>
        <v>0</v>
      </c>
      <c r="IM33" s="55">
        <f>'28'!$BR$26</f>
        <v>0</v>
      </c>
      <c r="IN33" s="55">
        <f>'28'!$BS$26</f>
        <v>0</v>
      </c>
      <c r="IO33" s="55">
        <f>'28'!$BT$26</f>
        <v>0</v>
      </c>
      <c r="IP33" s="55">
        <f>'28'!$BU$26</f>
        <v>0</v>
      </c>
      <c r="IQ33" s="55">
        <f>'28'!$BV$26</f>
        <v>0</v>
      </c>
      <c r="IR33" s="55">
        <f>'28'!$BW$26</f>
        <v>0</v>
      </c>
      <c r="IS33" s="55">
        <f>'28'!$BX$26</f>
        <v>0</v>
      </c>
      <c r="IT33" s="55">
        <f>'28'!$BY$26</f>
        <v>0</v>
      </c>
      <c r="IU33" s="55">
        <f>'28'!$BN$27</f>
        <v>0</v>
      </c>
      <c r="IV33" s="55">
        <f>'28'!$BO$27</f>
        <v>0</v>
      </c>
      <c r="IW33" s="55">
        <f>'28'!$BP$27</f>
        <v>0</v>
      </c>
      <c r="IX33" s="55">
        <f>'28'!$BQ$27</f>
        <v>0</v>
      </c>
      <c r="IY33" s="55">
        <f>'28'!$BR$27</f>
        <v>0</v>
      </c>
      <c r="IZ33" s="55">
        <f>'28'!$BS$27</f>
        <v>0</v>
      </c>
      <c r="JA33" s="55">
        <f>'28'!$BT$27</f>
        <v>0</v>
      </c>
      <c r="JB33" s="55">
        <f>'28'!$BU$27</f>
        <v>0</v>
      </c>
      <c r="JC33" s="55">
        <f>'28'!$BV$27</f>
        <v>0</v>
      </c>
      <c r="JD33" s="55">
        <f>'28'!$BW$27</f>
        <v>0</v>
      </c>
      <c r="JE33" s="55">
        <f>'28'!$BX$27</f>
        <v>0</v>
      </c>
      <c r="JF33" s="55">
        <f>'28'!$BY$27</f>
        <v>0</v>
      </c>
      <c r="JG33" s="55">
        <f>'28'!$BN$28</f>
        <v>0</v>
      </c>
      <c r="JH33" s="55">
        <f>'28'!$BO$28</f>
        <v>0</v>
      </c>
      <c r="JI33" s="55">
        <f>'28'!$BP$28</f>
        <v>0</v>
      </c>
      <c r="JJ33" s="55">
        <f>'28'!$BQ$28</f>
        <v>0</v>
      </c>
      <c r="JK33" s="55">
        <f>'28'!$BR$28</f>
        <v>0</v>
      </c>
      <c r="JL33" s="55">
        <f>'28'!$BS$28</f>
        <v>0</v>
      </c>
      <c r="JM33" s="55">
        <f>'28'!$BT$28</f>
        <v>0</v>
      </c>
      <c r="JN33" s="55">
        <f>'28'!$BU$28</f>
        <v>0</v>
      </c>
      <c r="JO33" s="55">
        <f>'28'!$BV$28</f>
        <v>0</v>
      </c>
      <c r="JP33" s="55">
        <f>'28'!$BW$28</f>
        <v>0</v>
      </c>
      <c r="JQ33" s="55">
        <f>'28'!$BX$28</f>
        <v>0</v>
      </c>
      <c r="JR33" s="55">
        <f>'28'!$BY$28</f>
        <v>0</v>
      </c>
      <c r="JS33" s="55">
        <f>'28'!$BN$29</f>
        <v>0</v>
      </c>
      <c r="JT33" s="55">
        <f>'28'!$BO$29</f>
        <v>0</v>
      </c>
      <c r="JU33" s="55">
        <f>'28'!$BP$29</f>
        <v>0</v>
      </c>
      <c r="JV33" s="55">
        <f>'28'!$BQ$29</f>
        <v>0</v>
      </c>
      <c r="JW33" s="55">
        <f>'28'!$BR$29</f>
        <v>0</v>
      </c>
      <c r="JX33" s="55">
        <f>'28'!$BS$29</f>
        <v>0</v>
      </c>
      <c r="JY33" s="55">
        <f>'28'!$BT$29</f>
        <v>0</v>
      </c>
      <c r="JZ33" s="55">
        <f>'28'!$BU$29</f>
        <v>0</v>
      </c>
      <c r="KA33" s="55">
        <f>'28'!$BV$29</f>
        <v>0</v>
      </c>
      <c r="KB33" s="55">
        <f>'28'!$BW$29</f>
        <v>0</v>
      </c>
      <c r="KC33" s="55">
        <f>'28'!$BX$29</f>
        <v>0</v>
      </c>
      <c r="KD33" s="55">
        <f>'28'!$BY$29</f>
        <v>0</v>
      </c>
    </row>
    <row r="34" spans="1:290" ht="15" x14ac:dyDescent="0.25">
      <c r="A34" s="50">
        <v>46202</v>
      </c>
      <c r="B34" s="52"/>
      <c r="C34" s="55">
        <f>'29'!$BN$6</f>
        <v>0</v>
      </c>
      <c r="D34" s="55">
        <f>'29'!$BO$6</f>
        <v>0</v>
      </c>
      <c r="E34" s="55">
        <f>'29'!$BP$6</f>
        <v>0</v>
      </c>
      <c r="F34" s="55">
        <f>'29'!$BQ$6</f>
        <v>0</v>
      </c>
      <c r="G34" s="55">
        <f>'29'!$BR$6</f>
        <v>0</v>
      </c>
      <c r="H34" s="55">
        <f>'29'!$BS$6</f>
        <v>0</v>
      </c>
      <c r="I34" s="55">
        <f>'29'!$BT$6</f>
        <v>0</v>
      </c>
      <c r="J34" s="55">
        <f>'29'!$BU$6</f>
        <v>0</v>
      </c>
      <c r="K34" s="55">
        <f>'29'!$BV$6</f>
        <v>0</v>
      </c>
      <c r="L34" s="55">
        <f>'29'!$BW$6</f>
        <v>0</v>
      </c>
      <c r="M34" s="55">
        <f>'29'!$BX$6</f>
        <v>0</v>
      </c>
      <c r="N34" s="55">
        <f>'29'!$BY$6</f>
        <v>0</v>
      </c>
      <c r="O34" s="55">
        <f>'29'!$BN$7</f>
        <v>0</v>
      </c>
      <c r="P34" s="55">
        <f>'29'!$BO$7</f>
        <v>0</v>
      </c>
      <c r="Q34" s="55">
        <f>'29'!$BP$7</f>
        <v>0</v>
      </c>
      <c r="R34" s="55">
        <f>'29'!$BQ$7</f>
        <v>0</v>
      </c>
      <c r="S34" s="55">
        <f>'29'!$BR$7</f>
        <v>0</v>
      </c>
      <c r="T34" s="55">
        <f>'29'!$BS$7</f>
        <v>0</v>
      </c>
      <c r="U34" s="55">
        <f>'29'!$BT$7</f>
        <v>0</v>
      </c>
      <c r="V34" s="55">
        <f>'29'!$BU$7</f>
        <v>0</v>
      </c>
      <c r="W34" s="55">
        <f>'29'!$BV$7</f>
        <v>0</v>
      </c>
      <c r="X34" s="55">
        <f>'29'!$BW$7</f>
        <v>0</v>
      </c>
      <c r="Y34" s="55">
        <f>'29'!$BX$7</f>
        <v>0</v>
      </c>
      <c r="Z34" s="55">
        <f>'29'!$BY$7</f>
        <v>0</v>
      </c>
      <c r="AA34" s="55">
        <f>'29'!$BN$8</f>
        <v>0</v>
      </c>
      <c r="AB34" s="55">
        <f>'29'!$BO$8</f>
        <v>0</v>
      </c>
      <c r="AC34" s="55">
        <f>'29'!$BP$8</f>
        <v>0</v>
      </c>
      <c r="AD34" s="55">
        <f>'29'!$BQ$8</f>
        <v>0</v>
      </c>
      <c r="AE34" s="55">
        <f>'29'!$BR$8</f>
        <v>0</v>
      </c>
      <c r="AF34" s="55">
        <f>'29'!$BS$8</f>
        <v>0</v>
      </c>
      <c r="AG34" s="55">
        <f>'29'!$BT$8</f>
        <v>0</v>
      </c>
      <c r="AH34" s="55">
        <f>'29'!$BU$8</f>
        <v>0</v>
      </c>
      <c r="AI34" s="55">
        <f>'29'!$BV$8</f>
        <v>0</v>
      </c>
      <c r="AJ34" s="55">
        <f>'29'!$BW$8</f>
        <v>0</v>
      </c>
      <c r="AK34" s="55">
        <f>'29'!$BX$8</f>
        <v>0</v>
      </c>
      <c r="AL34" s="55">
        <f>'29'!$BY$8</f>
        <v>0</v>
      </c>
      <c r="AM34" s="55">
        <f>'29'!$BN$9</f>
        <v>0</v>
      </c>
      <c r="AN34" s="55">
        <f>'29'!$BO$9</f>
        <v>0</v>
      </c>
      <c r="AO34" s="55">
        <f>'29'!$BP$9</f>
        <v>0</v>
      </c>
      <c r="AP34" s="55">
        <f>'29'!$BQ$9</f>
        <v>0</v>
      </c>
      <c r="AQ34" s="55">
        <f>'29'!$BR$9</f>
        <v>0</v>
      </c>
      <c r="AR34" s="55">
        <f>'29'!$BS$9</f>
        <v>0</v>
      </c>
      <c r="AS34" s="55">
        <f>'29'!$BT$9</f>
        <v>0</v>
      </c>
      <c r="AT34" s="55">
        <f>'29'!$BU$9</f>
        <v>0</v>
      </c>
      <c r="AU34" s="55">
        <f>'29'!$BV$9</f>
        <v>0</v>
      </c>
      <c r="AV34" s="55">
        <f>'29'!$BW$9</f>
        <v>0</v>
      </c>
      <c r="AW34" s="55">
        <f>'29'!$BX$9</f>
        <v>0</v>
      </c>
      <c r="AX34" s="55">
        <f>'29'!$BY$9</f>
        <v>0</v>
      </c>
      <c r="AY34" s="55">
        <f>'29'!$BN$10</f>
        <v>0</v>
      </c>
      <c r="AZ34" s="55">
        <f>'29'!$BO$10</f>
        <v>0</v>
      </c>
      <c r="BA34" s="55">
        <f>'29'!$BP$10</f>
        <v>0</v>
      </c>
      <c r="BB34" s="55">
        <f>'29'!$BQ$10</f>
        <v>0</v>
      </c>
      <c r="BC34" s="55">
        <f>'29'!$BR$10</f>
        <v>0</v>
      </c>
      <c r="BD34" s="55">
        <f>'29'!$BS$10</f>
        <v>0</v>
      </c>
      <c r="BE34" s="55">
        <f>'29'!$BT$10</f>
        <v>0</v>
      </c>
      <c r="BF34" s="55">
        <f>'29'!$BU$10</f>
        <v>0</v>
      </c>
      <c r="BG34" s="55">
        <f>'29'!$BV$10</f>
        <v>0</v>
      </c>
      <c r="BH34" s="55">
        <f>'29'!$BW$10</f>
        <v>0</v>
      </c>
      <c r="BI34" s="55">
        <f>'29'!$BX$10</f>
        <v>0</v>
      </c>
      <c r="BJ34" s="55">
        <f>'29'!$BY$10</f>
        <v>0</v>
      </c>
      <c r="BK34" s="55">
        <f>'29'!$BN$11</f>
        <v>0</v>
      </c>
      <c r="BL34" s="55">
        <f>'29'!$BO$11</f>
        <v>0</v>
      </c>
      <c r="BM34" s="55">
        <f>'29'!$BP$11</f>
        <v>0</v>
      </c>
      <c r="BN34" s="55">
        <f>'29'!$BQ$11</f>
        <v>0</v>
      </c>
      <c r="BO34" s="55">
        <f>'29'!$BR$11</f>
        <v>0</v>
      </c>
      <c r="BP34" s="55">
        <f>'29'!$BS$11</f>
        <v>0</v>
      </c>
      <c r="BQ34" s="55">
        <f>'29'!$BT$11</f>
        <v>0</v>
      </c>
      <c r="BR34" s="55">
        <f>'29'!$BU$11</f>
        <v>0</v>
      </c>
      <c r="BS34" s="55">
        <f>'29'!$BV$11</f>
        <v>0</v>
      </c>
      <c r="BT34" s="55">
        <f>'29'!$BW$11</f>
        <v>0</v>
      </c>
      <c r="BU34" s="55">
        <f>'29'!$BX$11</f>
        <v>0</v>
      </c>
      <c r="BV34" s="55">
        <f>'29'!$BY$11</f>
        <v>0</v>
      </c>
      <c r="BW34" s="55">
        <f>'29'!$BN$12</f>
        <v>0</v>
      </c>
      <c r="BX34" s="55">
        <f>'29'!$BO$12</f>
        <v>0</v>
      </c>
      <c r="BY34" s="55">
        <f>'29'!$BP$12</f>
        <v>0</v>
      </c>
      <c r="BZ34" s="55">
        <f>'29'!$BQ$12</f>
        <v>0</v>
      </c>
      <c r="CA34" s="55">
        <f>'29'!$BR$12</f>
        <v>0</v>
      </c>
      <c r="CB34" s="55">
        <f>'29'!$BS$12</f>
        <v>0</v>
      </c>
      <c r="CC34" s="55">
        <f>'29'!$BT$12</f>
        <v>0</v>
      </c>
      <c r="CD34" s="55">
        <f>'29'!$BU$12</f>
        <v>0</v>
      </c>
      <c r="CE34" s="55">
        <f>'29'!$BV$12</f>
        <v>0</v>
      </c>
      <c r="CF34" s="55">
        <f>'29'!$BW$12</f>
        <v>0</v>
      </c>
      <c r="CG34" s="55">
        <f>'29'!$BX$12</f>
        <v>0</v>
      </c>
      <c r="CH34" s="55">
        <f>'29'!$BY$12</f>
        <v>0</v>
      </c>
      <c r="CI34" s="55">
        <f>'29'!$BN$13</f>
        <v>0</v>
      </c>
      <c r="CJ34" s="55">
        <f>'29'!$BO$13</f>
        <v>0</v>
      </c>
      <c r="CK34" s="55">
        <f>'29'!$BP$13</f>
        <v>0</v>
      </c>
      <c r="CL34" s="55">
        <f>'29'!$BQ$13</f>
        <v>0</v>
      </c>
      <c r="CM34" s="55">
        <f>'29'!$BR$13</f>
        <v>0</v>
      </c>
      <c r="CN34" s="55">
        <f>'29'!$BS$13</f>
        <v>0</v>
      </c>
      <c r="CO34" s="55">
        <f>'29'!$BT$13</f>
        <v>0</v>
      </c>
      <c r="CP34" s="55">
        <f>'29'!$BU$13</f>
        <v>0</v>
      </c>
      <c r="CQ34" s="55">
        <f>'29'!$BV$13</f>
        <v>0</v>
      </c>
      <c r="CR34" s="55">
        <f>'29'!$BW$13</f>
        <v>0</v>
      </c>
      <c r="CS34" s="55">
        <f>'29'!$BX$13</f>
        <v>0</v>
      </c>
      <c r="CT34" s="55">
        <f>'29'!$BY$13</f>
        <v>0</v>
      </c>
      <c r="CU34" s="55">
        <f>'29'!$BN$14</f>
        <v>0</v>
      </c>
      <c r="CV34" s="55">
        <f>'29'!$BO$14</f>
        <v>0</v>
      </c>
      <c r="CW34" s="55">
        <f>'29'!$BP$14</f>
        <v>0</v>
      </c>
      <c r="CX34" s="55">
        <f>'29'!$BQ$14</f>
        <v>0</v>
      </c>
      <c r="CY34" s="55">
        <f>'29'!$BR$14</f>
        <v>0</v>
      </c>
      <c r="CZ34" s="55">
        <f>'29'!$BS$14</f>
        <v>0</v>
      </c>
      <c r="DA34" s="55">
        <f>'29'!$BT$14</f>
        <v>0</v>
      </c>
      <c r="DB34" s="55">
        <f>'29'!$BU$14</f>
        <v>0</v>
      </c>
      <c r="DC34" s="55">
        <f>'29'!$BV$14</f>
        <v>0</v>
      </c>
      <c r="DD34" s="55">
        <f>'29'!$BW$14</f>
        <v>0</v>
      </c>
      <c r="DE34" s="55">
        <f>'29'!$BX$14</f>
        <v>0</v>
      </c>
      <c r="DF34" s="55">
        <f>'29'!$BY$14</f>
        <v>0</v>
      </c>
      <c r="DG34" s="55">
        <f>'29'!$BN$15</f>
        <v>0</v>
      </c>
      <c r="DH34" s="55">
        <f>'29'!$BO$15</f>
        <v>0</v>
      </c>
      <c r="DI34" s="55">
        <f>'29'!$BP$15</f>
        <v>0</v>
      </c>
      <c r="DJ34" s="55">
        <f>'29'!$BQ$15</f>
        <v>0</v>
      </c>
      <c r="DK34" s="55">
        <f>'29'!$BR$15</f>
        <v>0</v>
      </c>
      <c r="DL34" s="55">
        <f>'29'!$BS$15</f>
        <v>0</v>
      </c>
      <c r="DM34" s="55">
        <f>'29'!$BT$15</f>
        <v>0</v>
      </c>
      <c r="DN34" s="55">
        <f>'29'!$BU$15</f>
        <v>0</v>
      </c>
      <c r="DO34" s="55">
        <f>'29'!$BV$15</f>
        <v>0</v>
      </c>
      <c r="DP34" s="55">
        <f>'29'!$BW$15</f>
        <v>0</v>
      </c>
      <c r="DQ34" s="55">
        <f>'29'!$BX$15</f>
        <v>0</v>
      </c>
      <c r="DR34" s="55">
        <f>'29'!$BY$15</f>
        <v>0</v>
      </c>
      <c r="DS34" s="55">
        <f>'29'!$BN$16</f>
        <v>0</v>
      </c>
      <c r="DT34" s="55">
        <f>'29'!$BO$16</f>
        <v>0</v>
      </c>
      <c r="DU34" s="55">
        <f>'29'!$BP$16</f>
        <v>0</v>
      </c>
      <c r="DV34" s="55">
        <f>'29'!$BQ$16</f>
        <v>0</v>
      </c>
      <c r="DW34" s="55">
        <f>'29'!$BR$16</f>
        <v>0</v>
      </c>
      <c r="DX34" s="55">
        <f>'29'!$BS$16</f>
        <v>0</v>
      </c>
      <c r="DY34" s="55">
        <f>'29'!$BT$16</f>
        <v>0</v>
      </c>
      <c r="DZ34" s="55">
        <f>'29'!$BU$16</f>
        <v>0</v>
      </c>
      <c r="EA34" s="55">
        <f>'29'!$BV$16</f>
        <v>0</v>
      </c>
      <c r="EB34" s="55">
        <f>'29'!$BW$16</f>
        <v>0</v>
      </c>
      <c r="EC34" s="55">
        <f>'29'!$BX$16</f>
        <v>0</v>
      </c>
      <c r="ED34" s="55">
        <f>'29'!$BY$16</f>
        <v>0</v>
      </c>
      <c r="EE34" s="55">
        <f>'29'!$BN$17</f>
        <v>0</v>
      </c>
      <c r="EF34" s="55">
        <f>'29'!$BO$17</f>
        <v>0</v>
      </c>
      <c r="EG34" s="55">
        <f>'29'!$BP$17</f>
        <v>0</v>
      </c>
      <c r="EH34" s="55">
        <f>'29'!$BQ$17</f>
        <v>0</v>
      </c>
      <c r="EI34" s="55">
        <f>'29'!$BR$17</f>
        <v>0</v>
      </c>
      <c r="EJ34" s="55">
        <f>'29'!$BS$17</f>
        <v>0</v>
      </c>
      <c r="EK34" s="55">
        <f>'29'!$BT$17</f>
        <v>0</v>
      </c>
      <c r="EL34" s="55">
        <f>'29'!$BU$17</f>
        <v>0</v>
      </c>
      <c r="EM34" s="55">
        <f>'29'!$BV$17</f>
        <v>0</v>
      </c>
      <c r="EN34" s="55">
        <f>'29'!$BW$17</f>
        <v>0</v>
      </c>
      <c r="EO34" s="55">
        <f>'29'!$BX$17</f>
        <v>0</v>
      </c>
      <c r="EP34" s="55">
        <f>'29'!$BY$17</f>
        <v>0</v>
      </c>
      <c r="EQ34" s="55">
        <f>'29'!$BN$18</f>
        <v>0</v>
      </c>
      <c r="ER34" s="55">
        <f>'29'!$BO$18</f>
        <v>0</v>
      </c>
      <c r="ES34" s="55">
        <f>'29'!$BP$18</f>
        <v>0</v>
      </c>
      <c r="ET34" s="55">
        <f>'29'!$BQ$18</f>
        <v>0</v>
      </c>
      <c r="EU34" s="55">
        <f>'29'!$BR$18</f>
        <v>0</v>
      </c>
      <c r="EV34" s="55">
        <f>'29'!$BS$18</f>
        <v>0</v>
      </c>
      <c r="EW34" s="55">
        <f>'29'!$BT$18</f>
        <v>0</v>
      </c>
      <c r="EX34" s="55">
        <f>'29'!$BU$18</f>
        <v>0</v>
      </c>
      <c r="EY34" s="55">
        <f>'29'!$BV$18</f>
        <v>0</v>
      </c>
      <c r="EZ34" s="55">
        <f>'29'!$BW$18</f>
        <v>0</v>
      </c>
      <c r="FA34" s="55">
        <f>'29'!$BX$18</f>
        <v>0</v>
      </c>
      <c r="FB34" s="55">
        <f>'29'!$BY$18</f>
        <v>0</v>
      </c>
      <c r="FC34" s="55">
        <f>'29'!$BN$19</f>
        <v>0</v>
      </c>
      <c r="FD34" s="55">
        <f>'29'!$BO$19</f>
        <v>0</v>
      </c>
      <c r="FE34" s="55">
        <f>'29'!$BP$19</f>
        <v>0</v>
      </c>
      <c r="FF34" s="55">
        <f>'29'!$BQ$19</f>
        <v>0</v>
      </c>
      <c r="FG34" s="55">
        <f>'29'!$BR$19</f>
        <v>0</v>
      </c>
      <c r="FH34" s="55">
        <f>'29'!$BS$19</f>
        <v>0</v>
      </c>
      <c r="FI34" s="55">
        <f>'29'!$BT$19</f>
        <v>0</v>
      </c>
      <c r="FJ34" s="55">
        <f>'29'!$BU$19</f>
        <v>0</v>
      </c>
      <c r="FK34" s="55">
        <f>'29'!$BV$19</f>
        <v>0</v>
      </c>
      <c r="FL34" s="55">
        <f>'29'!$BW$19</f>
        <v>0</v>
      </c>
      <c r="FM34" s="55">
        <f>'29'!$BX$19</f>
        <v>0</v>
      </c>
      <c r="FN34" s="55">
        <f>'29'!$BY$19</f>
        <v>0</v>
      </c>
      <c r="FO34" s="55">
        <f>'29'!$BN$20</f>
        <v>0</v>
      </c>
      <c r="FP34" s="55">
        <f>'29'!$BO$20</f>
        <v>0</v>
      </c>
      <c r="FQ34" s="55">
        <f>'29'!$BP$20</f>
        <v>0</v>
      </c>
      <c r="FR34" s="55">
        <f>'29'!$BQ$20</f>
        <v>0</v>
      </c>
      <c r="FS34" s="55">
        <f>'29'!$BR$20</f>
        <v>0</v>
      </c>
      <c r="FT34" s="55">
        <f>'29'!$BS$20</f>
        <v>0</v>
      </c>
      <c r="FU34" s="55">
        <f>'29'!$BT$20</f>
        <v>0</v>
      </c>
      <c r="FV34" s="55">
        <f>'29'!$BU$20</f>
        <v>0</v>
      </c>
      <c r="FW34" s="55">
        <f>'29'!$BV$20</f>
        <v>0</v>
      </c>
      <c r="FX34" s="55">
        <f>'29'!$BW$20</f>
        <v>0</v>
      </c>
      <c r="FY34" s="55">
        <f>'29'!$BX$20</f>
        <v>0</v>
      </c>
      <c r="FZ34" s="55">
        <f>'29'!$BY$20</f>
        <v>0</v>
      </c>
      <c r="GA34" s="55">
        <f>'29'!$BN$21</f>
        <v>0</v>
      </c>
      <c r="GB34" s="55">
        <f>'29'!$BO$21</f>
        <v>0</v>
      </c>
      <c r="GC34" s="55">
        <f>'29'!$BP$21</f>
        <v>0</v>
      </c>
      <c r="GD34" s="55">
        <f>'29'!$BQ$21</f>
        <v>0</v>
      </c>
      <c r="GE34" s="55">
        <f>'29'!$BR$21</f>
        <v>0</v>
      </c>
      <c r="GF34" s="55">
        <f>'29'!$BS$21</f>
        <v>0</v>
      </c>
      <c r="GG34" s="55">
        <f>'29'!$BT$21</f>
        <v>0</v>
      </c>
      <c r="GH34" s="55">
        <f>'29'!$BU$21</f>
        <v>0</v>
      </c>
      <c r="GI34" s="55">
        <f>'29'!$BV$21</f>
        <v>0</v>
      </c>
      <c r="GJ34" s="55">
        <f>'29'!$BW$21</f>
        <v>0</v>
      </c>
      <c r="GK34" s="55">
        <f>'29'!$BX$21</f>
        <v>0</v>
      </c>
      <c r="GL34" s="55">
        <f>'29'!$BY$21</f>
        <v>0</v>
      </c>
      <c r="GM34" s="55">
        <f>'29'!$BN$22</f>
        <v>0</v>
      </c>
      <c r="GN34" s="55">
        <f>'29'!$BO$22</f>
        <v>0</v>
      </c>
      <c r="GO34" s="55">
        <f>'29'!$BP$22</f>
        <v>0</v>
      </c>
      <c r="GP34" s="55">
        <f>'29'!$BQ$22</f>
        <v>0</v>
      </c>
      <c r="GQ34" s="55">
        <f>'29'!$BR$22</f>
        <v>0</v>
      </c>
      <c r="GR34" s="55">
        <f>'29'!$BS$22</f>
        <v>0</v>
      </c>
      <c r="GS34" s="55">
        <f>'29'!$BT$22</f>
        <v>0</v>
      </c>
      <c r="GT34" s="55">
        <f>'29'!$BU$22</f>
        <v>0</v>
      </c>
      <c r="GU34" s="55">
        <f>'29'!$BV$22</f>
        <v>0</v>
      </c>
      <c r="GV34" s="55">
        <f>'29'!$BW$22</f>
        <v>0</v>
      </c>
      <c r="GW34" s="55">
        <f>'29'!$BX$22</f>
        <v>0</v>
      </c>
      <c r="GX34" s="55">
        <f>'29'!$BY$22</f>
        <v>0</v>
      </c>
      <c r="GY34" s="55">
        <f>'29'!$BN$23</f>
        <v>0</v>
      </c>
      <c r="GZ34" s="55">
        <f>'29'!$BO$23</f>
        <v>0</v>
      </c>
      <c r="HA34" s="55">
        <f>'29'!$BP$23</f>
        <v>0</v>
      </c>
      <c r="HB34" s="55">
        <f>'29'!$BQ$23</f>
        <v>0</v>
      </c>
      <c r="HC34" s="55">
        <f>'29'!$BR$23</f>
        <v>0</v>
      </c>
      <c r="HD34" s="55">
        <f>'29'!$BS$23</f>
        <v>0</v>
      </c>
      <c r="HE34" s="55">
        <f>'29'!$BT$23</f>
        <v>0</v>
      </c>
      <c r="HF34" s="55">
        <f>'29'!$BU$23</f>
        <v>0</v>
      </c>
      <c r="HG34" s="55">
        <f>'29'!$BV$23</f>
        <v>0</v>
      </c>
      <c r="HH34" s="55">
        <f>'29'!$BW$23</f>
        <v>0</v>
      </c>
      <c r="HI34" s="55">
        <f>'29'!$BX$23</f>
        <v>0</v>
      </c>
      <c r="HJ34" s="55">
        <f>'29'!$BY$23</f>
        <v>0</v>
      </c>
      <c r="HK34" s="55">
        <f>'29'!$BN$24</f>
        <v>0</v>
      </c>
      <c r="HL34" s="55">
        <f>'29'!$BO$24</f>
        <v>0</v>
      </c>
      <c r="HM34" s="55">
        <f>'29'!$BP$24</f>
        <v>0</v>
      </c>
      <c r="HN34" s="55">
        <f>'29'!$BQ$24</f>
        <v>0</v>
      </c>
      <c r="HO34" s="55">
        <f>'29'!$BR$24</f>
        <v>0</v>
      </c>
      <c r="HP34" s="55">
        <f>'29'!$BS$24</f>
        <v>0</v>
      </c>
      <c r="HQ34" s="55">
        <f>'29'!$BT$24</f>
        <v>0</v>
      </c>
      <c r="HR34" s="55">
        <f>'29'!$BU$24</f>
        <v>0</v>
      </c>
      <c r="HS34" s="55">
        <f>'29'!$BV$24</f>
        <v>0</v>
      </c>
      <c r="HT34" s="55">
        <f>'29'!$BW$24</f>
        <v>0</v>
      </c>
      <c r="HU34" s="55">
        <f>'29'!$BX$24</f>
        <v>0</v>
      </c>
      <c r="HV34" s="55">
        <f>'29'!$BY$24</f>
        <v>0</v>
      </c>
      <c r="HW34" s="55">
        <f>'29'!$BN$25</f>
        <v>0</v>
      </c>
      <c r="HX34" s="55">
        <f>'29'!$BO$25</f>
        <v>0</v>
      </c>
      <c r="HY34" s="55">
        <f>'29'!$BP$25</f>
        <v>0</v>
      </c>
      <c r="HZ34" s="55">
        <f>'29'!$BQ$25</f>
        <v>0</v>
      </c>
      <c r="IA34" s="55">
        <f>'29'!$BR$25</f>
        <v>0</v>
      </c>
      <c r="IB34" s="55">
        <f>'29'!$BS$25</f>
        <v>0</v>
      </c>
      <c r="IC34" s="55">
        <f>'29'!$BT$25</f>
        <v>0</v>
      </c>
      <c r="ID34" s="55">
        <f>'29'!$BU$25</f>
        <v>0</v>
      </c>
      <c r="IE34" s="55">
        <f>'29'!$BV$25</f>
        <v>0</v>
      </c>
      <c r="IF34" s="55">
        <f>'29'!$BW$25</f>
        <v>0</v>
      </c>
      <c r="IG34" s="55">
        <f>'29'!$BX$25</f>
        <v>0</v>
      </c>
      <c r="IH34" s="55">
        <f>'29'!$BY$25</f>
        <v>0</v>
      </c>
      <c r="II34" s="55">
        <f>'29'!$BN$26</f>
        <v>0</v>
      </c>
      <c r="IJ34" s="55">
        <f>'29'!$BO$26</f>
        <v>0</v>
      </c>
      <c r="IK34" s="55">
        <f>'29'!$BP$26</f>
        <v>0</v>
      </c>
      <c r="IL34" s="55">
        <f>'29'!$BQ$26</f>
        <v>0</v>
      </c>
      <c r="IM34" s="55">
        <f>'29'!$BR$26</f>
        <v>0</v>
      </c>
      <c r="IN34" s="55">
        <f>'29'!$BS$26</f>
        <v>0</v>
      </c>
      <c r="IO34" s="55">
        <f>'29'!$BT$26</f>
        <v>0</v>
      </c>
      <c r="IP34" s="55">
        <f>'29'!$BU$26</f>
        <v>0</v>
      </c>
      <c r="IQ34" s="55">
        <f>'29'!$BV$26</f>
        <v>0</v>
      </c>
      <c r="IR34" s="55">
        <f>'29'!$BW$26</f>
        <v>0</v>
      </c>
      <c r="IS34" s="55">
        <f>'29'!$BX$26</f>
        <v>0</v>
      </c>
      <c r="IT34" s="55">
        <f>'29'!$BY$26</f>
        <v>0</v>
      </c>
      <c r="IU34" s="55">
        <f>'29'!$BN$27</f>
        <v>0</v>
      </c>
      <c r="IV34" s="55">
        <f>'29'!$BO$27</f>
        <v>0</v>
      </c>
      <c r="IW34" s="55">
        <f>'29'!$BP$27</f>
        <v>0</v>
      </c>
      <c r="IX34" s="55">
        <f>'29'!$BQ$27</f>
        <v>0</v>
      </c>
      <c r="IY34" s="55">
        <f>'29'!$BR$27</f>
        <v>0</v>
      </c>
      <c r="IZ34" s="55">
        <f>'29'!$BS$27</f>
        <v>0</v>
      </c>
      <c r="JA34" s="55">
        <f>'29'!$BT$27</f>
        <v>0</v>
      </c>
      <c r="JB34" s="55">
        <f>'29'!$BU$27</f>
        <v>0</v>
      </c>
      <c r="JC34" s="55">
        <f>'29'!$BV$27</f>
        <v>0</v>
      </c>
      <c r="JD34" s="55">
        <f>'29'!$BW$27</f>
        <v>0</v>
      </c>
      <c r="JE34" s="55">
        <f>'29'!$BX$27</f>
        <v>0</v>
      </c>
      <c r="JF34" s="55">
        <f>'29'!$BY$27</f>
        <v>0</v>
      </c>
      <c r="JG34" s="55">
        <f>'29'!$BN$28</f>
        <v>0</v>
      </c>
      <c r="JH34" s="55">
        <f>'29'!$BO$28</f>
        <v>0</v>
      </c>
      <c r="JI34" s="55">
        <f>'29'!$BP$28</f>
        <v>0</v>
      </c>
      <c r="JJ34" s="55">
        <f>'29'!$BQ$28</f>
        <v>0</v>
      </c>
      <c r="JK34" s="55">
        <f>'29'!$BR$28</f>
        <v>0</v>
      </c>
      <c r="JL34" s="55">
        <f>'29'!$BS$28</f>
        <v>0</v>
      </c>
      <c r="JM34" s="55">
        <f>'29'!$BT$28</f>
        <v>0</v>
      </c>
      <c r="JN34" s="55">
        <f>'29'!$BU$28</f>
        <v>0</v>
      </c>
      <c r="JO34" s="55">
        <f>'29'!$BV$28</f>
        <v>0</v>
      </c>
      <c r="JP34" s="55">
        <f>'29'!$BW$28</f>
        <v>0</v>
      </c>
      <c r="JQ34" s="55">
        <f>'29'!$BX$28</f>
        <v>0</v>
      </c>
      <c r="JR34" s="55">
        <f>'29'!$BY$28</f>
        <v>0</v>
      </c>
      <c r="JS34" s="55">
        <f>'29'!$BN$29</f>
        <v>0</v>
      </c>
      <c r="JT34" s="55">
        <f>'29'!$BO$29</f>
        <v>0</v>
      </c>
      <c r="JU34" s="55">
        <f>'29'!$BP$29</f>
        <v>0</v>
      </c>
      <c r="JV34" s="55">
        <f>'29'!$BQ$29</f>
        <v>0</v>
      </c>
      <c r="JW34" s="55">
        <f>'29'!$BR$29</f>
        <v>0</v>
      </c>
      <c r="JX34" s="55">
        <f>'29'!$BS$29</f>
        <v>0</v>
      </c>
      <c r="JY34" s="55">
        <f>'29'!$BT$29</f>
        <v>0</v>
      </c>
      <c r="JZ34" s="55">
        <f>'29'!$BU$29</f>
        <v>0</v>
      </c>
      <c r="KA34" s="55">
        <f>'29'!$BV$29</f>
        <v>0</v>
      </c>
      <c r="KB34" s="55">
        <f>'29'!$BW$29</f>
        <v>0</v>
      </c>
      <c r="KC34" s="55">
        <f>'29'!$BX$29</f>
        <v>0</v>
      </c>
      <c r="KD34" s="55">
        <f>'29'!$BY$29</f>
        <v>0</v>
      </c>
    </row>
    <row r="35" spans="1:290" ht="15" x14ac:dyDescent="0.25">
      <c r="A35" s="50">
        <v>46203</v>
      </c>
      <c r="B35" s="52"/>
      <c r="C35" s="55">
        <f>'30'!$BN$6</f>
        <v>0</v>
      </c>
      <c r="D35" s="55">
        <f>'30'!$BO$6</f>
        <v>0</v>
      </c>
      <c r="E35" s="55">
        <f>'30'!$BP$6</f>
        <v>0</v>
      </c>
      <c r="F35" s="55">
        <f>'30'!$BQ$6</f>
        <v>0</v>
      </c>
      <c r="G35" s="55">
        <f>'30'!$BR$6</f>
        <v>0</v>
      </c>
      <c r="H35" s="55">
        <f>'30'!$BS$6</f>
        <v>0</v>
      </c>
      <c r="I35" s="55">
        <f>'30'!$BT$6</f>
        <v>0</v>
      </c>
      <c r="J35" s="55">
        <f>'30'!$BU$6</f>
        <v>0</v>
      </c>
      <c r="K35" s="55">
        <f>'30'!$BV$6</f>
        <v>0</v>
      </c>
      <c r="L35" s="55">
        <f>'30'!$BW$6</f>
        <v>0</v>
      </c>
      <c r="M35" s="55">
        <f>'30'!$BX$6</f>
        <v>0</v>
      </c>
      <c r="N35" s="55">
        <f>'30'!$BY$6</f>
        <v>0</v>
      </c>
      <c r="O35" s="55">
        <f>'30'!$BN$7</f>
        <v>0</v>
      </c>
      <c r="P35" s="55">
        <f>'30'!$BO$7</f>
        <v>0</v>
      </c>
      <c r="Q35" s="55">
        <f>'30'!$BP$7</f>
        <v>0</v>
      </c>
      <c r="R35" s="55">
        <f>'30'!$BQ$7</f>
        <v>0</v>
      </c>
      <c r="S35" s="55">
        <f>'30'!$BR$7</f>
        <v>0</v>
      </c>
      <c r="T35" s="55">
        <f>'30'!$BS$7</f>
        <v>0</v>
      </c>
      <c r="U35" s="55">
        <f>'30'!$BT$7</f>
        <v>0</v>
      </c>
      <c r="V35" s="55">
        <f>'30'!$BU$7</f>
        <v>0</v>
      </c>
      <c r="W35" s="55">
        <f>'30'!$BV$7</f>
        <v>0</v>
      </c>
      <c r="X35" s="55">
        <f>'30'!$BW$7</f>
        <v>0</v>
      </c>
      <c r="Y35" s="55">
        <f>'30'!$BX$7</f>
        <v>0</v>
      </c>
      <c r="Z35" s="55">
        <f>'30'!$BY$7</f>
        <v>0</v>
      </c>
      <c r="AA35" s="55">
        <f>'30'!$BN$8</f>
        <v>0</v>
      </c>
      <c r="AB35" s="55">
        <f>'30'!$BO$8</f>
        <v>0</v>
      </c>
      <c r="AC35" s="55">
        <f>'30'!$BP$8</f>
        <v>0</v>
      </c>
      <c r="AD35" s="55">
        <f>'30'!$BQ$8</f>
        <v>0</v>
      </c>
      <c r="AE35" s="55">
        <f>'30'!$BR$8</f>
        <v>0</v>
      </c>
      <c r="AF35" s="55">
        <f>'30'!$BS$8</f>
        <v>0</v>
      </c>
      <c r="AG35" s="55">
        <f>'30'!$BT$8</f>
        <v>0</v>
      </c>
      <c r="AH35" s="55">
        <f>'30'!$BU$8</f>
        <v>0</v>
      </c>
      <c r="AI35" s="55">
        <f>'30'!$BV$8</f>
        <v>0</v>
      </c>
      <c r="AJ35" s="55">
        <f>'30'!$BW$8</f>
        <v>0</v>
      </c>
      <c r="AK35" s="55">
        <f>'30'!$BX$8</f>
        <v>0</v>
      </c>
      <c r="AL35" s="55">
        <f>'30'!$BY$8</f>
        <v>0</v>
      </c>
      <c r="AM35" s="55">
        <f>'30'!$BN$9</f>
        <v>0</v>
      </c>
      <c r="AN35" s="55">
        <f>'30'!$BO$9</f>
        <v>0</v>
      </c>
      <c r="AO35" s="55">
        <f>'30'!$BP$9</f>
        <v>0</v>
      </c>
      <c r="AP35" s="55">
        <f>'30'!$BQ$9</f>
        <v>0</v>
      </c>
      <c r="AQ35" s="55">
        <f>'30'!$BR$9</f>
        <v>0</v>
      </c>
      <c r="AR35" s="55">
        <f>'30'!$BS$9</f>
        <v>0</v>
      </c>
      <c r="AS35" s="55">
        <f>'30'!$BT$9</f>
        <v>0</v>
      </c>
      <c r="AT35" s="55">
        <f>'30'!$BU$9</f>
        <v>0</v>
      </c>
      <c r="AU35" s="55">
        <f>'30'!$BV$9</f>
        <v>0</v>
      </c>
      <c r="AV35" s="55">
        <f>'30'!$BW$9</f>
        <v>0</v>
      </c>
      <c r="AW35" s="55">
        <f>'30'!$BX$9</f>
        <v>0</v>
      </c>
      <c r="AX35" s="55">
        <f>'30'!$BY$9</f>
        <v>0</v>
      </c>
      <c r="AY35" s="55">
        <f>'30'!$BN$10</f>
        <v>0</v>
      </c>
      <c r="AZ35" s="55">
        <f>'30'!$BO$10</f>
        <v>0</v>
      </c>
      <c r="BA35" s="55">
        <f>'30'!$BP$10</f>
        <v>0</v>
      </c>
      <c r="BB35" s="55">
        <f>'30'!$BQ$10</f>
        <v>0</v>
      </c>
      <c r="BC35" s="55">
        <f>'30'!$BR$10</f>
        <v>0</v>
      </c>
      <c r="BD35" s="55">
        <f>'30'!$BS$10</f>
        <v>0</v>
      </c>
      <c r="BE35" s="55">
        <f>'30'!$BT$10</f>
        <v>0</v>
      </c>
      <c r="BF35" s="55">
        <f>'30'!$BU$10</f>
        <v>0</v>
      </c>
      <c r="BG35" s="55">
        <f>'30'!$BV$10</f>
        <v>0</v>
      </c>
      <c r="BH35" s="55">
        <f>'30'!$BW$10</f>
        <v>0</v>
      </c>
      <c r="BI35" s="55">
        <f>'30'!$BX$10</f>
        <v>0</v>
      </c>
      <c r="BJ35" s="55">
        <f>'30'!$BY$10</f>
        <v>0</v>
      </c>
      <c r="BK35" s="55">
        <f>'30'!$BN$11</f>
        <v>0</v>
      </c>
      <c r="BL35" s="55">
        <f>'30'!$BO$11</f>
        <v>0</v>
      </c>
      <c r="BM35" s="55">
        <f>'30'!$BP$11</f>
        <v>0</v>
      </c>
      <c r="BN35" s="55">
        <f>'30'!$BQ$11</f>
        <v>0</v>
      </c>
      <c r="BO35" s="55">
        <f>'30'!$BR$11</f>
        <v>0</v>
      </c>
      <c r="BP35" s="55">
        <f>'30'!$BS$11</f>
        <v>0</v>
      </c>
      <c r="BQ35" s="55">
        <f>'30'!$BT$11</f>
        <v>0</v>
      </c>
      <c r="BR35" s="55">
        <f>'30'!$BU$11</f>
        <v>0</v>
      </c>
      <c r="BS35" s="55">
        <f>'30'!$BV$11</f>
        <v>0</v>
      </c>
      <c r="BT35" s="55">
        <f>'30'!$BW$11</f>
        <v>0</v>
      </c>
      <c r="BU35" s="55">
        <f>'30'!$BX$11</f>
        <v>0</v>
      </c>
      <c r="BV35" s="55">
        <f>'30'!$BY$11</f>
        <v>0</v>
      </c>
      <c r="BW35" s="55">
        <f>'30'!$BN$12</f>
        <v>0</v>
      </c>
      <c r="BX35" s="55">
        <f>'30'!$BO$12</f>
        <v>0</v>
      </c>
      <c r="BY35" s="55">
        <f>'30'!$BP$12</f>
        <v>0</v>
      </c>
      <c r="BZ35" s="55">
        <f>'30'!$BQ$12</f>
        <v>0</v>
      </c>
      <c r="CA35" s="55">
        <f>'30'!$BR$12</f>
        <v>0</v>
      </c>
      <c r="CB35" s="55">
        <f>'30'!$BS$12</f>
        <v>0</v>
      </c>
      <c r="CC35" s="55">
        <f>'30'!$BT$12</f>
        <v>0</v>
      </c>
      <c r="CD35" s="55">
        <f>'30'!$BU$12</f>
        <v>0</v>
      </c>
      <c r="CE35" s="55">
        <f>'30'!$BV$12</f>
        <v>0</v>
      </c>
      <c r="CF35" s="55">
        <f>'30'!$BW$12</f>
        <v>0</v>
      </c>
      <c r="CG35" s="55">
        <f>'30'!$BX$12</f>
        <v>0</v>
      </c>
      <c r="CH35" s="55">
        <f>'30'!$BY$12</f>
        <v>0</v>
      </c>
      <c r="CI35" s="55">
        <f>'30'!$BN$13</f>
        <v>0</v>
      </c>
      <c r="CJ35" s="55">
        <f>'30'!$BO$13</f>
        <v>0</v>
      </c>
      <c r="CK35" s="55">
        <f>'30'!$BP$13</f>
        <v>0</v>
      </c>
      <c r="CL35" s="55">
        <f>'30'!$BQ$13</f>
        <v>0</v>
      </c>
      <c r="CM35" s="55">
        <f>'30'!$BR$13</f>
        <v>0</v>
      </c>
      <c r="CN35" s="55">
        <f>'30'!$BS$13</f>
        <v>0</v>
      </c>
      <c r="CO35" s="55">
        <f>'30'!$BT$13</f>
        <v>0</v>
      </c>
      <c r="CP35" s="55">
        <f>'30'!$BU$13</f>
        <v>0</v>
      </c>
      <c r="CQ35" s="55">
        <f>'30'!$BV$13</f>
        <v>0</v>
      </c>
      <c r="CR35" s="55">
        <f>'30'!$BW$13</f>
        <v>0</v>
      </c>
      <c r="CS35" s="55">
        <f>'30'!$BX$13</f>
        <v>0</v>
      </c>
      <c r="CT35" s="55">
        <f>'30'!$BY$13</f>
        <v>0</v>
      </c>
      <c r="CU35" s="55">
        <f>'30'!$BN$14</f>
        <v>0</v>
      </c>
      <c r="CV35" s="55">
        <f>'30'!$BO$14</f>
        <v>0</v>
      </c>
      <c r="CW35" s="55">
        <f>'30'!$BP$14</f>
        <v>0</v>
      </c>
      <c r="CX35" s="55">
        <f>'30'!$BQ$14</f>
        <v>0</v>
      </c>
      <c r="CY35" s="55">
        <f>'30'!$BR$14</f>
        <v>0</v>
      </c>
      <c r="CZ35" s="55">
        <f>'30'!$BS$14</f>
        <v>0</v>
      </c>
      <c r="DA35" s="55">
        <f>'30'!$BT$14</f>
        <v>0</v>
      </c>
      <c r="DB35" s="55">
        <f>'30'!$BU$14</f>
        <v>0</v>
      </c>
      <c r="DC35" s="55">
        <f>'30'!$BV$14</f>
        <v>0</v>
      </c>
      <c r="DD35" s="55">
        <f>'30'!$BW$14</f>
        <v>0</v>
      </c>
      <c r="DE35" s="55">
        <f>'30'!$BX$14</f>
        <v>0</v>
      </c>
      <c r="DF35" s="55">
        <f>'30'!$BY$14</f>
        <v>0</v>
      </c>
      <c r="DG35" s="55">
        <f>'30'!$BN$15</f>
        <v>0</v>
      </c>
      <c r="DH35" s="55">
        <f>'30'!$BO$15</f>
        <v>0</v>
      </c>
      <c r="DI35" s="55">
        <f>'30'!$BP$15</f>
        <v>0</v>
      </c>
      <c r="DJ35" s="55">
        <f>'30'!$BQ$15</f>
        <v>0</v>
      </c>
      <c r="DK35" s="55">
        <f>'30'!$BR$15</f>
        <v>0</v>
      </c>
      <c r="DL35" s="55">
        <f>'30'!$BS$15</f>
        <v>0</v>
      </c>
      <c r="DM35" s="55">
        <f>'30'!$BT$15</f>
        <v>0</v>
      </c>
      <c r="DN35" s="55">
        <f>'30'!$BU$15</f>
        <v>0</v>
      </c>
      <c r="DO35" s="55">
        <f>'30'!$BV$15</f>
        <v>0</v>
      </c>
      <c r="DP35" s="55">
        <f>'30'!$BW$15</f>
        <v>0</v>
      </c>
      <c r="DQ35" s="55">
        <f>'30'!$BX$15</f>
        <v>0</v>
      </c>
      <c r="DR35" s="55">
        <f>'30'!$BY$15</f>
        <v>0</v>
      </c>
      <c r="DS35" s="55">
        <f>'30'!$BN$16</f>
        <v>0</v>
      </c>
      <c r="DT35" s="55">
        <f>'30'!$BO$16</f>
        <v>0</v>
      </c>
      <c r="DU35" s="55">
        <f>'30'!$BP$16</f>
        <v>0</v>
      </c>
      <c r="DV35" s="55">
        <f>'30'!$BQ$16</f>
        <v>0</v>
      </c>
      <c r="DW35" s="55">
        <f>'30'!$BR$16</f>
        <v>0</v>
      </c>
      <c r="DX35" s="55">
        <f>'30'!$BS$16</f>
        <v>0</v>
      </c>
      <c r="DY35" s="55">
        <f>'30'!$BT$16</f>
        <v>0</v>
      </c>
      <c r="DZ35" s="55">
        <f>'30'!$BU$16</f>
        <v>0</v>
      </c>
      <c r="EA35" s="55">
        <f>'30'!$BV$16</f>
        <v>0</v>
      </c>
      <c r="EB35" s="55">
        <f>'30'!$BW$16</f>
        <v>0</v>
      </c>
      <c r="EC35" s="55">
        <f>'30'!$BX$16</f>
        <v>0</v>
      </c>
      <c r="ED35" s="55">
        <f>'30'!$BY$16</f>
        <v>0</v>
      </c>
      <c r="EE35" s="55">
        <f>'30'!$BN$17</f>
        <v>0</v>
      </c>
      <c r="EF35" s="55">
        <f>'30'!$BO$17</f>
        <v>0</v>
      </c>
      <c r="EG35" s="55">
        <f>'30'!$BP$17</f>
        <v>0</v>
      </c>
      <c r="EH35" s="55">
        <f>'30'!$BQ$17</f>
        <v>0</v>
      </c>
      <c r="EI35" s="55">
        <f>'30'!$BR$17</f>
        <v>0</v>
      </c>
      <c r="EJ35" s="55">
        <f>'30'!$BS$17</f>
        <v>0</v>
      </c>
      <c r="EK35" s="55">
        <f>'30'!$BT$17</f>
        <v>0</v>
      </c>
      <c r="EL35" s="55">
        <f>'30'!$BU$17</f>
        <v>0</v>
      </c>
      <c r="EM35" s="55">
        <f>'30'!$BV$17</f>
        <v>0</v>
      </c>
      <c r="EN35" s="55">
        <f>'30'!$BW$17</f>
        <v>0</v>
      </c>
      <c r="EO35" s="55">
        <f>'30'!$BX$17</f>
        <v>0</v>
      </c>
      <c r="EP35" s="55">
        <f>'30'!$BY$17</f>
        <v>0</v>
      </c>
      <c r="EQ35" s="55">
        <f>'30'!$BN$18</f>
        <v>0</v>
      </c>
      <c r="ER35" s="55">
        <f>'30'!$BO$18</f>
        <v>0</v>
      </c>
      <c r="ES35" s="55">
        <f>'30'!$BP$18</f>
        <v>0</v>
      </c>
      <c r="ET35" s="55">
        <f>'30'!$BQ$18</f>
        <v>0</v>
      </c>
      <c r="EU35" s="55">
        <f>'30'!$BR$18</f>
        <v>0</v>
      </c>
      <c r="EV35" s="55">
        <f>'30'!$BS$18</f>
        <v>0</v>
      </c>
      <c r="EW35" s="55">
        <f>'30'!$BT$18</f>
        <v>0</v>
      </c>
      <c r="EX35" s="55">
        <f>'30'!$BU$18</f>
        <v>0</v>
      </c>
      <c r="EY35" s="55">
        <f>'30'!$BV$18</f>
        <v>0</v>
      </c>
      <c r="EZ35" s="55">
        <f>'30'!$BW$18</f>
        <v>0</v>
      </c>
      <c r="FA35" s="55">
        <f>'30'!$BX$18</f>
        <v>0</v>
      </c>
      <c r="FB35" s="55">
        <f>'30'!$BY$18</f>
        <v>0</v>
      </c>
      <c r="FC35" s="55">
        <f>'30'!$BN$19</f>
        <v>0</v>
      </c>
      <c r="FD35" s="55">
        <f>'30'!$BO$19</f>
        <v>0</v>
      </c>
      <c r="FE35" s="55">
        <f>'30'!$BP$19</f>
        <v>0</v>
      </c>
      <c r="FF35" s="55">
        <f>'30'!$BQ$19</f>
        <v>0</v>
      </c>
      <c r="FG35" s="55">
        <f>'30'!$BR$19</f>
        <v>0</v>
      </c>
      <c r="FH35" s="55">
        <f>'30'!$BS$19</f>
        <v>0</v>
      </c>
      <c r="FI35" s="55">
        <f>'30'!$BT$19</f>
        <v>0</v>
      </c>
      <c r="FJ35" s="55">
        <f>'30'!$BU$19</f>
        <v>0</v>
      </c>
      <c r="FK35" s="55">
        <f>'30'!$BV$19</f>
        <v>0</v>
      </c>
      <c r="FL35" s="55">
        <f>'30'!$BW$19</f>
        <v>0</v>
      </c>
      <c r="FM35" s="55">
        <f>'30'!$BX$19</f>
        <v>0</v>
      </c>
      <c r="FN35" s="55">
        <f>'30'!$BY$19</f>
        <v>0</v>
      </c>
      <c r="FO35" s="55">
        <f>'30'!$BN$20</f>
        <v>0</v>
      </c>
      <c r="FP35" s="55">
        <f>'30'!$BO$20</f>
        <v>0</v>
      </c>
      <c r="FQ35" s="55">
        <f>'30'!$BP$20</f>
        <v>0</v>
      </c>
      <c r="FR35" s="55">
        <f>'30'!$BQ$20</f>
        <v>0</v>
      </c>
      <c r="FS35" s="55">
        <f>'30'!$BR$20</f>
        <v>0</v>
      </c>
      <c r="FT35" s="55">
        <f>'30'!$BS$20</f>
        <v>0</v>
      </c>
      <c r="FU35" s="55">
        <f>'30'!$BT$20</f>
        <v>0</v>
      </c>
      <c r="FV35" s="55">
        <f>'30'!$BU$20</f>
        <v>0</v>
      </c>
      <c r="FW35" s="55">
        <f>'30'!$BV$20</f>
        <v>0</v>
      </c>
      <c r="FX35" s="55">
        <f>'30'!$BW$20</f>
        <v>0</v>
      </c>
      <c r="FY35" s="55">
        <f>'30'!$BX$20</f>
        <v>0</v>
      </c>
      <c r="FZ35" s="55">
        <f>'30'!$BY$20</f>
        <v>0</v>
      </c>
      <c r="GA35" s="55">
        <f>'30'!$BN$21</f>
        <v>0</v>
      </c>
      <c r="GB35" s="55">
        <f>'30'!$BO$21</f>
        <v>0</v>
      </c>
      <c r="GC35" s="55">
        <f>'30'!$BP$21</f>
        <v>0</v>
      </c>
      <c r="GD35" s="55">
        <f>'30'!$BQ$21</f>
        <v>0</v>
      </c>
      <c r="GE35" s="55">
        <f>'30'!$BR$21</f>
        <v>0</v>
      </c>
      <c r="GF35" s="55">
        <f>'30'!$BS$21</f>
        <v>0</v>
      </c>
      <c r="GG35" s="55">
        <f>'30'!$BT$21</f>
        <v>0</v>
      </c>
      <c r="GH35" s="55">
        <f>'30'!$BU$21</f>
        <v>0</v>
      </c>
      <c r="GI35" s="55">
        <f>'30'!$BV$21</f>
        <v>0</v>
      </c>
      <c r="GJ35" s="55">
        <f>'30'!$BW$21</f>
        <v>0</v>
      </c>
      <c r="GK35" s="55">
        <f>'30'!$BX$21</f>
        <v>0</v>
      </c>
      <c r="GL35" s="55">
        <f>'30'!$BY$21</f>
        <v>0</v>
      </c>
      <c r="GM35" s="55">
        <f>'30'!$BN$22</f>
        <v>0</v>
      </c>
      <c r="GN35" s="55">
        <f>'30'!$BO$22</f>
        <v>0</v>
      </c>
      <c r="GO35" s="55">
        <f>'30'!$BP$22</f>
        <v>0</v>
      </c>
      <c r="GP35" s="55">
        <f>'30'!$BQ$22</f>
        <v>0</v>
      </c>
      <c r="GQ35" s="55">
        <f>'30'!$BR$22</f>
        <v>0</v>
      </c>
      <c r="GR35" s="55">
        <f>'30'!$BS$22</f>
        <v>0</v>
      </c>
      <c r="GS35" s="55">
        <f>'30'!$BT$22</f>
        <v>0</v>
      </c>
      <c r="GT35" s="55">
        <f>'30'!$BU$22</f>
        <v>0</v>
      </c>
      <c r="GU35" s="55">
        <f>'30'!$BV$22</f>
        <v>0</v>
      </c>
      <c r="GV35" s="55">
        <f>'30'!$BW$22</f>
        <v>0</v>
      </c>
      <c r="GW35" s="55">
        <f>'30'!$BX$22</f>
        <v>0</v>
      </c>
      <c r="GX35" s="55">
        <f>'30'!$BY$22</f>
        <v>0</v>
      </c>
      <c r="GY35" s="55">
        <f>'30'!$BN$23</f>
        <v>0</v>
      </c>
      <c r="GZ35" s="55">
        <f>'30'!$BO$23</f>
        <v>0</v>
      </c>
      <c r="HA35" s="55">
        <f>'30'!$BP$23</f>
        <v>0</v>
      </c>
      <c r="HB35" s="55">
        <f>'30'!$BQ$23</f>
        <v>0</v>
      </c>
      <c r="HC35" s="55">
        <f>'30'!$BR$23</f>
        <v>0</v>
      </c>
      <c r="HD35" s="55">
        <f>'30'!$BS$23</f>
        <v>0</v>
      </c>
      <c r="HE35" s="55">
        <f>'30'!$BT$23</f>
        <v>0</v>
      </c>
      <c r="HF35" s="55">
        <f>'30'!$BU$23</f>
        <v>0</v>
      </c>
      <c r="HG35" s="55">
        <f>'30'!$BV$23</f>
        <v>0</v>
      </c>
      <c r="HH35" s="55">
        <f>'30'!$BW$23</f>
        <v>0</v>
      </c>
      <c r="HI35" s="55">
        <f>'30'!$BX$23</f>
        <v>0</v>
      </c>
      <c r="HJ35" s="55">
        <f>'30'!$BY$23</f>
        <v>0</v>
      </c>
      <c r="HK35" s="55">
        <f>'30'!$BN$24</f>
        <v>0</v>
      </c>
      <c r="HL35" s="55">
        <f>'30'!$BO$24</f>
        <v>0</v>
      </c>
      <c r="HM35" s="55">
        <f>'30'!$BP$24</f>
        <v>0</v>
      </c>
      <c r="HN35" s="55">
        <f>'30'!$BQ$24</f>
        <v>0</v>
      </c>
      <c r="HO35" s="55">
        <f>'30'!$BR$24</f>
        <v>0</v>
      </c>
      <c r="HP35" s="55">
        <f>'30'!$BS$24</f>
        <v>0</v>
      </c>
      <c r="HQ35" s="55">
        <f>'30'!$BT$24</f>
        <v>0</v>
      </c>
      <c r="HR35" s="55">
        <f>'30'!$BU$24</f>
        <v>0</v>
      </c>
      <c r="HS35" s="55">
        <f>'30'!$BV$24</f>
        <v>0</v>
      </c>
      <c r="HT35" s="55">
        <f>'30'!$BW$24</f>
        <v>0</v>
      </c>
      <c r="HU35" s="55">
        <f>'30'!$BX$24</f>
        <v>0</v>
      </c>
      <c r="HV35" s="55">
        <f>'30'!$BY$24</f>
        <v>0</v>
      </c>
      <c r="HW35" s="55">
        <f>'30'!$BN$25</f>
        <v>0</v>
      </c>
      <c r="HX35" s="55">
        <f>'30'!$BO$25</f>
        <v>0</v>
      </c>
      <c r="HY35" s="55">
        <f>'30'!$BP$25</f>
        <v>0</v>
      </c>
      <c r="HZ35" s="55">
        <f>'30'!$BQ$25</f>
        <v>0</v>
      </c>
      <c r="IA35" s="55">
        <f>'30'!$BR$25</f>
        <v>0</v>
      </c>
      <c r="IB35" s="55">
        <f>'30'!$BS$25</f>
        <v>0</v>
      </c>
      <c r="IC35" s="55">
        <f>'30'!$BT$25</f>
        <v>0</v>
      </c>
      <c r="ID35" s="55">
        <f>'30'!$BU$25</f>
        <v>0</v>
      </c>
      <c r="IE35" s="55">
        <f>'30'!$BV$25</f>
        <v>0</v>
      </c>
      <c r="IF35" s="55">
        <f>'30'!$BW$25</f>
        <v>0</v>
      </c>
      <c r="IG35" s="55">
        <f>'30'!$BX$25</f>
        <v>0</v>
      </c>
      <c r="IH35" s="55">
        <f>'30'!$BY$25</f>
        <v>0</v>
      </c>
      <c r="II35" s="55">
        <f>'30'!$BN$26</f>
        <v>0</v>
      </c>
      <c r="IJ35" s="55">
        <f>'30'!$BO$26</f>
        <v>0</v>
      </c>
      <c r="IK35" s="55">
        <f>'30'!$BP$26</f>
        <v>0</v>
      </c>
      <c r="IL35" s="55">
        <f>'30'!$BQ$26</f>
        <v>0</v>
      </c>
      <c r="IM35" s="55">
        <f>'30'!$BR$26</f>
        <v>0</v>
      </c>
      <c r="IN35" s="55">
        <f>'30'!$BS$26</f>
        <v>0</v>
      </c>
      <c r="IO35" s="55">
        <f>'30'!$BT$26</f>
        <v>0</v>
      </c>
      <c r="IP35" s="55">
        <f>'30'!$BU$26</f>
        <v>0</v>
      </c>
      <c r="IQ35" s="55">
        <f>'30'!$BV$26</f>
        <v>0</v>
      </c>
      <c r="IR35" s="55">
        <f>'30'!$BW$26</f>
        <v>0</v>
      </c>
      <c r="IS35" s="55">
        <f>'30'!$BX$26</f>
        <v>0</v>
      </c>
      <c r="IT35" s="55">
        <f>'30'!$BY$26</f>
        <v>0</v>
      </c>
      <c r="IU35" s="55">
        <f>'30'!$BN$27</f>
        <v>0</v>
      </c>
      <c r="IV35" s="55">
        <f>'30'!$BO$27</f>
        <v>0</v>
      </c>
      <c r="IW35" s="55">
        <f>'30'!$BP$27</f>
        <v>0</v>
      </c>
      <c r="IX35" s="55">
        <f>'30'!$BQ$27</f>
        <v>0</v>
      </c>
      <c r="IY35" s="55">
        <f>'30'!$BR$27</f>
        <v>0</v>
      </c>
      <c r="IZ35" s="55">
        <f>'30'!$BS$27</f>
        <v>0</v>
      </c>
      <c r="JA35" s="55">
        <f>'30'!$BT$27</f>
        <v>0</v>
      </c>
      <c r="JB35" s="55">
        <f>'30'!$BU$27</f>
        <v>0</v>
      </c>
      <c r="JC35" s="55">
        <f>'30'!$BV$27</f>
        <v>0</v>
      </c>
      <c r="JD35" s="55">
        <f>'30'!$BW$27</f>
        <v>0</v>
      </c>
      <c r="JE35" s="55">
        <f>'30'!$BX$27</f>
        <v>0</v>
      </c>
      <c r="JF35" s="55">
        <f>'30'!$BY$27</f>
        <v>0</v>
      </c>
      <c r="JG35" s="55">
        <f>'30'!$BN$28</f>
        <v>0</v>
      </c>
      <c r="JH35" s="55">
        <f>'30'!$BO$28</f>
        <v>0</v>
      </c>
      <c r="JI35" s="55">
        <f>'30'!$BP$28</f>
        <v>0</v>
      </c>
      <c r="JJ35" s="55">
        <f>'30'!$BQ$28</f>
        <v>0</v>
      </c>
      <c r="JK35" s="55">
        <f>'30'!$BR$28</f>
        <v>0</v>
      </c>
      <c r="JL35" s="55">
        <f>'30'!$BS$28</f>
        <v>0</v>
      </c>
      <c r="JM35" s="55">
        <f>'30'!$BT$28</f>
        <v>0</v>
      </c>
      <c r="JN35" s="55">
        <f>'30'!$BU$28</f>
        <v>0</v>
      </c>
      <c r="JO35" s="55">
        <f>'30'!$BV$28</f>
        <v>0</v>
      </c>
      <c r="JP35" s="55">
        <f>'30'!$BW$28</f>
        <v>0</v>
      </c>
      <c r="JQ35" s="55">
        <f>'30'!$BX$28</f>
        <v>0</v>
      </c>
      <c r="JR35" s="55">
        <f>'30'!$BY$28</f>
        <v>0</v>
      </c>
      <c r="JS35" s="55">
        <f>'30'!$BN$29</f>
        <v>0</v>
      </c>
      <c r="JT35" s="55">
        <f>'30'!$BO$29</f>
        <v>0</v>
      </c>
      <c r="JU35" s="55">
        <f>'30'!$BP$29</f>
        <v>0</v>
      </c>
      <c r="JV35" s="55">
        <f>'30'!$BQ$29</f>
        <v>0</v>
      </c>
      <c r="JW35" s="55">
        <f>'30'!$BR$29</f>
        <v>0</v>
      </c>
      <c r="JX35" s="55">
        <f>'30'!$BS$29</f>
        <v>0</v>
      </c>
      <c r="JY35" s="55">
        <f>'30'!$BT$29</f>
        <v>0</v>
      </c>
      <c r="JZ35" s="55">
        <f>'30'!$BU$29</f>
        <v>0</v>
      </c>
      <c r="KA35" s="55">
        <f>'30'!$BV$29</f>
        <v>0</v>
      </c>
      <c r="KB35" s="55">
        <f>'30'!$BW$29</f>
        <v>0</v>
      </c>
      <c r="KC35" s="55">
        <f>'30'!$BX$29</f>
        <v>0</v>
      </c>
      <c r="KD35" s="55">
        <f>'30'!$BY$29</f>
        <v>0</v>
      </c>
    </row>
    <row r="36" spans="1:290" ht="15" x14ac:dyDescent="0.25">
      <c r="GD36" s="53"/>
      <c r="HD36" s="53"/>
    </row>
    <row r="37" spans="1:290" ht="15" x14ac:dyDescent="0.25">
      <c r="GD37" s="53"/>
      <c r="HD37" s="53"/>
    </row>
    <row r="38" spans="1:290" ht="15" x14ac:dyDescent="0.25">
      <c r="GD38" s="53"/>
      <c r="HD38" s="53"/>
    </row>
    <row r="39" spans="1:290" ht="15" x14ac:dyDescent="0.25">
      <c r="GD39" s="53"/>
      <c r="HD39" s="53"/>
    </row>
    <row r="40" spans="1:290" ht="15" x14ac:dyDescent="0.25">
      <c r="GD40" s="53"/>
      <c r="HD40" s="53"/>
    </row>
    <row r="41" spans="1:290" ht="15" x14ac:dyDescent="0.25">
      <c r="GD41" s="53"/>
      <c r="HD41" s="53"/>
    </row>
    <row r="42" spans="1:290" ht="15" x14ac:dyDescent="0.25">
      <c r="GD42" s="53"/>
      <c r="HD42" s="53"/>
    </row>
    <row r="43" spans="1:290" ht="15" x14ac:dyDescent="0.25">
      <c r="GD43" s="53"/>
      <c r="HD43" s="53"/>
    </row>
    <row r="44" spans="1:290" ht="15" x14ac:dyDescent="0.25">
      <c r="GD44" s="53"/>
      <c r="HD44" s="53"/>
    </row>
    <row r="45" spans="1:290" ht="15" x14ac:dyDescent="0.25">
      <c r="GD45" s="53"/>
      <c r="HD45" s="53"/>
    </row>
    <row r="46" spans="1:290" ht="15" x14ac:dyDescent="0.25">
      <c r="GD46" s="53"/>
      <c r="HD46" s="53"/>
    </row>
    <row r="47" spans="1:290" ht="15" x14ac:dyDescent="0.25">
      <c r="GD47" s="53"/>
      <c r="HD47" s="53"/>
    </row>
    <row r="48" spans="1:290" ht="15" x14ac:dyDescent="0.25">
      <c r="GD48" s="53"/>
      <c r="HD48" s="53"/>
    </row>
    <row r="49" spans="186:212" ht="15" x14ac:dyDescent="0.25">
      <c r="GD49" s="53"/>
      <c r="HD49" s="53"/>
    </row>
    <row r="50" spans="186:212" ht="15" x14ac:dyDescent="0.25">
      <c r="GD50" s="53"/>
      <c r="HD50" s="53"/>
    </row>
    <row r="51" spans="186:212" ht="15" x14ac:dyDescent="0.25">
      <c r="GD51" s="53"/>
      <c r="HD51" s="53"/>
    </row>
    <row r="52" spans="186:212" x14ac:dyDescent="0.35">
      <c r="GD52" s="53"/>
      <c r="HD52" s="53"/>
    </row>
    <row r="53" spans="186:212" x14ac:dyDescent="0.35">
      <c r="GD53" s="53"/>
      <c r="HD53" s="53"/>
    </row>
    <row r="54" spans="186:212" x14ac:dyDescent="0.35">
      <c r="GD54" s="53"/>
      <c r="HD54" s="53"/>
    </row>
    <row r="55" spans="186:212" x14ac:dyDescent="0.35">
      <c r="GD55" s="53"/>
      <c r="HD55" s="53"/>
    </row>
    <row r="56" spans="186:212" x14ac:dyDescent="0.35">
      <c r="GD56" s="53"/>
      <c r="HD56" s="53"/>
    </row>
    <row r="57" spans="186:212" x14ac:dyDescent="0.35">
      <c r="GD57" s="53"/>
      <c r="HD57" s="53"/>
    </row>
    <row r="58" spans="186:212" x14ac:dyDescent="0.35">
      <c r="GD58" s="53"/>
      <c r="HD58" s="53"/>
    </row>
    <row r="59" spans="186:212" x14ac:dyDescent="0.35">
      <c r="GD59" s="53"/>
      <c r="HD59" s="53"/>
    </row>
    <row r="60" spans="186:212" x14ac:dyDescent="0.35">
      <c r="GD60" s="53"/>
    </row>
    <row r="61" spans="186:212" x14ac:dyDescent="0.35">
      <c r="GD61" s="53"/>
    </row>
  </sheetData>
  <mergeCells count="169">
    <mergeCell ref="BG4:BH4"/>
    <mergeCell ref="BI4:BJ4"/>
    <mergeCell ref="BK4:BL4"/>
    <mergeCell ref="BM4:BN4"/>
    <mergeCell ref="BO4:BP4"/>
    <mergeCell ref="BC4:BD4"/>
    <mergeCell ref="BE4:BF4"/>
    <mergeCell ref="BK3:BV3"/>
    <mergeCell ref="A2:N2"/>
    <mergeCell ref="O4:P4"/>
    <mergeCell ref="Q4:R4"/>
    <mergeCell ref="C3:N3"/>
    <mergeCell ref="C4:D4"/>
    <mergeCell ref="AM4:AN4"/>
    <mergeCell ref="AO4:AP4"/>
    <mergeCell ref="AQ4:AR4"/>
    <mergeCell ref="BA4:BB4"/>
    <mergeCell ref="AY4:AZ4"/>
    <mergeCell ref="AY3:BJ3"/>
    <mergeCell ref="S4:T4"/>
    <mergeCell ref="U4:V4"/>
    <mergeCell ref="W4:X4"/>
    <mergeCell ref="Y4:Z4"/>
    <mergeCell ref="AA3:AL3"/>
    <mergeCell ref="AM3:AX3"/>
    <mergeCell ref="AK4:AL4"/>
    <mergeCell ref="E4:F4"/>
    <mergeCell ref="G4:H4"/>
    <mergeCell ref="I4:J4"/>
    <mergeCell ref="K4:L4"/>
    <mergeCell ref="M4:N4"/>
    <mergeCell ref="O3:Z3"/>
    <mergeCell ref="HK3:HV3"/>
    <mergeCell ref="CI3:CT3"/>
    <mergeCell ref="CU3:DF3"/>
    <mergeCell ref="DG3:DR3"/>
    <mergeCell ref="DS3:ED3"/>
    <mergeCell ref="EE3:EP3"/>
    <mergeCell ref="EQ3:FB3"/>
    <mergeCell ref="AA4:AB4"/>
    <mergeCell ref="AC4:AD4"/>
    <mergeCell ref="AE4:AF4"/>
    <mergeCell ref="AG4:AH4"/>
    <mergeCell ref="AI4:AJ4"/>
    <mergeCell ref="FC3:FN3"/>
    <mergeCell ref="BW3:CH3"/>
    <mergeCell ref="AS4:AT4"/>
    <mergeCell ref="AU4:AV4"/>
    <mergeCell ref="AW4:AX4"/>
    <mergeCell ref="CM4:CN4"/>
    <mergeCell ref="DM4:DN4"/>
    <mergeCell ref="DO4:DP4"/>
    <mergeCell ref="DQ4:DR4"/>
    <mergeCell ref="CC4:CD4"/>
    <mergeCell ref="CE4:CF4"/>
    <mergeCell ref="CG4:CH4"/>
    <mergeCell ref="JG3:JR3"/>
    <mergeCell ref="CI4:CJ4"/>
    <mergeCell ref="CK4:CL4"/>
    <mergeCell ref="II3:IT3"/>
    <mergeCell ref="IU3:JF3"/>
    <mergeCell ref="BQ4:BR4"/>
    <mergeCell ref="BS4:BT4"/>
    <mergeCell ref="BU4:BV4"/>
    <mergeCell ref="BW4:BX4"/>
    <mergeCell ref="BY4:BZ4"/>
    <mergeCell ref="CA4:CB4"/>
    <mergeCell ref="CO4:CP4"/>
    <mergeCell ref="DS4:DT4"/>
    <mergeCell ref="DU4:DV4"/>
    <mergeCell ref="DW4:DX4"/>
    <mergeCell ref="DA4:DB4"/>
    <mergeCell ref="JS3:KD3"/>
    <mergeCell ref="FO3:FZ3"/>
    <mergeCell ref="GA3:GL3"/>
    <mergeCell ref="GM3:GX3"/>
    <mergeCell ref="GY3:HJ3"/>
    <mergeCell ref="CQ4:CR4"/>
    <mergeCell ref="CS4:CT4"/>
    <mergeCell ref="CU4:CV4"/>
    <mergeCell ref="CW4:CX4"/>
    <mergeCell ref="CY4:CZ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HW3:IH3"/>
    <mergeCell ref="DC4:DD4"/>
    <mergeCell ref="DE4:DF4"/>
    <mergeCell ref="DG4:DH4"/>
    <mergeCell ref="DI4:DJ4"/>
    <mergeCell ref="DK4:DL4"/>
    <mergeCell ref="DY4:DZ4"/>
    <mergeCell ref="EA4:EB4"/>
    <mergeCell ref="EC4:E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  <mergeCell ref="GC4:GD4"/>
    <mergeCell ref="GE4:GF4"/>
    <mergeCell ref="GG4:GH4"/>
    <mergeCell ref="GI4:GJ4"/>
    <mergeCell ref="GK4:GL4"/>
    <mergeCell ref="GM4:GN4"/>
    <mergeCell ref="GO4:GP4"/>
    <mergeCell ref="GQ4:GR4"/>
    <mergeCell ref="GS4:GT4"/>
    <mergeCell ref="GU4:GV4"/>
    <mergeCell ref="GW4:GX4"/>
    <mergeCell ref="GY4:GZ4"/>
    <mergeCell ref="HA4:HB4"/>
    <mergeCell ref="HC4:HD4"/>
    <mergeCell ref="HE4:HF4"/>
    <mergeCell ref="HG4:HH4"/>
    <mergeCell ref="HI4:HJ4"/>
    <mergeCell ref="HK4:HL4"/>
    <mergeCell ref="HM4:HN4"/>
    <mergeCell ref="HO4:HP4"/>
    <mergeCell ref="HQ4:HR4"/>
    <mergeCell ref="HS4:HT4"/>
    <mergeCell ref="HU4:HV4"/>
    <mergeCell ref="HW4:HX4"/>
    <mergeCell ref="HY4:HZ4"/>
    <mergeCell ref="IA4:IB4"/>
    <mergeCell ref="IC4:ID4"/>
    <mergeCell ref="IE4:IF4"/>
    <mergeCell ref="IG4:IH4"/>
    <mergeCell ref="II4:IJ4"/>
    <mergeCell ref="IK4:IL4"/>
    <mergeCell ref="IM4:IN4"/>
    <mergeCell ref="IO4:IP4"/>
    <mergeCell ref="IQ4:IR4"/>
    <mergeCell ref="IS4:IT4"/>
    <mergeCell ref="IU4:IV4"/>
    <mergeCell ref="IW4:IX4"/>
    <mergeCell ref="IY4:IZ4"/>
    <mergeCell ref="JA4:JB4"/>
    <mergeCell ref="JC4:JD4"/>
    <mergeCell ref="JE4:JF4"/>
    <mergeCell ref="JG4:JH4"/>
    <mergeCell ref="JI4:JJ4"/>
    <mergeCell ref="JK4:JL4"/>
    <mergeCell ref="JY4:JZ4"/>
    <mergeCell ref="KA4:KB4"/>
    <mergeCell ref="KC4:KD4"/>
    <mergeCell ref="JM4:JN4"/>
    <mergeCell ref="JO4:JP4"/>
    <mergeCell ref="JQ4:JR4"/>
    <mergeCell ref="JS4:JT4"/>
    <mergeCell ref="JU4:JV4"/>
    <mergeCell ref="JW4:JX4"/>
  </mergeCells>
  <phoneticPr fontId="5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123"/>
  <sheetViews>
    <sheetView zoomScale="90" zoomScaleNormal="90" workbookViewId="0">
      <pane xSplit="2" ySplit="3" topLeftCell="C117" activePane="bottomRight" state="frozen"/>
      <selection pane="topRight" activeCell="C1" sqref="C1"/>
      <selection pane="bottomLeft" activeCell="A4" sqref="A4"/>
      <selection pane="bottomRight" activeCell="M131" sqref="M131"/>
    </sheetView>
  </sheetViews>
  <sheetFormatPr defaultColWidth="8.81640625" defaultRowHeight="14.5" x14ac:dyDescent="0.35"/>
  <cols>
    <col min="1" max="1" width="7.81640625" style="22" customWidth="1"/>
    <col min="2" max="2" width="13.453125" style="22" customWidth="1"/>
    <col min="3" max="3" width="17.453125" style="22" customWidth="1"/>
    <col min="4" max="4" width="18.54296875" style="22" customWidth="1"/>
    <col min="5" max="5" width="17" style="22" customWidth="1"/>
    <col min="6" max="6" width="27" style="22" bestFit="1" customWidth="1"/>
    <col min="7" max="7" width="16.1796875" style="22" customWidth="1"/>
    <col min="8" max="8" width="7.81640625" style="22" customWidth="1"/>
    <col min="9" max="9" width="8" style="22" customWidth="1"/>
    <col min="10" max="10" width="7.81640625" style="22" customWidth="1"/>
    <col min="11" max="11" width="11" style="22" customWidth="1"/>
    <col min="12" max="12" width="9" style="22" customWidth="1"/>
    <col min="13" max="13" width="13" style="22" customWidth="1"/>
    <col min="14" max="14" width="8.81640625" style="22"/>
    <col min="15" max="15" width="18.81640625" style="22" customWidth="1"/>
    <col min="16" max="16" width="11" style="22" customWidth="1"/>
    <col min="17" max="18" width="8.81640625" style="22"/>
    <col min="19" max="19" width="15.1796875" style="22" bestFit="1" customWidth="1"/>
    <col min="20" max="20" width="16.54296875" style="22" bestFit="1" customWidth="1"/>
    <col min="21" max="21" width="25.81640625" style="22" bestFit="1" customWidth="1"/>
    <col min="22" max="16384" width="8.81640625" style="22"/>
  </cols>
  <sheetData>
    <row r="1" spans="1:16" ht="18.75" x14ac:dyDescent="0.3">
      <c r="A1" s="239" t="s">
        <v>200</v>
      </c>
      <c r="B1" s="240"/>
      <c r="C1" s="240"/>
      <c r="D1" s="240"/>
      <c r="E1" s="240"/>
      <c r="F1" s="240"/>
      <c r="G1" s="241"/>
      <c r="H1" s="56"/>
      <c r="I1" s="56"/>
      <c r="J1" s="56"/>
      <c r="K1" s="56"/>
      <c r="L1" s="56"/>
      <c r="M1" s="56"/>
      <c r="N1" s="56"/>
      <c r="O1" s="56"/>
      <c r="P1" s="56"/>
    </row>
    <row r="2" spans="1:16" ht="28" customHeight="1" x14ac:dyDescent="0.35">
      <c r="A2" s="232" t="s">
        <v>151</v>
      </c>
      <c r="B2" s="232" t="s">
        <v>34</v>
      </c>
      <c r="C2" s="232" t="s">
        <v>12</v>
      </c>
      <c r="D2" s="232" t="s">
        <v>150</v>
      </c>
      <c r="E2" s="232" t="s">
        <v>149</v>
      </c>
      <c r="F2" s="232" t="s">
        <v>148</v>
      </c>
      <c r="G2" s="232" t="s">
        <v>147</v>
      </c>
      <c r="H2" s="236" t="s">
        <v>146</v>
      </c>
      <c r="I2" s="237"/>
      <c r="J2" s="238"/>
      <c r="K2" s="234" t="s">
        <v>145</v>
      </c>
      <c r="L2" s="234" t="s">
        <v>144</v>
      </c>
      <c r="M2" s="234" t="s">
        <v>196</v>
      </c>
      <c r="N2" s="234" t="s">
        <v>143</v>
      </c>
      <c r="O2" s="232" t="s">
        <v>39</v>
      </c>
      <c r="P2" s="232" t="s">
        <v>38</v>
      </c>
    </row>
    <row r="3" spans="1:16" ht="33" customHeight="1" x14ac:dyDescent="0.35">
      <c r="A3" s="233"/>
      <c r="B3" s="233"/>
      <c r="C3" s="233"/>
      <c r="D3" s="233"/>
      <c r="E3" s="233"/>
      <c r="F3" s="233"/>
      <c r="G3" s="233"/>
      <c r="H3" s="57" t="s">
        <v>43</v>
      </c>
      <c r="I3" s="57" t="s">
        <v>42</v>
      </c>
      <c r="J3" s="57" t="s">
        <v>41</v>
      </c>
      <c r="K3" s="235"/>
      <c r="L3" s="235"/>
      <c r="M3" s="235"/>
      <c r="N3" s="235"/>
      <c r="O3" s="233"/>
      <c r="P3" s="233"/>
    </row>
    <row r="4" spans="1:16" ht="15.65" customHeight="1" x14ac:dyDescent="0.35">
      <c r="A4" s="224" t="s">
        <v>142</v>
      </c>
      <c r="B4" s="226">
        <v>46174</v>
      </c>
      <c r="C4" s="58">
        <v>0</v>
      </c>
      <c r="D4" s="229" t="s">
        <v>192</v>
      </c>
      <c r="E4" s="224" t="s">
        <v>194</v>
      </c>
      <c r="F4" s="224" t="s">
        <v>226</v>
      </c>
      <c r="G4" s="224" t="s">
        <v>195</v>
      </c>
      <c r="H4" s="17">
        <f>'1'!$E6+'1'!$N6</f>
        <v>0</v>
      </c>
      <c r="I4" s="17">
        <f>'1'!$F$6+'1'!$R$6</f>
        <v>0</v>
      </c>
      <c r="J4" s="17">
        <f>'1'!$G$6+'1'!$S$6</f>
        <v>0</v>
      </c>
      <c r="K4" s="17">
        <f>'1'!$BF$6</f>
        <v>0</v>
      </c>
      <c r="L4" s="17">
        <f>'1'!$BG$6</f>
        <v>0</v>
      </c>
      <c r="M4" s="17">
        <f>'1'!$BH$6</f>
        <v>0</v>
      </c>
      <c r="N4" s="224">
        <v>58</v>
      </c>
      <c r="O4" s="17">
        <f>'1'!CC6</f>
        <v>0</v>
      </c>
      <c r="P4" s="59" t="s">
        <v>227</v>
      </c>
    </row>
    <row r="5" spans="1:16" ht="15.65" customHeight="1" x14ac:dyDescent="0.35">
      <c r="A5" s="225"/>
      <c r="B5" s="227"/>
      <c r="C5" s="58">
        <v>0.25</v>
      </c>
      <c r="D5" s="230"/>
      <c r="E5" s="225"/>
      <c r="F5" s="225"/>
      <c r="G5" s="225"/>
      <c r="H5" s="17">
        <f>'1'!$E12+'1'!$N12</f>
        <v>0</v>
      </c>
      <c r="I5" s="17">
        <f>'1'!$F$12+'1'!$R$12</f>
        <v>0</v>
      </c>
      <c r="J5" s="17">
        <f>'1'!$G$12+'1'!$S$12</f>
        <v>0</v>
      </c>
      <c r="K5" s="17">
        <f>'1'!$BF$12</f>
        <v>0</v>
      </c>
      <c r="L5" s="17">
        <f>'1'!$BG$12</f>
        <v>0</v>
      </c>
      <c r="M5" s="17">
        <f>'1'!$BH$12</f>
        <v>0</v>
      </c>
      <c r="N5" s="225"/>
      <c r="O5" s="17">
        <f>'1'!CC$12</f>
        <v>0</v>
      </c>
      <c r="P5" s="59" t="s">
        <v>227</v>
      </c>
    </row>
    <row r="6" spans="1:16" ht="15.65" customHeight="1" x14ac:dyDescent="0.35">
      <c r="A6" s="225"/>
      <c r="B6" s="227"/>
      <c r="C6" s="58">
        <v>0.5</v>
      </c>
      <c r="D6" s="230"/>
      <c r="E6" s="225"/>
      <c r="F6" s="225"/>
      <c r="G6" s="225"/>
      <c r="H6" s="17">
        <f>'1'!$E$18+'1'!$Q$18</f>
        <v>0</v>
      </c>
      <c r="I6" s="17">
        <f>'1'!$F$18+'1'!$R$18</f>
        <v>0</v>
      </c>
      <c r="J6" s="17">
        <f>'1'!$G$18+'1'!$S$18</f>
        <v>0</v>
      </c>
      <c r="K6" s="17">
        <f>'1'!$BF$18</f>
        <v>0</v>
      </c>
      <c r="L6" s="17">
        <f>'1'!$BG$18</f>
        <v>0</v>
      </c>
      <c r="M6" s="17">
        <f>'1'!$BH$18</f>
        <v>0</v>
      </c>
      <c r="N6" s="225"/>
      <c r="O6" s="17">
        <f>'1'!CC$18</f>
        <v>0</v>
      </c>
      <c r="P6" s="59" t="s">
        <v>227</v>
      </c>
    </row>
    <row r="7" spans="1:16" ht="15.65" customHeight="1" x14ac:dyDescent="0.35">
      <c r="A7" s="225"/>
      <c r="B7" s="227"/>
      <c r="C7" s="58">
        <v>0.75</v>
      </c>
      <c r="D7" s="231"/>
      <c r="E7" s="228"/>
      <c r="F7" s="228"/>
      <c r="G7" s="228"/>
      <c r="H7" s="17">
        <f>'1'!$E$24+'1'!$Q$24</f>
        <v>0</v>
      </c>
      <c r="I7" s="17">
        <f>'1'!$F$24+'1'!$R$24</f>
        <v>0</v>
      </c>
      <c r="J7" s="17">
        <f>'1'!$G$24+'1'!$S$24</f>
        <v>0</v>
      </c>
      <c r="K7" s="17">
        <f>'1'!$BF$24</f>
        <v>0</v>
      </c>
      <c r="L7" s="17">
        <f>'1'!$BG$24</f>
        <v>0</v>
      </c>
      <c r="M7" s="17">
        <f>'1'!$BH$24</f>
        <v>0</v>
      </c>
      <c r="N7" s="228"/>
      <c r="O7" s="17">
        <f>'1'!CC$24</f>
        <v>0</v>
      </c>
      <c r="P7" s="59" t="s">
        <v>227</v>
      </c>
    </row>
    <row r="8" spans="1:16" ht="15.65" customHeight="1" x14ac:dyDescent="0.35">
      <c r="A8" s="224" t="s">
        <v>142</v>
      </c>
      <c r="B8" s="226">
        <v>46175</v>
      </c>
      <c r="C8" s="58">
        <v>4</v>
      </c>
      <c r="D8" s="229" t="s">
        <v>192</v>
      </c>
      <c r="E8" s="224" t="s">
        <v>194</v>
      </c>
      <c r="F8" s="224" t="s">
        <v>226</v>
      </c>
      <c r="G8" s="224" t="s">
        <v>195</v>
      </c>
      <c r="H8" s="17">
        <f>'2'!$E6+'2'!$N6</f>
        <v>0</v>
      </c>
      <c r="I8" s="17">
        <f>'2'!$F$6+'2'!$R$6</f>
        <v>0</v>
      </c>
      <c r="J8" s="17">
        <f>'2'!$G$6+'2'!$S$6</f>
        <v>0</v>
      </c>
      <c r="K8" s="17">
        <f>'2'!$BF$6</f>
        <v>0</v>
      </c>
      <c r="L8" s="17">
        <f>'2'!$BG$6</f>
        <v>0</v>
      </c>
      <c r="M8" s="17">
        <f>'2'!$BH$6</f>
        <v>0</v>
      </c>
      <c r="N8" s="224">
        <v>58</v>
      </c>
      <c r="O8" s="17">
        <f>'2'!CC6</f>
        <v>0</v>
      </c>
      <c r="P8" s="59" t="s">
        <v>227</v>
      </c>
    </row>
    <row r="9" spans="1:16" ht="15.65" customHeight="1" x14ac:dyDescent="0.35">
      <c r="A9" s="225"/>
      <c r="B9" s="227"/>
      <c r="C9" s="58">
        <v>4.25</v>
      </c>
      <c r="D9" s="230"/>
      <c r="E9" s="225"/>
      <c r="F9" s="225"/>
      <c r="G9" s="225"/>
      <c r="H9" s="17">
        <f>'2'!$E20+'2'!$N20</f>
        <v>0</v>
      </c>
      <c r="I9" s="17">
        <f>'2'!$F$12+'2'!$R$12</f>
        <v>0</v>
      </c>
      <c r="J9" s="17">
        <f>'2'!$G$12+'2'!$S$12</f>
        <v>0</v>
      </c>
      <c r="K9" s="17">
        <f>'2'!$BF$12</f>
        <v>0</v>
      </c>
      <c r="L9" s="17">
        <f>'2'!$BG$12</f>
        <v>0</v>
      </c>
      <c r="M9" s="17">
        <f>'2'!$BH$12</f>
        <v>0</v>
      </c>
      <c r="N9" s="225"/>
      <c r="O9" s="17">
        <f>'2'!CC$12</f>
        <v>0</v>
      </c>
      <c r="P9" s="59" t="s">
        <v>227</v>
      </c>
    </row>
    <row r="10" spans="1:16" ht="15.65" customHeight="1" x14ac:dyDescent="0.35">
      <c r="A10" s="225"/>
      <c r="B10" s="227"/>
      <c r="C10" s="58">
        <v>4.5</v>
      </c>
      <c r="D10" s="230"/>
      <c r="E10" s="225"/>
      <c r="F10" s="225"/>
      <c r="G10" s="225"/>
      <c r="H10" s="17">
        <f>'2'!$E$18+'2'!$Q$18</f>
        <v>0</v>
      </c>
      <c r="I10" s="17">
        <f>'2'!$F$18+'2'!$R$18</f>
        <v>0</v>
      </c>
      <c r="J10" s="17">
        <f>'2'!$G$18+'2'!$S$18</f>
        <v>0</v>
      </c>
      <c r="K10" s="17">
        <f>'2'!$BF$18</f>
        <v>0</v>
      </c>
      <c r="L10" s="17">
        <f>'2'!$BG$18</f>
        <v>0</v>
      </c>
      <c r="M10" s="17">
        <f>'2'!$BH$18</f>
        <v>0</v>
      </c>
      <c r="N10" s="225"/>
      <c r="O10" s="17">
        <f>'2'!CC$18</f>
        <v>0</v>
      </c>
      <c r="P10" s="59" t="s">
        <v>227</v>
      </c>
    </row>
    <row r="11" spans="1:16" ht="15.65" customHeight="1" x14ac:dyDescent="0.35">
      <c r="A11" s="225"/>
      <c r="B11" s="227"/>
      <c r="C11" s="58">
        <v>4.75</v>
      </c>
      <c r="D11" s="231"/>
      <c r="E11" s="228"/>
      <c r="F11" s="228"/>
      <c r="G11" s="228"/>
      <c r="H11" s="17">
        <f>'2'!$E$24+'2'!$Q$24</f>
        <v>0</v>
      </c>
      <c r="I11" s="17">
        <f>'2'!$F$24+'2'!$R$24</f>
        <v>0</v>
      </c>
      <c r="J11" s="17">
        <f>'2'!$G$24+'2'!$S$24</f>
        <v>0</v>
      </c>
      <c r="K11" s="17">
        <f>'2'!$BF$24</f>
        <v>0</v>
      </c>
      <c r="L11" s="17">
        <f>'2'!$BG$24</f>
        <v>0</v>
      </c>
      <c r="M11" s="17">
        <f>'2'!$BH$24</f>
        <v>0</v>
      </c>
      <c r="N11" s="228"/>
      <c r="O11" s="17">
        <f>'2'!CC$24</f>
        <v>0</v>
      </c>
      <c r="P11" s="59" t="s">
        <v>227</v>
      </c>
    </row>
    <row r="12" spans="1:16" ht="15.65" customHeight="1" x14ac:dyDescent="0.35">
      <c r="A12" s="224" t="s">
        <v>142</v>
      </c>
      <c r="B12" s="226">
        <v>46176</v>
      </c>
      <c r="C12" s="58">
        <v>8</v>
      </c>
      <c r="D12" s="229" t="s">
        <v>192</v>
      </c>
      <c r="E12" s="224" t="s">
        <v>194</v>
      </c>
      <c r="F12" s="224" t="s">
        <v>226</v>
      </c>
      <c r="G12" s="224" t="s">
        <v>195</v>
      </c>
      <c r="H12" s="17">
        <f>'3'!$E6+'3'!$N6</f>
        <v>0</v>
      </c>
      <c r="I12" s="17">
        <f>'3'!$F$6+'3'!$R$6</f>
        <v>0</v>
      </c>
      <c r="J12" s="17">
        <f>'3'!$G$6+'3'!$S$6</f>
        <v>0</v>
      </c>
      <c r="K12" s="17">
        <f>'3'!$BF$6</f>
        <v>0</v>
      </c>
      <c r="L12" s="17">
        <f>'3'!$BG$6</f>
        <v>0</v>
      </c>
      <c r="M12" s="17">
        <f>'3'!$BH$6</f>
        <v>0</v>
      </c>
      <c r="N12" s="224">
        <v>58</v>
      </c>
      <c r="O12" s="17">
        <f>'3'!CC6</f>
        <v>0</v>
      </c>
      <c r="P12" s="59" t="s">
        <v>227</v>
      </c>
    </row>
    <row r="13" spans="1:16" ht="15.65" customHeight="1" x14ac:dyDescent="0.35">
      <c r="A13" s="225"/>
      <c r="B13" s="227"/>
      <c r="C13" s="58">
        <v>8.25</v>
      </c>
      <c r="D13" s="230"/>
      <c r="E13" s="225"/>
      <c r="F13" s="225"/>
      <c r="G13" s="225"/>
      <c r="H13" s="17">
        <f>'3'!$E12+'3'!$N12</f>
        <v>0</v>
      </c>
      <c r="I13" s="17">
        <f>'3'!$F$12+'3'!$R$12</f>
        <v>0</v>
      </c>
      <c r="J13" s="17">
        <f>'3'!$G$12+'3'!$S$12</f>
        <v>0</v>
      </c>
      <c r="K13" s="17">
        <f>'3'!$BF$12</f>
        <v>0</v>
      </c>
      <c r="L13" s="17">
        <f>'3'!$BG$12</f>
        <v>0</v>
      </c>
      <c r="M13" s="17">
        <f>'3'!$BH$12</f>
        <v>0</v>
      </c>
      <c r="N13" s="225"/>
      <c r="O13" s="17">
        <f>'3'!CC$12</f>
        <v>0</v>
      </c>
      <c r="P13" s="59" t="s">
        <v>227</v>
      </c>
    </row>
    <row r="14" spans="1:16" ht="15.65" customHeight="1" x14ac:dyDescent="0.35">
      <c r="A14" s="225"/>
      <c r="B14" s="227"/>
      <c r="C14" s="58">
        <v>8.5</v>
      </c>
      <c r="D14" s="230"/>
      <c r="E14" s="225"/>
      <c r="F14" s="225"/>
      <c r="G14" s="225"/>
      <c r="H14" s="17">
        <f>'3'!$E$18+'3'!$Q$18</f>
        <v>0</v>
      </c>
      <c r="I14" s="17">
        <f>'3'!$F$18+'3'!$R$18</f>
        <v>0</v>
      </c>
      <c r="J14" s="17">
        <f>'3'!$G$18+'3'!$S$18</f>
        <v>0</v>
      </c>
      <c r="K14" s="17">
        <f>'3'!$BF$18</f>
        <v>0</v>
      </c>
      <c r="L14" s="17">
        <f>'3'!$BG$18</f>
        <v>0</v>
      </c>
      <c r="M14" s="17">
        <f>'3'!$BH$18</f>
        <v>0</v>
      </c>
      <c r="N14" s="225"/>
      <c r="O14" s="17">
        <f>'3'!CC$18</f>
        <v>0</v>
      </c>
      <c r="P14" s="59" t="s">
        <v>227</v>
      </c>
    </row>
    <row r="15" spans="1:16" ht="15.65" customHeight="1" x14ac:dyDescent="0.35">
      <c r="A15" s="225"/>
      <c r="B15" s="227"/>
      <c r="C15" s="58">
        <v>8.75</v>
      </c>
      <c r="D15" s="231"/>
      <c r="E15" s="228"/>
      <c r="F15" s="228"/>
      <c r="G15" s="228"/>
      <c r="H15" s="17">
        <f>'3'!$E$24+'3'!$Q$24</f>
        <v>0</v>
      </c>
      <c r="I15" s="17">
        <f>'3'!$F$24+'3'!$R$24</f>
        <v>0</v>
      </c>
      <c r="J15" s="17">
        <f>'3'!$G$24+'3'!$S$24</f>
        <v>0</v>
      </c>
      <c r="K15" s="17">
        <f>'3'!$BF$24</f>
        <v>0</v>
      </c>
      <c r="L15" s="17">
        <f>'3'!$BG$24</f>
        <v>0</v>
      </c>
      <c r="M15" s="17">
        <f>'3'!$BH$24</f>
        <v>0</v>
      </c>
      <c r="N15" s="228"/>
      <c r="O15" s="17">
        <f>'3'!CC$24</f>
        <v>0</v>
      </c>
      <c r="P15" s="59" t="s">
        <v>227</v>
      </c>
    </row>
    <row r="16" spans="1:16" ht="15.65" customHeight="1" x14ac:dyDescent="0.35">
      <c r="A16" s="224" t="s">
        <v>142</v>
      </c>
      <c r="B16" s="226">
        <v>46177</v>
      </c>
      <c r="C16" s="58">
        <v>12</v>
      </c>
      <c r="D16" s="229" t="s">
        <v>192</v>
      </c>
      <c r="E16" s="224" t="s">
        <v>194</v>
      </c>
      <c r="F16" s="224" t="s">
        <v>226</v>
      </c>
      <c r="G16" s="224" t="s">
        <v>195</v>
      </c>
      <c r="H16" s="17">
        <f>'4'!$E6+'4'!$N6</f>
        <v>0</v>
      </c>
      <c r="I16" s="17">
        <f>'4'!$F$6+'4'!$R$6</f>
        <v>0</v>
      </c>
      <c r="J16" s="17">
        <f>'4'!$G$6+'4'!$S$6</f>
        <v>0</v>
      </c>
      <c r="K16" s="17">
        <f>'4'!$BF$6</f>
        <v>0</v>
      </c>
      <c r="L16" s="17">
        <f>'4'!$BG$6</f>
        <v>0</v>
      </c>
      <c r="M16" s="17">
        <f>'4'!$BH$6</f>
        <v>0</v>
      </c>
      <c r="N16" s="224">
        <v>58</v>
      </c>
      <c r="O16" s="17">
        <f>'4'!CC6</f>
        <v>0</v>
      </c>
      <c r="P16" s="59" t="s">
        <v>227</v>
      </c>
    </row>
    <row r="17" spans="1:16" ht="15.65" customHeight="1" x14ac:dyDescent="0.35">
      <c r="A17" s="225"/>
      <c r="B17" s="227"/>
      <c r="C17" s="58">
        <v>12.25</v>
      </c>
      <c r="D17" s="230"/>
      <c r="E17" s="225"/>
      <c r="F17" s="225"/>
      <c r="G17" s="225"/>
      <c r="H17" s="17">
        <f>'4'!$E12+'4'!$N12</f>
        <v>0</v>
      </c>
      <c r="I17" s="17">
        <f>'4'!$F$12+'4'!$R$12</f>
        <v>0</v>
      </c>
      <c r="J17" s="17">
        <f>'4'!$G$12+'4'!$S$12</f>
        <v>0</v>
      </c>
      <c r="K17" s="17">
        <f>'4'!$BF$12</f>
        <v>0</v>
      </c>
      <c r="L17" s="17">
        <f>'4'!$BG$12</f>
        <v>0</v>
      </c>
      <c r="M17" s="17">
        <f>'4'!$BH$12</f>
        <v>0</v>
      </c>
      <c r="N17" s="225"/>
      <c r="O17" s="17">
        <f>'4'!CC$12</f>
        <v>0</v>
      </c>
      <c r="P17" s="59" t="s">
        <v>227</v>
      </c>
    </row>
    <row r="18" spans="1:16" ht="15.65" customHeight="1" x14ac:dyDescent="0.35">
      <c r="A18" s="225"/>
      <c r="B18" s="227"/>
      <c r="C18" s="58">
        <v>12.5</v>
      </c>
      <c r="D18" s="230"/>
      <c r="E18" s="225"/>
      <c r="F18" s="225"/>
      <c r="G18" s="225"/>
      <c r="H18" s="17">
        <f>'4'!$E$18+'4'!$Q$18</f>
        <v>0</v>
      </c>
      <c r="I18" s="17">
        <f>'4'!$F$18+'4'!$R$18</f>
        <v>0</v>
      </c>
      <c r="J18" s="17">
        <f>'4'!$G$18+'4'!$S$18</f>
        <v>0</v>
      </c>
      <c r="K18" s="17">
        <f>'4'!$BF$18</f>
        <v>0</v>
      </c>
      <c r="L18" s="17">
        <f>'4'!$BG$18</f>
        <v>0</v>
      </c>
      <c r="M18" s="17">
        <f>'4'!$BH$18</f>
        <v>0</v>
      </c>
      <c r="N18" s="225"/>
      <c r="O18" s="17">
        <f>'4'!CC$18</f>
        <v>0</v>
      </c>
      <c r="P18" s="59" t="s">
        <v>227</v>
      </c>
    </row>
    <row r="19" spans="1:16" ht="15.65" customHeight="1" x14ac:dyDescent="0.35">
      <c r="A19" s="225"/>
      <c r="B19" s="227"/>
      <c r="C19" s="58">
        <v>12.75</v>
      </c>
      <c r="D19" s="231"/>
      <c r="E19" s="228"/>
      <c r="F19" s="228"/>
      <c r="G19" s="228"/>
      <c r="H19" s="17">
        <f>'4'!$E$24+'4'!$Q$24</f>
        <v>0</v>
      </c>
      <c r="I19" s="17">
        <f>'4'!$F$24+'4'!$R$24</f>
        <v>0</v>
      </c>
      <c r="J19" s="17">
        <f>'4'!$G$24+'4'!$S$24</f>
        <v>0</v>
      </c>
      <c r="K19" s="17">
        <f>'4'!$BF$24</f>
        <v>0</v>
      </c>
      <c r="L19" s="17">
        <f>'4'!$BG$24</f>
        <v>0</v>
      </c>
      <c r="M19" s="17">
        <f>'4'!$BH$24</f>
        <v>0</v>
      </c>
      <c r="N19" s="228"/>
      <c r="O19" s="17">
        <f>'4'!CC$24</f>
        <v>0</v>
      </c>
      <c r="P19" s="59" t="s">
        <v>227</v>
      </c>
    </row>
    <row r="20" spans="1:16" ht="15.65" customHeight="1" x14ac:dyDescent="0.35">
      <c r="A20" s="224" t="s">
        <v>142</v>
      </c>
      <c r="B20" s="226">
        <v>46178</v>
      </c>
      <c r="C20" s="58">
        <v>16</v>
      </c>
      <c r="D20" s="229" t="s">
        <v>192</v>
      </c>
      <c r="E20" s="224" t="s">
        <v>194</v>
      </c>
      <c r="F20" s="224" t="s">
        <v>226</v>
      </c>
      <c r="G20" s="224" t="s">
        <v>195</v>
      </c>
      <c r="H20" s="17">
        <f>'5'!$E12+'5'!$N12</f>
        <v>0</v>
      </c>
      <c r="I20" s="17">
        <f>'5'!$F$6+'5'!$R$6</f>
        <v>0</v>
      </c>
      <c r="J20" s="17">
        <f>'5'!$G$6+'5'!$S$6</f>
        <v>0</v>
      </c>
      <c r="K20" s="17">
        <f>'5'!$BF$6</f>
        <v>0</v>
      </c>
      <c r="L20" s="17">
        <f>'5'!$BG$6</f>
        <v>0</v>
      </c>
      <c r="M20" s="17">
        <f>'5'!$BH$6</f>
        <v>0</v>
      </c>
      <c r="N20" s="224">
        <v>58</v>
      </c>
      <c r="O20" s="17">
        <f>'5'!CC6</f>
        <v>0</v>
      </c>
      <c r="P20" s="59" t="s">
        <v>227</v>
      </c>
    </row>
    <row r="21" spans="1:16" ht="15.65" customHeight="1" x14ac:dyDescent="0.35">
      <c r="A21" s="225"/>
      <c r="B21" s="227"/>
      <c r="C21" s="58">
        <v>16.25</v>
      </c>
      <c r="D21" s="230"/>
      <c r="E21" s="225"/>
      <c r="F21" s="225"/>
      <c r="G21" s="225"/>
      <c r="H21" s="17">
        <f>'5'!$E12+'5'!$N12</f>
        <v>0</v>
      </c>
      <c r="I21" s="17">
        <f>'5'!$F$12+'5'!$R$12</f>
        <v>0</v>
      </c>
      <c r="J21" s="17">
        <f>'5'!$G$12+'5'!$S$12</f>
        <v>0</v>
      </c>
      <c r="K21" s="17">
        <f>'5'!$BF$12</f>
        <v>0</v>
      </c>
      <c r="L21" s="17">
        <f>'5'!$BG$12</f>
        <v>0</v>
      </c>
      <c r="M21" s="17">
        <f>'5'!$BH$12</f>
        <v>0</v>
      </c>
      <c r="N21" s="225"/>
      <c r="O21" s="17">
        <f>'5'!CC$12</f>
        <v>0</v>
      </c>
      <c r="P21" s="59" t="s">
        <v>227</v>
      </c>
    </row>
    <row r="22" spans="1:16" ht="15.65" customHeight="1" x14ac:dyDescent="0.35">
      <c r="A22" s="225"/>
      <c r="B22" s="227"/>
      <c r="C22" s="58">
        <v>16.5</v>
      </c>
      <c r="D22" s="230"/>
      <c r="E22" s="225"/>
      <c r="F22" s="225"/>
      <c r="G22" s="225"/>
      <c r="H22" s="17">
        <f>'5'!$E$18+'5'!$Q$18</f>
        <v>0</v>
      </c>
      <c r="I22" s="17">
        <f>'5'!$F$18+'5'!$R$18</f>
        <v>0</v>
      </c>
      <c r="J22" s="17">
        <f>'5'!$G$18+'5'!$S$18</f>
        <v>0</v>
      </c>
      <c r="K22" s="17">
        <f>'5'!$BF$18</f>
        <v>0</v>
      </c>
      <c r="L22" s="17">
        <f>'5'!$BG$18</f>
        <v>0</v>
      </c>
      <c r="M22" s="17">
        <f>'5'!$BH$18</f>
        <v>0</v>
      </c>
      <c r="N22" s="225"/>
      <c r="O22" s="17">
        <f>'5'!CC$18</f>
        <v>0</v>
      </c>
      <c r="P22" s="59" t="s">
        <v>227</v>
      </c>
    </row>
    <row r="23" spans="1:16" ht="15.65" customHeight="1" x14ac:dyDescent="0.35">
      <c r="A23" s="225"/>
      <c r="B23" s="227"/>
      <c r="C23" s="58">
        <v>16.75</v>
      </c>
      <c r="D23" s="231"/>
      <c r="E23" s="228"/>
      <c r="F23" s="228"/>
      <c r="G23" s="228"/>
      <c r="H23" s="17">
        <f>'5'!$E$24+'5'!$Q$24</f>
        <v>0</v>
      </c>
      <c r="I23" s="17">
        <f>'5'!$F$24+'5'!$R$24</f>
        <v>0</v>
      </c>
      <c r="J23" s="17">
        <f>'5'!$G$24+'5'!$S$24</f>
        <v>0</v>
      </c>
      <c r="K23" s="17">
        <f>'5'!$BF$24</f>
        <v>0</v>
      </c>
      <c r="L23" s="17">
        <f>'5'!$BG$24</f>
        <v>0</v>
      </c>
      <c r="M23" s="17">
        <f>'5'!$BH$24</f>
        <v>0</v>
      </c>
      <c r="N23" s="228"/>
      <c r="O23" s="17">
        <f>'5'!CC$24</f>
        <v>0</v>
      </c>
      <c r="P23" s="59" t="s">
        <v>227</v>
      </c>
    </row>
    <row r="24" spans="1:16" ht="15.65" customHeight="1" x14ac:dyDescent="0.35">
      <c r="A24" s="224" t="s">
        <v>142</v>
      </c>
      <c r="B24" s="226">
        <v>46179</v>
      </c>
      <c r="C24" s="58">
        <v>20</v>
      </c>
      <c r="D24" s="229" t="s">
        <v>192</v>
      </c>
      <c r="E24" s="224" t="s">
        <v>194</v>
      </c>
      <c r="F24" s="224" t="s">
        <v>226</v>
      </c>
      <c r="G24" s="224" t="s">
        <v>195</v>
      </c>
      <c r="H24" s="17">
        <f>'6'!$E12+'6'!$N12</f>
        <v>0</v>
      </c>
      <c r="I24" s="17">
        <f>'6'!$F$6+'6'!$R$6</f>
        <v>0</v>
      </c>
      <c r="J24" s="17">
        <f>'6'!$G$6+'6'!$S$6</f>
        <v>0</v>
      </c>
      <c r="K24" s="17">
        <f>'6'!$BF$6</f>
        <v>0</v>
      </c>
      <c r="L24" s="17">
        <f>'6'!$BG$6</f>
        <v>0</v>
      </c>
      <c r="M24" s="17">
        <f>'6'!$BH$6</f>
        <v>0</v>
      </c>
      <c r="N24" s="224">
        <v>58</v>
      </c>
      <c r="O24" s="17">
        <f>'6'!CC6</f>
        <v>0</v>
      </c>
      <c r="P24" s="59" t="s">
        <v>227</v>
      </c>
    </row>
    <row r="25" spans="1:16" ht="15.65" customHeight="1" x14ac:dyDescent="0.35">
      <c r="A25" s="225"/>
      <c r="B25" s="227"/>
      <c r="C25" s="58">
        <v>20.25</v>
      </c>
      <c r="D25" s="230"/>
      <c r="E25" s="225"/>
      <c r="F25" s="225"/>
      <c r="G25" s="225"/>
      <c r="H25" s="17">
        <f>'6'!$E12+'6'!$N12</f>
        <v>0</v>
      </c>
      <c r="I25" s="17">
        <f>'6'!$F$12+'6'!$R$12</f>
        <v>0</v>
      </c>
      <c r="J25" s="17">
        <f>'6'!$G$12+'6'!$S$12</f>
        <v>0</v>
      </c>
      <c r="K25" s="17">
        <f>'6'!$BF$12</f>
        <v>0</v>
      </c>
      <c r="L25" s="17">
        <f>'6'!$BG$12</f>
        <v>0</v>
      </c>
      <c r="M25" s="17">
        <f>'6'!$BH$12</f>
        <v>0</v>
      </c>
      <c r="N25" s="225"/>
      <c r="O25" s="17">
        <f>'6'!CC$12</f>
        <v>0</v>
      </c>
      <c r="P25" s="59" t="s">
        <v>227</v>
      </c>
    </row>
    <row r="26" spans="1:16" ht="15.65" customHeight="1" x14ac:dyDescent="0.35">
      <c r="A26" s="225"/>
      <c r="B26" s="227"/>
      <c r="C26" s="58">
        <v>20.5</v>
      </c>
      <c r="D26" s="230"/>
      <c r="E26" s="225"/>
      <c r="F26" s="225"/>
      <c r="G26" s="225"/>
      <c r="H26" s="17">
        <f>'6'!$E$18+'6'!$Q$18</f>
        <v>0</v>
      </c>
      <c r="I26" s="17">
        <f>'6'!$F$18+'6'!$R$18</f>
        <v>0</v>
      </c>
      <c r="J26" s="17">
        <f>'6'!$G$18+'6'!$S$18</f>
        <v>0</v>
      </c>
      <c r="K26" s="17">
        <f>'6'!$BF$18</f>
        <v>0</v>
      </c>
      <c r="L26" s="17">
        <f>'6'!$BG$18</f>
        <v>0</v>
      </c>
      <c r="M26" s="17">
        <f>'6'!$BH$18</f>
        <v>0</v>
      </c>
      <c r="N26" s="225"/>
      <c r="O26" s="17">
        <f>'6'!CC$18</f>
        <v>0</v>
      </c>
      <c r="P26" s="59" t="s">
        <v>227</v>
      </c>
    </row>
    <row r="27" spans="1:16" ht="15.65" customHeight="1" x14ac:dyDescent="0.35">
      <c r="A27" s="225"/>
      <c r="B27" s="227"/>
      <c r="C27" s="58">
        <v>20.75</v>
      </c>
      <c r="D27" s="231"/>
      <c r="E27" s="228"/>
      <c r="F27" s="228"/>
      <c r="G27" s="228"/>
      <c r="H27" s="17">
        <f>'6'!$E$24+'6'!$Q$24</f>
        <v>0</v>
      </c>
      <c r="I27" s="17">
        <f>'6'!$F$24+'6'!$R$24</f>
        <v>0</v>
      </c>
      <c r="J27" s="17">
        <f>'6'!$G$24+'6'!$S$24</f>
        <v>0</v>
      </c>
      <c r="K27" s="17">
        <f>'6'!$BF$24</f>
        <v>0</v>
      </c>
      <c r="L27" s="17">
        <f>'6'!$BG$24</f>
        <v>0</v>
      </c>
      <c r="M27" s="17">
        <f>'6'!$BH$24</f>
        <v>0</v>
      </c>
      <c r="N27" s="228"/>
      <c r="O27" s="17">
        <f>'6'!CC$24</f>
        <v>0</v>
      </c>
      <c r="P27" s="59" t="s">
        <v>227</v>
      </c>
    </row>
    <row r="28" spans="1:16" ht="15.65" customHeight="1" x14ac:dyDescent="0.35">
      <c r="A28" s="224" t="s">
        <v>142</v>
      </c>
      <c r="B28" s="226">
        <v>46180</v>
      </c>
      <c r="C28" s="58">
        <v>24</v>
      </c>
      <c r="D28" s="229" t="s">
        <v>192</v>
      </c>
      <c r="E28" s="224" t="s">
        <v>194</v>
      </c>
      <c r="F28" s="224" t="s">
        <v>226</v>
      </c>
      <c r="G28" s="224" t="s">
        <v>195</v>
      </c>
      <c r="H28" s="17">
        <f>'7'!$E6+'7'!$N6</f>
        <v>0</v>
      </c>
      <c r="I28" s="17">
        <f>'7'!$F$6+'7'!$R$6</f>
        <v>0</v>
      </c>
      <c r="J28" s="17">
        <f>'7'!$G$6+'7'!$S$6</f>
        <v>0</v>
      </c>
      <c r="K28" s="17">
        <f>'7'!$BF$6</f>
        <v>0</v>
      </c>
      <c r="L28" s="17">
        <f>'7'!$BG$6</f>
        <v>0</v>
      </c>
      <c r="M28" s="17">
        <f>'7'!$BH$6</f>
        <v>0</v>
      </c>
      <c r="N28" s="224">
        <v>58</v>
      </c>
      <c r="O28" s="17">
        <f>'7'!CC6</f>
        <v>0</v>
      </c>
      <c r="P28" s="59" t="s">
        <v>227</v>
      </c>
    </row>
    <row r="29" spans="1:16" ht="15.65" customHeight="1" x14ac:dyDescent="0.35">
      <c r="A29" s="225"/>
      <c r="B29" s="227"/>
      <c r="C29" s="58">
        <v>24.25</v>
      </c>
      <c r="D29" s="230"/>
      <c r="E29" s="225"/>
      <c r="F29" s="225"/>
      <c r="G29" s="225"/>
      <c r="H29" s="17">
        <f>'7'!$E12+'7'!$N12</f>
        <v>0</v>
      </c>
      <c r="I29" s="17">
        <f>'7'!$F$12+'7'!$R$12</f>
        <v>0</v>
      </c>
      <c r="J29" s="17">
        <f>'7'!$G$12+'7'!$S$12</f>
        <v>0</v>
      </c>
      <c r="K29" s="17">
        <f>'7'!$BF$12</f>
        <v>0</v>
      </c>
      <c r="L29" s="17">
        <f>'7'!$BG$12</f>
        <v>0</v>
      </c>
      <c r="M29" s="17">
        <f>'7'!$BH$12</f>
        <v>0</v>
      </c>
      <c r="N29" s="225"/>
      <c r="O29" s="17">
        <f>'7'!CC$12</f>
        <v>0</v>
      </c>
      <c r="P29" s="59" t="s">
        <v>227</v>
      </c>
    </row>
    <row r="30" spans="1:16" ht="15.65" customHeight="1" x14ac:dyDescent="0.35">
      <c r="A30" s="225"/>
      <c r="B30" s="227"/>
      <c r="C30" s="58">
        <v>24.5</v>
      </c>
      <c r="D30" s="230"/>
      <c r="E30" s="225"/>
      <c r="F30" s="225"/>
      <c r="G30" s="225"/>
      <c r="H30" s="17">
        <f>'7'!$E$18+'7'!$Q$18</f>
        <v>0</v>
      </c>
      <c r="I30" s="17">
        <f>'7'!$F$18+'7'!$R$18</f>
        <v>0</v>
      </c>
      <c r="J30" s="17">
        <f>'7'!$G$18+'7'!$S$18</f>
        <v>0</v>
      </c>
      <c r="K30" s="17">
        <f>'7'!$BF$18</f>
        <v>0</v>
      </c>
      <c r="L30" s="17">
        <f>'7'!$BG$18</f>
        <v>0</v>
      </c>
      <c r="M30" s="17">
        <f>'7'!$BH$18</f>
        <v>0</v>
      </c>
      <c r="N30" s="225"/>
      <c r="O30" s="17">
        <f>'7'!CC$18</f>
        <v>0</v>
      </c>
      <c r="P30" s="59" t="s">
        <v>227</v>
      </c>
    </row>
    <row r="31" spans="1:16" ht="15.65" customHeight="1" x14ac:dyDescent="0.35">
      <c r="A31" s="225"/>
      <c r="B31" s="227"/>
      <c r="C31" s="58">
        <v>24.75</v>
      </c>
      <c r="D31" s="231"/>
      <c r="E31" s="228"/>
      <c r="F31" s="228"/>
      <c r="G31" s="228"/>
      <c r="H31" s="17">
        <f>'7'!$E$24+'7'!$Q$24</f>
        <v>0</v>
      </c>
      <c r="I31" s="17">
        <f>'7'!$F$24+'7'!$R$24</f>
        <v>0</v>
      </c>
      <c r="J31" s="17">
        <f>'7'!$G$24+'7'!$S$24</f>
        <v>0</v>
      </c>
      <c r="K31" s="17">
        <f>'7'!$BF$24</f>
        <v>0</v>
      </c>
      <c r="L31" s="17">
        <f>'7'!$BG$24</f>
        <v>0</v>
      </c>
      <c r="M31" s="17">
        <f>'7'!$BH$24</f>
        <v>0</v>
      </c>
      <c r="N31" s="228"/>
      <c r="O31" s="17">
        <f>'7'!CC$24</f>
        <v>0</v>
      </c>
      <c r="P31" s="59" t="s">
        <v>227</v>
      </c>
    </row>
    <row r="32" spans="1:16" ht="15.65" customHeight="1" x14ac:dyDescent="0.35">
      <c r="A32" s="224" t="s">
        <v>142</v>
      </c>
      <c r="B32" s="226">
        <v>46181</v>
      </c>
      <c r="C32" s="58">
        <v>28</v>
      </c>
      <c r="D32" s="229" t="s">
        <v>192</v>
      </c>
      <c r="E32" s="224" t="s">
        <v>194</v>
      </c>
      <c r="F32" s="224" t="s">
        <v>226</v>
      </c>
      <c r="G32" s="224" t="s">
        <v>195</v>
      </c>
      <c r="H32" s="17">
        <f>'8'!$E6+'8'!$N6</f>
        <v>0</v>
      </c>
      <c r="I32" s="17">
        <f>'8'!$F$6+'8'!$R$6</f>
        <v>0</v>
      </c>
      <c r="J32" s="17">
        <f>'8'!$G$6+'8'!$S$6</f>
        <v>0</v>
      </c>
      <c r="K32" s="17">
        <f>'8'!$BF$6</f>
        <v>0</v>
      </c>
      <c r="L32" s="17">
        <f>'8'!$BG$6</f>
        <v>0</v>
      </c>
      <c r="M32" s="17">
        <f>'8'!$BH$6</f>
        <v>0</v>
      </c>
      <c r="N32" s="224">
        <v>58</v>
      </c>
      <c r="O32" s="17">
        <f>'8'!CC6</f>
        <v>0</v>
      </c>
      <c r="P32" s="59" t="s">
        <v>227</v>
      </c>
    </row>
    <row r="33" spans="1:16" ht="15.65" customHeight="1" x14ac:dyDescent="0.35">
      <c r="A33" s="225"/>
      <c r="B33" s="227"/>
      <c r="C33" s="58">
        <v>28.25</v>
      </c>
      <c r="D33" s="230"/>
      <c r="E33" s="225"/>
      <c r="F33" s="225"/>
      <c r="G33" s="225"/>
      <c r="H33" s="17">
        <f>'8'!$E12+'8'!$N12</f>
        <v>0</v>
      </c>
      <c r="I33" s="17">
        <f>'8'!$F$12+'8'!$R$12</f>
        <v>0</v>
      </c>
      <c r="J33" s="17">
        <f>'8'!$G$12+'8'!$S$12</f>
        <v>0</v>
      </c>
      <c r="K33" s="17">
        <f>'8'!$BF$12</f>
        <v>0</v>
      </c>
      <c r="L33" s="17">
        <f>'8'!$BG$12</f>
        <v>0</v>
      </c>
      <c r="M33" s="17">
        <f>'8'!$BH$12</f>
        <v>0</v>
      </c>
      <c r="N33" s="225"/>
      <c r="O33" s="17">
        <f>'8'!CC$12</f>
        <v>0</v>
      </c>
      <c r="P33" s="59" t="s">
        <v>227</v>
      </c>
    </row>
    <row r="34" spans="1:16" ht="15.65" customHeight="1" x14ac:dyDescent="0.35">
      <c r="A34" s="225"/>
      <c r="B34" s="227"/>
      <c r="C34" s="58">
        <v>28.5</v>
      </c>
      <c r="D34" s="230"/>
      <c r="E34" s="225"/>
      <c r="F34" s="225"/>
      <c r="G34" s="225"/>
      <c r="H34" s="17">
        <f>'8'!$E$18+'8'!$Q$18</f>
        <v>0</v>
      </c>
      <c r="I34" s="17">
        <f>'8'!$F$18+'8'!$R$18</f>
        <v>0</v>
      </c>
      <c r="J34" s="17">
        <f>'8'!$G$18+'8'!$S$18</f>
        <v>0</v>
      </c>
      <c r="K34" s="17">
        <f>'8'!$BF$18</f>
        <v>0</v>
      </c>
      <c r="L34" s="17">
        <f>'8'!$BG$18</f>
        <v>0</v>
      </c>
      <c r="M34" s="17">
        <f>'8'!$BH$18</f>
        <v>0</v>
      </c>
      <c r="N34" s="225"/>
      <c r="O34" s="17">
        <f>'8'!CC$18</f>
        <v>0</v>
      </c>
      <c r="P34" s="59" t="s">
        <v>227</v>
      </c>
    </row>
    <row r="35" spans="1:16" ht="15.65" customHeight="1" x14ac:dyDescent="0.35">
      <c r="A35" s="225"/>
      <c r="B35" s="227"/>
      <c r="C35" s="58">
        <v>28.75</v>
      </c>
      <c r="D35" s="231"/>
      <c r="E35" s="228"/>
      <c r="F35" s="228"/>
      <c r="G35" s="228"/>
      <c r="H35" s="17">
        <f>'8'!$E$24+'8'!$Q$24</f>
        <v>0</v>
      </c>
      <c r="I35" s="17">
        <f>'8'!$F$24+'8'!$R$24</f>
        <v>0</v>
      </c>
      <c r="J35" s="17">
        <f>'8'!$G$24+'8'!$S$24</f>
        <v>0</v>
      </c>
      <c r="K35" s="17">
        <f>'8'!$BF$24</f>
        <v>0</v>
      </c>
      <c r="L35" s="17">
        <f>'8'!$BG$24</f>
        <v>0</v>
      </c>
      <c r="M35" s="17">
        <f>'8'!$BH$24</f>
        <v>0</v>
      </c>
      <c r="N35" s="228"/>
      <c r="O35" s="17">
        <f>'8'!CC$24</f>
        <v>0</v>
      </c>
      <c r="P35" s="59" t="s">
        <v>227</v>
      </c>
    </row>
    <row r="36" spans="1:16" ht="15.65" customHeight="1" x14ac:dyDescent="0.35">
      <c r="A36" s="224" t="s">
        <v>142</v>
      </c>
      <c r="B36" s="226">
        <v>46182</v>
      </c>
      <c r="C36" s="58">
        <v>32</v>
      </c>
      <c r="D36" s="229" t="s">
        <v>192</v>
      </c>
      <c r="E36" s="224" t="s">
        <v>194</v>
      </c>
      <c r="F36" s="224" t="s">
        <v>226</v>
      </c>
      <c r="G36" s="224" t="s">
        <v>195</v>
      </c>
      <c r="H36" s="17">
        <f>'9'!$E6+'9'!$N6</f>
        <v>404</v>
      </c>
      <c r="I36" s="17">
        <f>'9'!$F$6+'9'!$R$6</f>
        <v>404</v>
      </c>
      <c r="J36" s="17">
        <f>'9'!$G$6+'9'!$S$6</f>
        <v>405</v>
      </c>
      <c r="K36" s="17">
        <f>'9'!$BF$6</f>
        <v>0</v>
      </c>
      <c r="L36" s="17">
        <f>'9'!$BG$6</f>
        <v>0</v>
      </c>
      <c r="M36" s="17">
        <f>'9'!$BH$6</f>
        <v>0</v>
      </c>
      <c r="N36" s="224">
        <v>58</v>
      </c>
      <c r="O36" s="17">
        <f>'9'!CC6</f>
        <v>0</v>
      </c>
      <c r="P36" s="59" t="s">
        <v>227</v>
      </c>
    </row>
    <row r="37" spans="1:16" ht="15.65" customHeight="1" x14ac:dyDescent="0.35">
      <c r="A37" s="225"/>
      <c r="B37" s="227"/>
      <c r="C37" s="58">
        <v>32.25</v>
      </c>
      <c r="D37" s="230"/>
      <c r="E37" s="225"/>
      <c r="F37" s="225"/>
      <c r="G37" s="225"/>
      <c r="H37" s="17">
        <f>'9'!$E12+'9'!$N12</f>
        <v>408</v>
      </c>
      <c r="I37" s="17">
        <f>'9'!$F$12+'9'!$R$12</f>
        <v>408</v>
      </c>
      <c r="J37" s="17">
        <f>'9'!$G$12+'9'!$S$12</f>
        <v>408</v>
      </c>
      <c r="K37" s="17">
        <f>'9'!$BF$12</f>
        <v>0</v>
      </c>
      <c r="L37" s="17">
        <f>'9'!$BG$12</f>
        <v>0</v>
      </c>
      <c r="M37" s="17">
        <f>'9'!$BH$12</f>
        <v>0</v>
      </c>
      <c r="N37" s="225"/>
      <c r="O37" s="17">
        <f>'9'!CC$12</f>
        <v>0</v>
      </c>
      <c r="P37" s="59" t="s">
        <v>227</v>
      </c>
    </row>
    <row r="38" spans="1:16" ht="15.65" customHeight="1" x14ac:dyDescent="0.35">
      <c r="A38" s="225"/>
      <c r="B38" s="227"/>
      <c r="C38" s="58">
        <v>32.5</v>
      </c>
      <c r="D38" s="230"/>
      <c r="E38" s="225"/>
      <c r="F38" s="225"/>
      <c r="G38" s="225"/>
      <c r="H38" s="17">
        <f>'9'!$E$18+'9'!$Q$18</f>
        <v>410</v>
      </c>
      <c r="I38" s="17">
        <f>'9'!$F$18+'9'!$R$18</f>
        <v>411</v>
      </c>
      <c r="J38" s="17">
        <f>'9'!$G$18+'9'!$S$18</f>
        <v>412</v>
      </c>
      <c r="K38" s="17">
        <f>'9'!$BF$18</f>
        <v>0</v>
      </c>
      <c r="L38" s="17">
        <f>'9'!$BG$18</f>
        <v>0</v>
      </c>
      <c r="M38" s="17">
        <f>'9'!$BH$18</f>
        <v>0</v>
      </c>
      <c r="N38" s="225"/>
      <c r="O38" s="17">
        <f>'9'!CC$18</f>
        <v>0</v>
      </c>
      <c r="P38" s="59" t="s">
        <v>227</v>
      </c>
    </row>
    <row r="39" spans="1:16" ht="15.65" customHeight="1" x14ac:dyDescent="0.35">
      <c r="A39" s="225"/>
      <c r="B39" s="227"/>
      <c r="C39" s="58">
        <v>32.75</v>
      </c>
      <c r="D39" s="231"/>
      <c r="E39" s="228"/>
      <c r="F39" s="228"/>
      <c r="G39" s="228"/>
      <c r="H39" s="17">
        <f>'9'!$E$24+'9'!$Q$24</f>
        <v>408</v>
      </c>
      <c r="I39" s="17">
        <f>'9'!$F$24+'9'!$R$24</f>
        <v>409</v>
      </c>
      <c r="J39" s="17">
        <f>'9'!$G$24+'9'!$S$24</f>
        <v>409</v>
      </c>
      <c r="K39" s="17">
        <f>'9'!$BF$24</f>
        <v>0</v>
      </c>
      <c r="L39" s="17">
        <f>'9'!$BG$24</f>
        <v>0</v>
      </c>
      <c r="M39" s="17">
        <f>'9'!$BH$24</f>
        <v>0</v>
      </c>
      <c r="N39" s="228"/>
      <c r="O39" s="17">
        <f>'9'!CC$24</f>
        <v>0</v>
      </c>
      <c r="P39" s="59" t="s">
        <v>227</v>
      </c>
    </row>
    <row r="40" spans="1:16" ht="14.5" customHeight="1" x14ac:dyDescent="0.35">
      <c r="A40" s="224" t="s">
        <v>142</v>
      </c>
      <c r="B40" s="226">
        <v>46183</v>
      </c>
      <c r="C40" s="58">
        <v>36</v>
      </c>
      <c r="D40" s="229" t="s">
        <v>192</v>
      </c>
      <c r="E40" s="224" t="s">
        <v>194</v>
      </c>
      <c r="F40" s="224" t="s">
        <v>226</v>
      </c>
      <c r="G40" s="224" t="s">
        <v>195</v>
      </c>
      <c r="H40" s="17">
        <f>'10'!$E6+'10'!$N6</f>
        <v>0</v>
      </c>
      <c r="I40" s="17">
        <f>'10'!$F$6+'10'!$R$6</f>
        <v>0</v>
      </c>
      <c r="J40" s="17">
        <f>'10'!$G$6+'10'!$S$6</f>
        <v>0</v>
      </c>
      <c r="K40" s="17">
        <f>'10'!$BF$6</f>
        <v>0</v>
      </c>
      <c r="L40" s="17">
        <f>'10'!$BG$6</f>
        <v>0</v>
      </c>
      <c r="M40" s="17">
        <f>'10'!$BH$6</f>
        <v>0</v>
      </c>
      <c r="N40" s="224">
        <v>58</v>
      </c>
      <c r="O40" s="17">
        <f>'10'!CC6</f>
        <v>0</v>
      </c>
      <c r="P40" s="59" t="s">
        <v>227</v>
      </c>
    </row>
    <row r="41" spans="1:16" x14ac:dyDescent="0.35">
      <c r="A41" s="225"/>
      <c r="B41" s="227"/>
      <c r="C41" s="58">
        <v>36.25</v>
      </c>
      <c r="D41" s="230"/>
      <c r="E41" s="225"/>
      <c r="F41" s="225"/>
      <c r="G41" s="225"/>
      <c r="H41" s="17">
        <f>'10'!$E12+'10'!$N12</f>
        <v>0</v>
      </c>
      <c r="I41" s="17">
        <f>'10'!$F$12+'10'!$R$12</f>
        <v>0</v>
      </c>
      <c r="J41" s="17">
        <f>'10'!$G$12+'10'!$S$12</f>
        <v>0</v>
      </c>
      <c r="K41" s="17">
        <f>'10'!$BF$12</f>
        <v>0</v>
      </c>
      <c r="L41" s="17">
        <f>'10'!$BG$12</f>
        <v>0</v>
      </c>
      <c r="M41" s="17">
        <f>'10'!$BH$12</f>
        <v>0</v>
      </c>
      <c r="N41" s="225"/>
      <c r="O41" s="17">
        <f>'10'!CC$12</f>
        <v>0</v>
      </c>
      <c r="P41" s="59" t="s">
        <v>227</v>
      </c>
    </row>
    <row r="42" spans="1:16" ht="15" customHeight="1" x14ac:dyDescent="0.35">
      <c r="A42" s="225"/>
      <c r="B42" s="227"/>
      <c r="C42" s="58">
        <v>36.5</v>
      </c>
      <c r="D42" s="230"/>
      <c r="E42" s="225"/>
      <c r="F42" s="225"/>
      <c r="G42" s="225"/>
      <c r="H42" s="17">
        <f>'10'!$E$18+'10'!$Q$18</f>
        <v>0</v>
      </c>
      <c r="I42" s="17">
        <f>'10'!$F$18+'10'!$R$18</f>
        <v>0</v>
      </c>
      <c r="J42" s="17">
        <f>'10'!$G$18+'10'!$S$18</f>
        <v>0</v>
      </c>
      <c r="K42" s="17">
        <f>'10'!$BF$18</f>
        <v>0</v>
      </c>
      <c r="L42" s="17">
        <f>'10'!$BG$18</f>
        <v>0</v>
      </c>
      <c r="M42" s="17">
        <f>'10'!$BH$18</f>
        <v>0</v>
      </c>
      <c r="N42" s="225"/>
      <c r="O42" s="17">
        <f>'10'!CC$18</f>
        <v>0</v>
      </c>
      <c r="P42" s="59" t="s">
        <v>227</v>
      </c>
    </row>
    <row r="43" spans="1:16" x14ac:dyDescent="0.35">
      <c r="A43" s="225"/>
      <c r="B43" s="227"/>
      <c r="C43" s="58">
        <v>36.75</v>
      </c>
      <c r="D43" s="231"/>
      <c r="E43" s="228"/>
      <c r="F43" s="228"/>
      <c r="G43" s="228"/>
      <c r="H43" s="17">
        <f>'10'!$E$24+'10'!$Q$24</f>
        <v>0</v>
      </c>
      <c r="I43" s="17">
        <f>'10'!$F$24+'10'!$R$24</f>
        <v>0</v>
      </c>
      <c r="J43" s="17">
        <f>'10'!$G$24+'10'!$S$24</f>
        <v>0</v>
      </c>
      <c r="K43" s="17">
        <f>'10'!$BF$24</f>
        <v>0</v>
      </c>
      <c r="L43" s="17">
        <f>'10'!$BG$24</f>
        <v>0</v>
      </c>
      <c r="M43" s="17">
        <f>'10'!$BH$24</f>
        <v>0</v>
      </c>
      <c r="N43" s="228"/>
      <c r="O43" s="17">
        <f>'10'!CC$24</f>
        <v>0</v>
      </c>
      <c r="P43" s="59" t="s">
        <v>227</v>
      </c>
    </row>
    <row r="44" spans="1:16" ht="14.5" customHeight="1" x14ac:dyDescent="0.35">
      <c r="A44" s="224" t="s">
        <v>142</v>
      </c>
      <c r="B44" s="226">
        <v>46184</v>
      </c>
      <c r="C44" s="58">
        <v>40</v>
      </c>
      <c r="D44" s="229" t="s">
        <v>192</v>
      </c>
      <c r="E44" s="224" t="s">
        <v>194</v>
      </c>
      <c r="F44" s="224" t="s">
        <v>226</v>
      </c>
      <c r="G44" s="224" t="s">
        <v>195</v>
      </c>
      <c r="H44" s="17">
        <f>'11'!$E6+'11'!$N6</f>
        <v>0</v>
      </c>
      <c r="I44" s="17">
        <f>'11'!$F$6+'11'!$R$6</f>
        <v>0</v>
      </c>
      <c r="J44" s="17">
        <f>'11'!$G$6+'11'!$S$6</f>
        <v>0</v>
      </c>
      <c r="K44" s="17">
        <f>'11'!$BF$6</f>
        <v>0</v>
      </c>
      <c r="L44" s="17">
        <f>'11'!$BG$6</f>
        <v>0</v>
      </c>
      <c r="M44" s="17">
        <f>'11'!$BH$6</f>
        <v>0</v>
      </c>
      <c r="N44" s="224">
        <v>58</v>
      </c>
      <c r="O44" s="17">
        <f>'11'!CC6</f>
        <v>0</v>
      </c>
      <c r="P44" s="59" t="s">
        <v>227</v>
      </c>
    </row>
    <row r="45" spans="1:16" x14ac:dyDescent="0.35">
      <c r="A45" s="225"/>
      <c r="B45" s="227"/>
      <c r="C45" s="58">
        <v>40.25</v>
      </c>
      <c r="D45" s="230"/>
      <c r="E45" s="225"/>
      <c r="F45" s="225"/>
      <c r="G45" s="225"/>
      <c r="H45" s="17">
        <f>'11'!$E12+'11'!$N12</f>
        <v>0</v>
      </c>
      <c r="I45" s="17">
        <f>'11'!$F$12+'11'!$R$12</f>
        <v>0</v>
      </c>
      <c r="J45" s="17">
        <f>'11'!$G$12+'11'!$S$12</f>
        <v>0</v>
      </c>
      <c r="K45" s="17">
        <f>'11'!$BF$12</f>
        <v>0</v>
      </c>
      <c r="L45" s="17">
        <f>'11'!$BG$12</f>
        <v>0</v>
      </c>
      <c r="M45" s="17">
        <f>'11'!$BH$12</f>
        <v>0</v>
      </c>
      <c r="N45" s="225"/>
      <c r="O45" s="17">
        <f>'11'!CC$12</f>
        <v>0</v>
      </c>
      <c r="P45" s="59" t="s">
        <v>227</v>
      </c>
    </row>
    <row r="46" spans="1:16" x14ac:dyDescent="0.35">
      <c r="A46" s="225"/>
      <c r="B46" s="227"/>
      <c r="C46" s="58">
        <v>40.5</v>
      </c>
      <c r="D46" s="230"/>
      <c r="E46" s="225"/>
      <c r="F46" s="225"/>
      <c r="G46" s="225"/>
      <c r="H46" s="17">
        <f>'11'!$E$18+'11'!$Q$18</f>
        <v>0</v>
      </c>
      <c r="I46" s="17">
        <f>'11'!$F$18+'11'!$R$18</f>
        <v>0</v>
      </c>
      <c r="J46" s="17">
        <f>'11'!$G$18+'11'!$S$18</f>
        <v>0</v>
      </c>
      <c r="K46" s="17">
        <f>'11'!$BF$18</f>
        <v>0</v>
      </c>
      <c r="L46" s="17">
        <f>'11'!$BG$18</f>
        <v>0</v>
      </c>
      <c r="M46" s="17">
        <f>'11'!$BH$18</f>
        <v>0</v>
      </c>
      <c r="N46" s="225"/>
      <c r="O46" s="17">
        <f>'11'!CC$18</f>
        <v>0</v>
      </c>
      <c r="P46" s="59" t="s">
        <v>227</v>
      </c>
    </row>
    <row r="47" spans="1:16" x14ac:dyDescent="0.35">
      <c r="A47" s="225"/>
      <c r="B47" s="227"/>
      <c r="C47" s="58">
        <v>40.75</v>
      </c>
      <c r="D47" s="231"/>
      <c r="E47" s="228"/>
      <c r="F47" s="228"/>
      <c r="G47" s="228"/>
      <c r="H47" s="17">
        <f>'11'!$E$24+'11'!$Q$24</f>
        <v>0</v>
      </c>
      <c r="I47" s="17">
        <f>'11'!$F$24+'11'!$R$24</f>
        <v>0</v>
      </c>
      <c r="J47" s="17">
        <f>'11'!$G$24+'11'!$S$24</f>
        <v>0</v>
      </c>
      <c r="K47" s="17">
        <f>'11'!$BF$24</f>
        <v>0</v>
      </c>
      <c r="L47" s="17">
        <f>'11'!$BG$24</f>
        <v>0</v>
      </c>
      <c r="M47" s="17">
        <f>'11'!$BH$24</f>
        <v>0</v>
      </c>
      <c r="N47" s="228"/>
      <c r="O47" s="17">
        <f>'11'!CC$24</f>
        <v>0</v>
      </c>
      <c r="P47" s="59" t="s">
        <v>227</v>
      </c>
    </row>
    <row r="48" spans="1:16" ht="14.5" customHeight="1" x14ac:dyDescent="0.35">
      <c r="A48" s="224" t="s">
        <v>142</v>
      </c>
      <c r="B48" s="226">
        <v>46185</v>
      </c>
      <c r="C48" s="58">
        <v>44</v>
      </c>
      <c r="D48" s="229" t="s">
        <v>192</v>
      </c>
      <c r="E48" s="224" t="s">
        <v>194</v>
      </c>
      <c r="F48" s="224" t="s">
        <v>226</v>
      </c>
      <c r="G48" s="224" t="s">
        <v>195</v>
      </c>
      <c r="H48" s="17">
        <f>'12'!$E6+'12'!$N6</f>
        <v>0</v>
      </c>
      <c r="I48" s="17">
        <f>'12'!$F$6+'12'!$R$6</f>
        <v>0</v>
      </c>
      <c r="J48" s="17">
        <f>'12'!$G$6+'12'!$S$6</f>
        <v>0</v>
      </c>
      <c r="K48" s="17">
        <f>'12'!$BF$6</f>
        <v>0</v>
      </c>
      <c r="L48" s="17">
        <f>'12'!$BG$6</f>
        <v>0</v>
      </c>
      <c r="M48" s="17">
        <f>'12'!$BH$6</f>
        <v>0</v>
      </c>
      <c r="N48" s="224">
        <v>58</v>
      </c>
      <c r="O48" s="17">
        <f>'12'!CC6</f>
        <v>0</v>
      </c>
      <c r="P48" s="59" t="s">
        <v>227</v>
      </c>
    </row>
    <row r="49" spans="1:16" x14ac:dyDescent="0.35">
      <c r="A49" s="225"/>
      <c r="B49" s="227"/>
      <c r="C49" s="58">
        <v>44.25</v>
      </c>
      <c r="D49" s="230"/>
      <c r="E49" s="225"/>
      <c r="F49" s="225"/>
      <c r="G49" s="225"/>
      <c r="H49" s="17">
        <f>'12'!$E12+'12'!$N12</f>
        <v>0</v>
      </c>
      <c r="I49" s="17">
        <f>'12'!$F$12+'12'!$R$12</f>
        <v>0</v>
      </c>
      <c r="J49" s="17">
        <f>'12'!$G$12+'12'!$S$12</f>
        <v>0</v>
      </c>
      <c r="K49" s="17">
        <f>'12'!$BF$12</f>
        <v>0</v>
      </c>
      <c r="L49" s="17">
        <f>'12'!$BG$12</f>
        <v>0</v>
      </c>
      <c r="M49" s="17">
        <f>'12'!$BH$12</f>
        <v>0</v>
      </c>
      <c r="N49" s="225"/>
      <c r="O49" s="17">
        <f>'12'!CC$12</f>
        <v>0</v>
      </c>
      <c r="P49" s="59" t="s">
        <v>227</v>
      </c>
    </row>
    <row r="50" spans="1:16" x14ac:dyDescent="0.35">
      <c r="A50" s="225"/>
      <c r="B50" s="227"/>
      <c r="C50" s="58">
        <v>44.5</v>
      </c>
      <c r="D50" s="230"/>
      <c r="E50" s="225"/>
      <c r="F50" s="225"/>
      <c r="G50" s="225"/>
      <c r="H50" s="17">
        <f>'12'!$E$18+'12'!$Q$18</f>
        <v>0</v>
      </c>
      <c r="I50" s="17">
        <f>'12'!$F$18+'12'!$R$18</f>
        <v>0</v>
      </c>
      <c r="J50" s="17">
        <f>'12'!$G$18+'12'!$S$18</f>
        <v>0</v>
      </c>
      <c r="K50" s="17">
        <f>'12'!$BF$18</f>
        <v>0</v>
      </c>
      <c r="L50" s="17">
        <f>'12'!$BG$18</f>
        <v>0</v>
      </c>
      <c r="M50" s="17">
        <f>'12'!$BH$18</f>
        <v>0</v>
      </c>
      <c r="N50" s="225"/>
      <c r="O50" s="17">
        <f>'12'!CC$18</f>
        <v>0</v>
      </c>
      <c r="P50" s="59" t="s">
        <v>227</v>
      </c>
    </row>
    <row r="51" spans="1:16" x14ac:dyDescent="0.35">
      <c r="A51" s="225"/>
      <c r="B51" s="227"/>
      <c r="C51" s="58">
        <v>44.75</v>
      </c>
      <c r="D51" s="231"/>
      <c r="E51" s="228"/>
      <c r="F51" s="228"/>
      <c r="G51" s="228"/>
      <c r="H51" s="17">
        <f>'12'!$E$24+'12'!$Q$24</f>
        <v>0</v>
      </c>
      <c r="I51" s="17">
        <f>'12'!$F$24+'12'!$R$24</f>
        <v>0</v>
      </c>
      <c r="J51" s="17">
        <f>'12'!$G$24+'12'!$S$24</f>
        <v>0</v>
      </c>
      <c r="K51" s="17">
        <f>'12'!$BF$24</f>
        <v>0</v>
      </c>
      <c r="L51" s="17">
        <f>'12'!$BG$24</f>
        <v>0</v>
      </c>
      <c r="M51" s="17">
        <f>'12'!$BH$24</f>
        <v>0</v>
      </c>
      <c r="N51" s="228"/>
      <c r="O51" s="17">
        <f>'12'!CC$24</f>
        <v>0</v>
      </c>
      <c r="P51" s="59" t="s">
        <v>227</v>
      </c>
    </row>
    <row r="52" spans="1:16" ht="14.5" customHeight="1" x14ac:dyDescent="0.35">
      <c r="A52" s="224" t="s">
        <v>142</v>
      </c>
      <c r="B52" s="226">
        <v>46186</v>
      </c>
      <c r="C52" s="58">
        <v>48</v>
      </c>
      <c r="D52" s="229" t="s">
        <v>192</v>
      </c>
      <c r="E52" s="224" t="s">
        <v>194</v>
      </c>
      <c r="F52" s="224" t="s">
        <v>226</v>
      </c>
      <c r="G52" s="224" t="s">
        <v>195</v>
      </c>
      <c r="H52" s="17">
        <f>'13'!$E6+'13'!$N6</f>
        <v>0</v>
      </c>
      <c r="I52" s="17">
        <f>'13'!$F$6+'13'!$R$6</f>
        <v>0</v>
      </c>
      <c r="J52" s="17">
        <f>'13'!$G$6+'13'!$S$6</f>
        <v>0</v>
      </c>
      <c r="K52" s="17">
        <f>'13'!$BF$6</f>
        <v>0</v>
      </c>
      <c r="L52" s="17">
        <f>'13'!$BG$6</f>
        <v>0</v>
      </c>
      <c r="M52" s="17">
        <f>'13'!$BH$6</f>
        <v>0</v>
      </c>
      <c r="N52" s="224">
        <v>58</v>
      </c>
      <c r="O52" s="17">
        <f>'13'!CC6</f>
        <v>0</v>
      </c>
      <c r="P52" s="59" t="s">
        <v>227</v>
      </c>
    </row>
    <row r="53" spans="1:16" x14ac:dyDescent="0.35">
      <c r="A53" s="225"/>
      <c r="B53" s="227"/>
      <c r="C53" s="58">
        <v>48.25</v>
      </c>
      <c r="D53" s="230"/>
      <c r="E53" s="225"/>
      <c r="F53" s="225"/>
      <c r="G53" s="225"/>
      <c r="H53" s="17">
        <f>'13'!$E12+'13'!$N12</f>
        <v>0</v>
      </c>
      <c r="I53" s="17">
        <f>'13'!$F$12+'13'!$R$12</f>
        <v>0</v>
      </c>
      <c r="J53" s="17">
        <f>'13'!$G$12+'13'!$S$12</f>
        <v>0</v>
      </c>
      <c r="K53" s="17">
        <f>'13'!$BF$12</f>
        <v>0</v>
      </c>
      <c r="L53" s="17">
        <f>'13'!$BG$12</f>
        <v>0</v>
      </c>
      <c r="M53" s="17">
        <f>'13'!$BH$12</f>
        <v>0</v>
      </c>
      <c r="N53" s="225"/>
      <c r="O53" s="17">
        <f>'13'!CC$12</f>
        <v>0</v>
      </c>
      <c r="P53" s="59" t="s">
        <v>227</v>
      </c>
    </row>
    <row r="54" spans="1:16" x14ac:dyDescent="0.35">
      <c r="A54" s="225"/>
      <c r="B54" s="227"/>
      <c r="C54" s="58">
        <v>48.5</v>
      </c>
      <c r="D54" s="230"/>
      <c r="E54" s="225"/>
      <c r="F54" s="225"/>
      <c r="G54" s="225"/>
      <c r="H54" s="17">
        <f>'13'!$E$18+'13'!$Q$18</f>
        <v>0</v>
      </c>
      <c r="I54" s="17">
        <f>'13'!$F$18+'13'!$R$18</f>
        <v>0</v>
      </c>
      <c r="J54" s="17">
        <f>'13'!$G$18+'13'!$S$18</f>
        <v>0</v>
      </c>
      <c r="K54" s="17">
        <f>'13'!$BF$18</f>
        <v>0</v>
      </c>
      <c r="L54" s="17">
        <f>'13'!$BG$18</f>
        <v>0</v>
      </c>
      <c r="M54" s="17">
        <f>'13'!$BH$18</f>
        <v>0</v>
      </c>
      <c r="N54" s="225"/>
      <c r="O54" s="17">
        <f>'13'!CC$18</f>
        <v>0</v>
      </c>
      <c r="P54" s="59" t="s">
        <v>227</v>
      </c>
    </row>
    <row r="55" spans="1:16" x14ac:dyDescent="0.35">
      <c r="A55" s="225"/>
      <c r="B55" s="227"/>
      <c r="C55" s="58">
        <v>48.75</v>
      </c>
      <c r="D55" s="231"/>
      <c r="E55" s="228"/>
      <c r="F55" s="228"/>
      <c r="G55" s="228"/>
      <c r="H55" s="17">
        <f>'13'!$E$24+'13'!$Q$24</f>
        <v>0</v>
      </c>
      <c r="I55" s="17">
        <f>'13'!$F$24+'13'!$R$24</f>
        <v>0</v>
      </c>
      <c r="J55" s="17">
        <f>'13'!$G$24+'13'!$S$24</f>
        <v>0</v>
      </c>
      <c r="K55" s="17">
        <f>'13'!$BF$24</f>
        <v>0</v>
      </c>
      <c r="L55" s="17">
        <f>'13'!$BG$24</f>
        <v>0</v>
      </c>
      <c r="M55" s="17">
        <f>'13'!$BH$24</f>
        <v>0</v>
      </c>
      <c r="N55" s="228"/>
      <c r="O55" s="17">
        <f>'13'!CC$24</f>
        <v>0</v>
      </c>
      <c r="P55" s="59" t="s">
        <v>227</v>
      </c>
    </row>
    <row r="56" spans="1:16" ht="14.5" customHeight="1" x14ac:dyDescent="0.35">
      <c r="A56" s="224" t="s">
        <v>142</v>
      </c>
      <c r="B56" s="226">
        <v>46187</v>
      </c>
      <c r="C56" s="58">
        <v>52</v>
      </c>
      <c r="D56" s="229" t="s">
        <v>192</v>
      </c>
      <c r="E56" s="224" t="s">
        <v>194</v>
      </c>
      <c r="F56" s="224" t="s">
        <v>226</v>
      </c>
      <c r="G56" s="224" t="s">
        <v>195</v>
      </c>
      <c r="H56" s="17">
        <f>'14'!$E6+'14'!$N6</f>
        <v>0</v>
      </c>
      <c r="I56" s="17">
        <f>'14'!$F$6+'14'!$R$6</f>
        <v>0</v>
      </c>
      <c r="J56" s="17">
        <f>'14'!$G$6+'14'!$S$6</f>
        <v>0</v>
      </c>
      <c r="K56" s="17">
        <f>'14'!$BF$6</f>
        <v>0</v>
      </c>
      <c r="L56" s="17">
        <f>'14'!$BG$6</f>
        <v>0</v>
      </c>
      <c r="M56" s="17">
        <f>'14'!$BH$6</f>
        <v>0</v>
      </c>
      <c r="N56" s="224">
        <v>58</v>
      </c>
      <c r="O56" s="17">
        <f>'14'!CC6</f>
        <v>0</v>
      </c>
      <c r="P56" s="59" t="s">
        <v>227</v>
      </c>
    </row>
    <row r="57" spans="1:16" x14ac:dyDescent="0.35">
      <c r="A57" s="225"/>
      <c r="B57" s="227"/>
      <c r="C57" s="58">
        <v>52.25</v>
      </c>
      <c r="D57" s="230"/>
      <c r="E57" s="225"/>
      <c r="F57" s="225"/>
      <c r="G57" s="225"/>
      <c r="H57" s="17">
        <f>'14'!$E12+'14'!$N12</f>
        <v>0</v>
      </c>
      <c r="I57" s="17">
        <f>'14'!$F$12+'14'!$R$12</f>
        <v>0</v>
      </c>
      <c r="J57" s="17">
        <f>'14'!$G$12+'14'!$S$12</f>
        <v>0</v>
      </c>
      <c r="K57" s="17">
        <f>'14'!$BF$12</f>
        <v>0</v>
      </c>
      <c r="L57" s="17">
        <f>'14'!$BG$12</f>
        <v>0</v>
      </c>
      <c r="M57" s="17">
        <f>'14'!$BH$12</f>
        <v>0</v>
      </c>
      <c r="N57" s="225"/>
      <c r="O57" s="17">
        <f>'14'!CC$12</f>
        <v>0</v>
      </c>
      <c r="P57" s="59" t="s">
        <v>227</v>
      </c>
    </row>
    <row r="58" spans="1:16" x14ac:dyDescent="0.35">
      <c r="A58" s="225"/>
      <c r="B58" s="227"/>
      <c r="C58" s="58">
        <v>52.5</v>
      </c>
      <c r="D58" s="230"/>
      <c r="E58" s="225"/>
      <c r="F58" s="225"/>
      <c r="G58" s="225"/>
      <c r="H58" s="17">
        <f>'14'!$E$18+'14'!$Q$18</f>
        <v>0</v>
      </c>
      <c r="I58" s="17">
        <f>'14'!$F$18+'14'!$R$18</f>
        <v>0</v>
      </c>
      <c r="J58" s="17">
        <f>'14'!$G$18+'14'!$S$18</f>
        <v>0</v>
      </c>
      <c r="K58" s="17">
        <f>'14'!$BF$18</f>
        <v>0</v>
      </c>
      <c r="L58" s="17">
        <f>'14'!$BG$18</f>
        <v>0</v>
      </c>
      <c r="M58" s="17">
        <f>'14'!$BH$18</f>
        <v>0</v>
      </c>
      <c r="N58" s="225"/>
      <c r="O58" s="17">
        <f>'14'!CC$18</f>
        <v>0</v>
      </c>
      <c r="P58" s="59" t="s">
        <v>227</v>
      </c>
    </row>
    <row r="59" spans="1:16" x14ac:dyDescent="0.35">
      <c r="A59" s="225"/>
      <c r="B59" s="227"/>
      <c r="C59" s="58">
        <v>52.75</v>
      </c>
      <c r="D59" s="231"/>
      <c r="E59" s="228"/>
      <c r="F59" s="228"/>
      <c r="G59" s="228"/>
      <c r="H59" s="17">
        <f>'14'!$E$24+'14'!$Q$24</f>
        <v>0</v>
      </c>
      <c r="I59" s="17">
        <f>'14'!$F$24+'14'!$R$24</f>
        <v>0</v>
      </c>
      <c r="J59" s="17">
        <f>'14'!$G$24+'14'!$S$24</f>
        <v>0</v>
      </c>
      <c r="K59" s="17">
        <f>'14'!$BF$24</f>
        <v>0</v>
      </c>
      <c r="L59" s="17">
        <f>'14'!$BG$24</f>
        <v>0</v>
      </c>
      <c r="M59" s="17">
        <f>'14'!$BH$24</f>
        <v>0</v>
      </c>
      <c r="N59" s="228"/>
      <c r="O59" s="17">
        <f>'14'!CC$24</f>
        <v>0</v>
      </c>
      <c r="P59" s="59" t="s">
        <v>227</v>
      </c>
    </row>
    <row r="60" spans="1:16" ht="14.5" customHeight="1" x14ac:dyDescent="0.35">
      <c r="A60" s="224" t="s">
        <v>142</v>
      </c>
      <c r="B60" s="226">
        <v>46188</v>
      </c>
      <c r="C60" s="58">
        <v>56</v>
      </c>
      <c r="D60" s="229" t="s">
        <v>192</v>
      </c>
      <c r="E60" s="224" t="s">
        <v>194</v>
      </c>
      <c r="F60" s="224" t="s">
        <v>226</v>
      </c>
      <c r="G60" s="224" t="s">
        <v>195</v>
      </c>
      <c r="H60" s="17">
        <f>'15'!$E$6+'15'!$Q$6</f>
        <v>0</v>
      </c>
      <c r="I60" s="17">
        <f>'15'!$F$6+'15'!$R$6</f>
        <v>0</v>
      </c>
      <c r="J60" s="17">
        <f>'15'!$G$6+'15'!$S$6</f>
        <v>0</v>
      </c>
      <c r="K60" s="17">
        <f>'15'!$BF$6</f>
        <v>0</v>
      </c>
      <c r="L60" s="17">
        <f>'15'!$BG$6</f>
        <v>0</v>
      </c>
      <c r="M60" s="17">
        <f>'15'!$BH$6</f>
        <v>0</v>
      </c>
      <c r="N60" s="224">
        <v>58</v>
      </c>
      <c r="O60" s="17">
        <f>'15'!$CC$6</f>
        <v>0</v>
      </c>
      <c r="P60" s="59" t="s">
        <v>227</v>
      </c>
    </row>
    <row r="61" spans="1:16" x14ac:dyDescent="0.35">
      <c r="A61" s="225"/>
      <c r="B61" s="227"/>
      <c r="C61" s="58">
        <v>56.25</v>
      </c>
      <c r="D61" s="230"/>
      <c r="E61" s="225"/>
      <c r="F61" s="225"/>
      <c r="G61" s="225"/>
      <c r="H61" s="17">
        <f>'15'!$E$12+'15'!$Q$12</f>
        <v>0</v>
      </c>
      <c r="I61" s="17">
        <f>'15'!$F$12+'15'!$R$12</f>
        <v>0</v>
      </c>
      <c r="J61" s="17">
        <f>'15'!$G$12+'15'!$S$12</f>
        <v>0</v>
      </c>
      <c r="K61" s="17">
        <f>'15'!$BF$12</f>
        <v>0</v>
      </c>
      <c r="L61" s="17">
        <f>'15'!$BG$12</f>
        <v>0</v>
      </c>
      <c r="M61" s="17">
        <f>'15'!$BH$12</f>
        <v>0</v>
      </c>
      <c r="N61" s="225"/>
      <c r="O61" s="17">
        <f>'15'!$CC$12</f>
        <v>0</v>
      </c>
      <c r="P61" s="59" t="s">
        <v>227</v>
      </c>
    </row>
    <row r="62" spans="1:16" x14ac:dyDescent="0.35">
      <c r="A62" s="225"/>
      <c r="B62" s="227"/>
      <c r="C62" s="58">
        <v>56.5</v>
      </c>
      <c r="D62" s="230"/>
      <c r="E62" s="225"/>
      <c r="F62" s="225"/>
      <c r="G62" s="225"/>
      <c r="H62" s="17">
        <f>'15'!$E$18+'15'!$Q$18</f>
        <v>0</v>
      </c>
      <c r="I62" s="17">
        <f>'15'!$F$18+'15'!$R$18</f>
        <v>0</v>
      </c>
      <c r="J62" s="17">
        <f>'15'!$G$18+'15'!$S$18</f>
        <v>0</v>
      </c>
      <c r="K62" s="17">
        <f>'15'!$BF$18</f>
        <v>0</v>
      </c>
      <c r="L62" s="17">
        <f>'15'!$BG$18</f>
        <v>0</v>
      </c>
      <c r="M62" s="17">
        <f>'15'!$BH$18</f>
        <v>0</v>
      </c>
      <c r="N62" s="225"/>
      <c r="O62" s="17">
        <f>'15'!$CC$18</f>
        <v>0</v>
      </c>
      <c r="P62" s="59" t="s">
        <v>227</v>
      </c>
    </row>
    <row r="63" spans="1:16" x14ac:dyDescent="0.35">
      <c r="A63" s="225"/>
      <c r="B63" s="227"/>
      <c r="C63" s="58">
        <v>56.75</v>
      </c>
      <c r="D63" s="231"/>
      <c r="E63" s="228"/>
      <c r="F63" s="228"/>
      <c r="G63" s="228"/>
      <c r="H63" s="17">
        <f>'15'!$E$24+'15'!$Q$24</f>
        <v>0</v>
      </c>
      <c r="I63" s="17">
        <f>'15'!$F$24+'15'!$R$24</f>
        <v>0</v>
      </c>
      <c r="J63" s="17">
        <f>'15'!$G$24+'15'!$S$24</f>
        <v>0</v>
      </c>
      <c r="K63" s="17">
        <f>'15'!$BF$24</f>
        <v>0</v>
      </c>
      <c r="L63" s="17">
        <f>'15'!$BG$24</f>
        <v>0</v>
      </c>
      <c r="M63" s="17">
        <f>'15'!$BH$24</f>
        <v>0</v>
      </c>
      <c r="N63" s="228"/>
      <c r="O63" s="17">
        <f>'15'!$CC$24</f>
        <v>0</v>
      </c>
      <c r="P63" s="59" t="s">
        <v>227</v>
      </c>
    </row>
    <row r="64" spans="1:16" ht="14.5" customHeight="1" x14ac:dyDescent="0.35">
      <c r="A64" s="224" t="s">
        <v>142</v>
      </c>
      <c r="B64" s="226">
        <v>46189</v>
      </c>
      <c r="C64" s="58">
        <v>60</v>
      </c>
      <c r="D64" s="229" t="s">
        <v>192</v>
      </c>
      <c r="E64" s="224" t="s">
        <v>194</v>
      </c>
      <c r="F64" s="224" t="s">
        <v>226</v>
      </c>
      <c r="G64" s="224" t="s">
        <v>195</v>
      </c>
      <c r="H64" s="17">
        <f>'16'!$E$6+'16'!$Q$6</f>
        <v>0</v>
      </c>
      <c r="I64" s="17">
        <f>'16'!$F$6+'16'!$R$6</f>
        <v>0</v>
      </c>
      <c r="J64" s="17">
        <f>'16'!$G$6+'16'!$S$6</f>
        <v>0</v>
      </c>
      <c r="K64" s="17">
        <f>'16'!$BF$6</f>
        <v>0</v>
      </c>
      <c r="L64" s="17">
        <f>'16'!$BG$6</f>
        <v>0</v>
      </c>
      <c r="M64" s="17">
        <f>'16'!$BH$6</f>
        <v>0</v>
      </c>
      <c r="N64" s="224">
        <v>58</v>
      </c>
      <c r="O64" s="17">
        <f>'16'!$CC$6</f>
        <v>0</v>
      </c>
      <c r="P64" s="59" t="s">
        <v>227</v>
      </c>
    </row>
    <row r="65" spans="1:16" x14ac:dyDescent="0.35">
      <c r="A65" s="225"/>
      <c r="B65" s="227"/>
      <c r="C65" s="58">
        <v>60.25</v>
      </c>
      <c r="D65" s="230"/>
      <c r="E65" s="225"/>
      <c r="F65" s="225"/>
      <c r="G65" s="225"/>
      <c r="H65" s="17">
        <f>'16'!$E$12+'16'!$N$12</f>
        <v>0</v>
      </c>
      <c r="I65" s="17">
        <f>'16'!$F$12+'16'!$R$12</f>
        <v>0</v>
      </c>
      <c r="J65" s="17">
        <f>'16'!$G$12+'16'!$S$12</f>
        <v>0</v>
      </c>
      <c r="K65" s="17">
        <f>'16'!$BF$12</f>
        <v>0</v>
      </c>
      <c r="L65" s="17">
        <f>'16'!$BG$12</f>
        <v>0</v>
      </c>
      <c r="M65" s="17">
        <f>'16'!$BH$12</f>
        <v>0</v>
      </c>
      <c r="N65" s="225"/>
      <c r="O65" s="17">
        <f>'16'!$CC$12</f>
        <v>0</v>
      </c>
      <c r="P65" s="59" t="s">
        <v>227</v>
      </c>
    </row>
    <row r="66" spans="1:16" x14ac:dyDescent="0.35">
      <c r="A66" s="225"/>
      <c r="B66" s="227"/>
      <c r="C66" s="58">
        <v>60.5</v>
      </c>
      <c r="D66" s="230"/>
      <c r="E66" s="225"/>
      <c r="F66" s="225"/>
      <c r="G66" s="225"/>
      <c r="H66" s="17">
        <f>'16'!$E$18+'16'!$Q$18</f>
        <v>0</v>
      </c>
      <c r="I66" s="17">
        <f>'16'!$F$18+'16'!$R$18</f>
        <v>0</v>
      </c>
      <c r="J66" s="17">
        <f>'16'!$G$18+'16'!$S$18</f>
        <v>0</v>
      </c>
      <c r="K66" s="17">
        <f>'16'!$BF$18</f>
        <v>0</v>
      </c>
      <c r="L66" s="17">
        <f>'16'!$BG$18</f>
        <v>0</v>
      </c>
      <c r="M66" s="17">
        <f>'16'!$BH$18</f>
        <v>0</v>
      </c>
      <c r="N66" s="225"/>
      <c r="O66" s="17">
        <f>'16'!$CC$18</f>
        <v>0</v>
      </c>
      <c r="P66" s="59"/>
    </row>
    <row r="67" spans="1:16" x14ac:dyDescent="0.35">
      <c r="A67" s="225"/>
      <c r="B67" s="227"/>
      <c r="C67" s="58">
        <v>60.75</v>
      </c>
      <c r="D67" s="231"/>
      <c r="E67" s="228"/>
      <c r="F67" s="228"/>
      <c r="G67" s="228"/>
      <c r="H67" s="17">
        <f>'16'!$E$24+'16'!$Q$24</f>
        <v>0</v>
      </c>
      <c r="I67" s="17">
        <f>'16'!$F$24+'16'!$R$24</f>
        <v>0</v>
      </c>
      <c r="J67" s="17">
        <f>'16'!$G$24+'16'!$S$24</f>
        <v>0</v>
      </c>
      <c r="K67" s="17">
        <f>'16'!$BF$24</f>
        <v>0</v>
      </c>
      <c r="L67" s="17">
        <f>'16'!$BG$24</f>
        <v>0</v>
      </c>
      <c r="M67" s="17">
        <f>'16'!$BH$24</f>
        <v>0</v>
      </c>
      <c r="N67" s="228"/>
      <c r="O67" s="17">
        <f>'16'!$CC$24</f>
        <v>0</v>
      </c>
      <c r="P67" s="59"/>
    </row>
    <row r="68" spans="1:16" ht="14.5" customHeight="1" x14ac:dyDescent="0.35">
      <c r="A68" s="224" t="s">
        <v>142</v>
      </c>
      <c r="B68" s="226">
        <v>46190</v>
      </c>
      <c r="C68" s="58">
        <v>64</v>
      </c>
      <c r="D68" s="229" t="s">
        <v>192</v>
      </c>
      <c r="E68" s="224" t="s">
        <v>194</v>
      </c>
      <c r="F68" s="224" t="s">
        <v>226</v>
      </c>
      <c r="G68" s="224" t="s">
        <v>195</v>
      </c>
      <c r="H68" s="17">
        <f>'17'!$E$6+'17'!$N$6</f>
        <v>0</v>
      </c>
      <c r="I68" s="17">
        <f>'17'!$F$6+'17'!$R$6</f>
        <v>0</v>
      </c>
      <c r="J68" s="17">
        <f>'17'!$G$6+'17'!$S$6</f>
        <v>0</v>
      </c>
      <c r="K68" s="17">
        <f>'17'!$BF$6</f>
        <v>0</v>
      </c>
      <c r="L68" s="17">
        <f>'17'!$BG$6</f>
        <v>0</v>
      </c>
      <c r="M68" s="17">
        <f>'17'!$BH$6</f>
        <v>0</v>
      </c>
      <c r="N68" s="224">
        <v>58</v>
      </c>
      <c r="O68" s="17">
        <f>'17'!$CC$6</f>
        <v>0</v>
      </c>
      <c r="P68" s="59"/>
    </row>
    <row r="69" spans="1:16" x14ac:dyDescent="0.35">
      <c r="A69" s="225"/>
      <c r="B69" s="227"/>
      <c r="C69" s="58">
        <v>64.25</v>
      </c>
      <c r="D69" s="230"/>
      <c r="E69" s="225"/>
      <c r="F69" s="225"/>
      <c r="G69" s="225"/>
      <c r="H69" s="17">
        <f>'17'!$E$12+'17'!$N$12</f>
        <v>0</v>
      </c>
      <c r="I69" s="17">
        <f>'17'!$F$12+'17'!$R$12</f>
        <v>0</v>
      </c>
      <c r="J69" s="17">
        <f>'17'!$G$12+'17'!$S$12</f>
        <v>0</v>
      </c>
      <c r="K69" s="17">
        <f>'17'!$BF$12</f>
        <v>0</v>
      </c>
      <c r="L69" s="17">
        <f>'17'!$BG$12</f>
        <v>0</v>
      </c>
      <c r="M69" s="17">
        <f>'17'!$BH$12</f>
        <v>0</v>
      </c>
      <c r="N69" s="225"/>
      <c r="O69" s="17">
        <f>'17'!$CC$12</f>
        <v>0</v>
      </c>
      <c r="P69" s="59"/>
    </row>
    <row r="70" spans="1:16" x14ac:dyDescent="0.35">
      <c r="A70" s="225"/>
      <c r="B70" s="227"/>
      <c r="C70" s="58">
        <v>64.5</v>
      </c>
      <c r="D70" s="230"/>
      <c r="E70" s="225"/>
      <c r="F70" s="225"/>
      <c r="G70" s="225"/>
      <c r="H70" s="17">
        <f>'17'!$E$18+'17'!$Q$18</f>
        <v>0</v>
      </c>
      <c r="I70" s="17">
        <f>'17'!$F$18+'17'!$R$18</f>
        <v>0</v>
      </c>
      <c r="J70" s="17">
        <f>'17'!$G$18+'17'!$S$18</f>
        <v>0</v>
      </c>
      <c r="K70" s="17">
        <f>'17'!$BF$18</f>
        <v>0</v>
      </c>
      <c r="L70" s="17">
        <f>'17'!$BG$18</f>
        <v>0</v>
      </c>
      <c r="M70" s="17">
        <f>'17'!$BH$18</f>
        <v>0</v>
      </c>
      <c r="N70" s="225"/>
      <c r="O70" s="17">
        <f>'17'!$CC$18</f>
        <v>0</v>
      </c>
      <c r="P70" s="59"/>
    </row>
    <row r="71" spans="1:16" x14ac:dyDescent="0.35">
      <c r="A71" s="225"/>
      <c r="B71" s="227"/>
      <c r="C71" s="58">
        <v>64.75</v>
      </c>
      <c r="D71" s="231"/>
      <c r="E71" s="228"/>
      <c r="F71" s="228"/>
      <c r="G71" s="228"/>
      <c r="H71" s="17">
        <f>'17'!$E$24+'17'!$Q$24</f>
        <v>0</v>
      </c>
      <c r="I71" s="17">
        <f>'17'!$F$24+'17'!$R$24</f>
        <v>0</v>
      </c>
      <c r="J71" s="17">
        <f>'17'!$G$24+'17'!$S$24</f>
        <v>0</v>
      </c>
      <c r="K71" s="17">
        <f>'17'!$BF$24</f>
        <v>0</v>
      </c>
      <c r="L71" s="17">
        <f>'17'!$BG$24</f>
        <v>0</v>
      </c>
      <c r="M71" s="17">
        <f>'17'!$BH$24</f>
        <v>0</v>
      </c>
      <c r="N71" s="228"/>
      <c r="O71" s="17">
        <f>'17'!$CC$24</f>
        <v>0</v>
      </c>
      <c r="P71" s="59"/>
    </row>
    <row r="72" spans="1:16" ht="14.5" customHeight="1" x14ac:dyDescent="0.35">
      <c r="A72" s="224" t="s">
        <v>142</v>
      </c>
      <c r="B72" s="226">
        <v>46191</v>
      </c>
      <c r="C72" s="58">
        <v>68</v>
      </c>
      <c r="D72" s="229" t="s">
        <v>192</v>
      </c>
      <c r="E72" s="224" t="s">
        <v>194</v>
      </c>
      <c r="F72" s="224" t="s">
        <v>226</v>
      </c>
      <c r="G72" s="224" t="s">
        <v>195</v>
      </c>
      <c r="H72" s="17">
        <f>'18'!$E$6+'18'!$Q$6</f>
        <v>0</v>
      </c>
      <c r="I72" s="17">
        <f>'18'!$F$6+'18'!$R$6</f>
        <v>0</v>
      </c>
      <c r="J72" s="17">
        <f>'18'!$G$6+'18'!$S$6</f>
        <v>0</v>
      </c>
      <c r="K72" s="17">
        <f>'18'!$BF$6</f>
        <v>0</v>
      </c>
      <c r="L72" s="17">
        <f>'18'!$BG$6</f>
        <v>0</v>
      </c>
      <c r="M72" s="17">
        <f>'18'!$BH$6</f>
        <v>0</v>
      </c>
      <c r="N72" s="224">
        <v>58</v>
      </c>
      <c r="O72" s="17">
        <f>'18'!$CC$6</f>
        <v>0</v>
      </c>
      <c r="P72" s="59"/>
    </row>
    <row r="73" spans="1:16" x14ac:dyDescent="0.35">
      <c r="A73" s="225"/>
      <c r="B73" s="227"/>
      <c r="C73" s="58">
        <v>68.25</v>
      </c>
      <c r="D73" s="230"/>
      <c r="E73" s="225"/>
      <c r="F73" s="225"/>
      <c r="G73" s="225"/>
      <c r="H73" s="17">
        <f>'18'!$E$12+'18'!$Q$12</f>
        <v>0</v>
      </c>
      <c r="I73" s="17">
        <f>'18'!$F$12+'18'!$R$12</f>
        <v>0</v>
      </c>
      <c r="J73" s="17">
        <f>'18'!$G$12+'18'!$S$12</f>
        <v>0</v>
      </c>
      <c r="K73" s="17">
        <f>'18'!$BF$12</f>
        <v>0</v>
      </c>
      <c r="L73" s="17">
        <f>'18'!$BG$12</f>
        <v>0</v>
      </c>
      <c r="M73" s="17">
        <f>'18'!$BH$12</f>
        <v>0</v>
      </c>
      <c r="N73" s="225"/>
      <c r="O73" s="17">
        <f>'18'!$CC$12</f>
        <v>0</v>
      </c>
      <c r="P73" s="59"/>
    </row>
    <row r="74" spans="1:16" x14ac:dyDescent="0.35">
      <c r="A74" s="225"/>
      <c r="B74" s="227"/>
      <c r="C74" s="58">
        <v>68.5</v>
      </c>
      <c r="D74" s="230"/>
      <c r="E74" s="225"/>
      <c r="F74" s="225"/>
      <c r="G74" s="225"/>
      <c r="H74" s="17">
        <f>'18'!$E$18+'18'!$Q$18</f>
        <v>0</v>
      </c>
      <c r="I74" s="17">
        <f>'18'!$F$18+'18'!$R$18</f>
        <v>0</v>
      </c>
      <c r="J74" s="17">
        <f>'18'!$G$18+'18'!$S$18</f>
        <v>0</v>
      </c>
      <c r="K74" s="17">
        <f>'18'!$BF$18</f>
        <v>0</v>
      </c>
      <c r="L74" s="17">
        <f>'18'!$BG$18</f>
        <v>0</v>
      </c>
      <c r="M74" s="17">
        <f>'18'!$BH$18</f>
        <v>0</v>
      </c>
      <c r="N74" s="225"/>
      <c r="O74" s="17">
        <f>'18'!$CC$18</f>
        <v>0</v>
      </c>
      <c r="P74" s="59"/>
    </row>
    <row r="75" spans="1:16" x14ac:dyDescent="0.35">
      <c r="A75" s="225"/>
      <c r="B75" s="227"/>
      <c r="C75" s="58">
        <v>68.75</v>
      </c>
      <c r="D75" s="231"/>
      <c r="E75" s="228"/>
      <c r="F75" s="228"/>
      <c r="G75" s="228"/>
      <c r="H75" s="17">
        <f>'18'!$E$24+'18'!$Q$24</f>
        <v>0</v>
      </c>
      <c r="I75" s="17">
        <f>'18'!$F$24+'18'!$R$24</f>
        <v>0</v>
      </c>
      <c r="J75" s="17">
        <f>'18'!$G$24+'18'!$S$24</f>
        <v>0</v>
      </c>
      <c r="K75" s="17">
        <f>'18'!$BF$24</f>
        <v>0</v>
      </c>
      <c r="L75" s="17">
        <f>'18'!$BG$24</f>
        <v>0</v>
      </c>
      <c r="M75" s="17">
        <f>'18'!$BH$24</f>
        <v>0</v>
      </c>
      <c r="N75" s="228"/>
      <c r="O75" s="17">
        <f>'18'!$CC$24</f>
        <v>0</v>
      </c>
      <c r="P75" s="59"/>
    </row>
    <row r="76" spans="1:16" ht="14.5" customHeight="1" x14ac:dyDescent="0.35">
      <c r="A76" s="224" t="s">
        <v>142</v>
      </c>
      <c r="B76" s="226">
        <v>46192</v>
      </c>
      <c r="C76" s="58">
        <v>72</v>
      </c>
      <c r="D76" s="229" t="s">
        <v>192</v>
      </c>
      <c r="E76" s="224" t="s">
        <v>194</v>
      </c>
      <c r="F76" s="224" t="s">
        <v>226</v>
      </c>
      <c r="G76" s="224" t="s">
        <v>195</v>
      </c>
      <c r="H76" s="17">
        <f>'19'!$E$6+'19'!$Q$6</f>
        <v>0</v>
      </c>
      <c r="I76" s="17">
        <f>'19'!$F$6+'19'!$R$6</f>
        <v>0</v>
      </c>
      <c r="J76" s="17">
        <f>'19'!$G$6+'19'!$S$6</f>
        <v>0</v>
      </c>
      <c r="K76" s="17">
        <f>'19'!$BF$6</f>
        <v>0</v>
      </c>
      <c r="L76" s="17">
        <f>'19'!$BG$6</f>
        <v>0</v>
      </c>
      <c r="M76" s="17">
        <f>'19'!$BH$6</f>
        <v>0</v>
      </c>
      <c r="N76" s="224">
        <v>58</v>
      </c>
      <c r="O76" s="17">
        <f>'19'!$CC$6</f>
        <v>0</v>
      </c>
      <c r="P76" s="59"/>
    </row>
    <row r="77" spans="1:16" x14ac:dyDescent="0.35">
      <c r="A77" s="225"/>
      <c r="B77" s="227"/>
      <c r="C77" s="58">
        <v>72.25</v>
      </c>
      <c r="D77" s="230"/>
      <c r="E77" s="225"/>
      <c r="F77" s="225"/>
      <c r="G77" s="225"/>
      <c r="H77" s="17">
        <f>'19'!$E$12+'19'!$Q$12</f>
        <v>0</v>
      </c>
      <c r="I77" s="17">
        <f>'19'!$F$12+'19'!$R$12</f>
        <v>0</v>
      </c>
      <c r="J77" s="17">
        <f>'19'!$G$12+'19'!$S$12</f>
        <v>0</v>
      </c>
      <c r="K77" s="17">
        <f>'19'!$BF$12</f>
        <v>0</v>
      </c>
      <c r="L77" s="17">
        <f>'19'!$BG$12</f>
        <v>0</v>
      </c>
      <c r="M77" s="17">
        <f>'19'!$BH$12</f>
        <v>0</v>
      </c>
      <c r="N77" s="225"/>
      <c r="O77" s="17">
        <f>'19'!$CC$12</f>
        <v>0</v>
      </c>
      <c r="P77" s="59"/>
    </row>
    <row r="78" spans="1:16" x14ac:dyDescent="0.35">
      <c r="A78" s="225"/>
      <c r="B78" s="227"/>
      <c r="C78" s="58">
        <v>72.5</v>
      </c>
      <c r="D78" s="230"/>
      <c r="E78" s="225"/>
      <c r="F78" s="225"/>
      <c r="G78" s="225"/>
      <c r="H78" s="17">
        <f>'19'!$E$18+'19'!$Q$18</f>
        <v>0</v>
      </c>
      <c r="I78" s="17">
        <f>'19'!$F$18+'19'!$R$18</f>
        <v>0</v>
      </c>
      <c r="J78" s="17">
        <f>'19'!$G$18+'19'!$S$18</f>
        <v>0</v>
      </c>
      <c r="K78" s="17">
        <f>'19'!$BF$18</f>
        <v>0</v>
      </c>
      <c r="L78" s="17">
        <f>'19'!$BG$18</f>
        <v>0</v>
      </c>
      <c r="M78" s="17">
        <f>'19'!$BH$18</f>
        <v>0</v>
      </c>
      <c r="N78" s="225"/>
      <c r="O78" s="17">
        <f>'19'!$CC$18</f>
        <v>0</v>
      </c>
      <c r="P78" s="59"/>
    </row>
    <row r="79" spans="1:16" x14ac:dyDescent="0.35">
      <c r="A79" s="225"/>
      <c r="B79" s="227"/>
      <c r="C79" s="58">
        <v>72.75</v>
      </c>
      <c r="D79" s="231"/>
      <c r="E79" s="228"/>
      <c r="F79" s="228"/>
      <c r="G79" s="228"/>
      <c r="H79" s="17">
        <f>'19'!$E$24+'19'!$Q$24</f>
        <v>0</v>
      </c>
      <c r="I79" s="17">
        <f>'19'!$F$24+'19'!$R$24</f>
        <v>0</v>
      </c>
      <c r="J79" s="17">
        <f>'19'!$G$24+'19'!$S$24</f>
        <v>0</v>
      </c>
      <c r="K79" s="17">
        <f>'19'!$BF$24</f>
        <v>0</v>
      </c>
      <c r="L79" s="17">
        <f>'19'!$BG$24</f>
        <v>0</v>
      </c>
      <c r="M79" s="17">
        <f>'19'!$BH$24</f>
        <v>0</v>
      </c>
      <c r="N79" s="228"/>
      <c r="O79" s="17">
        <f>'19'!$CC$24</f>
        <v>0</v>
      </c>
      <c r="P79" s="59"/>
    </row>
    <row r="80" spans="1:16" ht="14.5" customHeight="1" x14ac:dyDescent="0.35">
      <c r="A80" s="224" t="s">
        <v>142</v>
      </c>
      <c r="B80" s="226">
        <v>46193</v>
      </c>
      <c r="C80" s="58">
        <v>76</v>
      </c>
      <c r="D80" s="229" t="s">
        <v>192</v>
      </c>
      <c r="E80" s="224" t="s">
        <v>194</v>
      </c>
      <c r="F80" s="224" t="s">
        <v>226</v>
      </c>
      <c r="G80" s="224" t="s">
        <v>195</v>
      </c>
      <c r="H80" s="17">
        <f>'20'!$E$6+'20'!$Q$6</f>
        <v>0</v>
      </c>
      <c r="I80" s="17">
        <f>'20'!$F$6+'20'!$R$6</f>
        <v>0</v>
      </c>
      <c r="J80" s="17">
        <f>'20'!$G$6+'20'!$S$6</f>
        <v>0</v>
      </c>
      <c r="K80" s="17">
        <f>'20'!$BF$6</f>
        <v>0</v>
      </c>
      <c r="L80" s="17">
        <f>'20'!$BG$6</f>
        <v>0</v>
      </c>
      <c r="M80" s="17">
        <f>'20'!$BH$6</f>
        <v>0</v>
      </c>
      <c r="N80" s="224">
        <v>58</v>
      </c>
      <c r="O80" s="17">
        <f>'20'!$CC$6</f>
        <v>0</v>
      </c>
      <c r="P80" s="59"/>
    </row>
    <row r="81" spans="1:16" x14ac:dyDescent="0.35">
      <c r="A81" s="225"/>
      <c r="B81" s="227"/>
      <c r="C81" s="58">
        <v>76.25</v>
      </c>
      <c r="D81" s="230"/>
      <c r="E81" s="225"/>
      <c r="F81" s="225"/>
      <c r="G81" s="225"/>
      <c r="H81" s="17">
        <f>'20'!$E$12+'20'!$Q$12</f>
        <v>0</v>
      </c>
      <c r="I81" s="17">
        <f>'20'!$F$12+'20'!$R$12</f>
        <v>0</v>
      </c>
      <c r="J81" s="17">
        <f>'20'!$G$12+'20'!$S$12</f>
        <v>0</v>
      </c>
      <c r="K81" s="17">
        <f>'20'!$BF$12</f>
        <v>0</v>
      </c>
      <c r="L81" s="17">
        <f>'20'!$BG$12</f>
        <v>0</v>
      </c>
      <c r="M81" s="17">
        <f>'20'!$BH$12</f>
        <v>0</v>
      </c>
      <c r="N81" s="225"/>
      <c r="O81" s="17">
        <f>'20'!$CC$12</f>
        <v>0</v>
      </c>
      <c r="P81" s="59"/>
    </row>
    <row r="82" spans="1:16" x14ac:dyDescent="0.35">
      <c r="A82" s="225"/>
      <c r="B82" s="227"/>
      <c r="C82" s="58">
        <v>76.5</v>
      </c>
      <c r="D82" s="230"/>
      <c r="E82" s="225"/>
      <c r="F82" s="225"/>
      <c r="G82" s="225"/>
      <c r="H82" s="17">
        <f>'20'!$E$18+'20'!$Q$18</f>
        <v>0</v>
      </c>
      <c r="I82" s="17">
        <f>'20'!$F$18+'20'!$R$18</f>
        <v>0</v>
      </c>
      <c r="J82" s="17">
        <f>'20'!$G$18+'20'!$S$18</f>
        <v>0</v>
      </c>
      <c r="K82" s="17">
        <f>'20'!$BF$18</f>
        <v>0</v>
      </c>
      <c r="L82" s="17">
        <f>'20'!$BG$18</f>
        <v>0</v>
      </c>
      <c r="M82" s="17">
        <f>'20'!$BH$18</f>
        <v>0</v>
      </c>
      <c r="N82" s="225"/>
      <c r="O82" s="17">
        <f>'20'!$CC$18</f>
        <v>0</v>
      </c>
      <c r="P82" s="59"/>
    </row>
    <row r="83" spans="1:16" x14ac:dyDescent="0.35">
      <c r="A83" s="225"/>
      <c r="B83" s="227"/>
      <c r="C83" s="58">
        <v>76.75</v>
      </c>
      <c r="D83" s="231"/>
      <c r="E83" s="228"/>
      <c r="F83" s="228"/>
      <c r="G83" s="228"/>
      <c r="H83" s="17">
        <f>'20'!$E$24+'20'!$Q$24</f>
        <v>0</v>
      </c>
      <c r="I83" s="17">
        <f>'20'!$F$24+'20'!$R$24</f>
        <v>0</v>
      </c>
      <c r="J83" s="17">
        <f>'20'!$G$24+'20'!$S$24</f>
        <v>0</v>
      </c>
      <c r="K83" s="17">
        <f>'20'!$BF$24</f>
        <v>0</v>
      </c>
      <c r="L83" s="17">
        <f>'20'!$BG$24</f>
        <v>0</v>
      </c>
      <c r="M83" s="17">
        <f>'20'!$BH$24</f>
        <v>0</v>
      </c>
      <c r="N83" s="228"/>
      <c r="O83" s="17">
        <f>'20'!$CC$24</f>
        <v>0</v>
      </c>
      <c r="P83" s="59"/>
    </row>
    <row r="84" spans="1:16" ht="14.5" customHeight="1" x14ac:dyDescent="0.35">
      <c r="A84" s="224" t="s">
        <v>142</v>
      </c>
      <c r="B84" s="226">
        <v>46194</v>
      </c>
      <c r="C84" s="58">
        <v>80</v>
      </c>
      <c r="D84" s="229" t="s">
        <v>192</v>
      </c>
      <c r="E84" s="224" t="s">
        <v>194</v>
      </c>
      <c r="F84" s="224" t="s">
        <v>226</v>
      </c>
      <c r="G84" s="224" t="s">
        <v>195</v>
      </c>
      <c r="H84" s="17">
        <f>'21'!$E$6+'21'!$Q$6</f>
        <v>0</v>
      </c>
      <c r="I84" s="17">
        <f>'21'!$F$6+'21'!$R$6</f>
        <v>0</v>
      </c>
      <c r="J84" s="17">
        <f>'21'!$G$6+'21'!$S$6</f>
        <v>0</v>
      </c>
      <c r="K84" s="17">
        <f>'21'!$BF$6</f>
        <v>0</v>
      </c>
      <c r="L84" s="17">
        <f>'21'!$BG$6</f>
        <v>0</v>
      </c>
      <c r="M84" s="17">
        <f>'21'!$BH$6</f>
        <v>0</v>
      </c>
      <c r="N84" s="224">
        <v>58</v>
      </c>
      <c r="O84" s="17">
        <f>'21'!$CC$6</f>
        <v>0</v>
      </c>
      <c r="P84" s="59"/>
    </row>
    <row r="85" spans="1:16" x14ac:dyDescent="0.35">
      <c r="A85" s="225"/>
      <c r="B85" s="227"/>
      <c r="C85" s="58">
        <v>80.25</v>
      </c>
      <c r="D85" s="230"/>
      <c r="E85" s="225"/>
      <c r="F85" s="225"/>
      <c r="G85" s="225"/>
      <c r="H85" s="17">
        <f>'21'!$E$12+'21'!$Q$12</f>
        <v>0</v>
      </c>
      <c r="I85" s="17">
        <f>'21'!$F$12+'21'!$R$12</f>
        <v>0</v>
      </c>
      <c r="J85" s="17">
        <f>'21'!$G$12+'21'!$S$12</f>
        <v>0</v>
      </c>
      <c r="K85" s="17">
        <f>'21'!$BF$12</f>
        <v>0</v>
      </c>
      <c r="L85" s="17">
        <f>'21'!$BG$12</f>
        <v>0</v>
      </c>
      <c r="M85" s="17">
        <f>'21'!$BH$12</f>
        <v>0</v>
      </c>
      <c r="N85" s="225"/>
      <c r="O85" s="17">
        <f>'21'!$CC$12</f>
        <v>0</v>
      </c>
      <c r="P85" s="59"/>
    </row>
    <row r="86" spans="1:16" x14ac:dyDescent="0.35">
      <c r="A86" s="225"/>
      <c r="B86" s="227"/>
      <c r="C86" s="58">
        <v>80.5</v>
      </c>
      <c r="D86" s="230"/>
      <c r="E86" s="225"/>
      <c r="F86" s="225"/>
      <c r="G86" s="225"/>
      <c r="H86" s="17">
        <f>'21'!$E$18+'21'!$Q$18</f>
        <v>0</v>
      </c>
      <c r="I86" s="17">
        <f>'21'!$F$18+'21'!$R$18</f>
        <v>0</v>
      </c>
      <c r="J86" s="17">
        <f>'21'!$G$18+'21'!$S$18</f>
        <v>0</v>
      </c>
      <c r="K86" s="17">
        <f>'21'!$BF$18</f>
        <v>0</v>
      </c>
      <c r="L86" s="17">
        <f>'21'!$BG$18</f>
        <v>0</v>
      </c>
      <c r="M86" s="17">
        <f>'21'!$BH$18</f>
        <v>0</v>
      </c>
      <c r="N86" s="225"/>
      <c r="O86" s="17">
        <f>'21'!$CC$18</f>
        <v>0</v>
      </c>
      <c r="P86" s="59"/>
    </row>
    <row r="87" spans="1:16" x14ac:dyDescent="0.35">
      <c r="A87" s="225"/>
      <c r="B87" s="227"/>
      <c r="C87" s="58">
        <v>80.75</v>
      </c>
      <c r="D87" s="231"/>
      <c r="E87" s="228"/>
      <c r="F87" s="228"/>
      <c r="G87" s="228"/>
      <c r="H87" s="17">
        <f>'21'!$E$24+'21'!$Q$24</f>
        <v>0</v>
      </c>
      <c r="I87" s="17">
        <f>'21'!$F$24+'21'!$R$24</f>
        <v>0</v>
      </c>
      <c r="J87" s="17">
        <f>'21'!$G$24+'21'!$S$24</f>
        <v>0</v>
      </c>
      <c r="K87" s="17">
        <f>'21'!$BF$24</f>
        <v>0</v>
      </c>
      <c r="L87" s="17">
        <f>'21'!$BG$24</f>
        <v>0</v>
      </c>
      <c r="M87" s="17">
        <f>'21'!$BH$24</f>
        <v>0</v>
      </c>
      <c r="N87" s="228"/>
      <c r="O87" s="17">
        <f>'21'!$CC$24</f>
        <v>0</v>
      </c>
      <c r="P87" s="59"/>
    </row>
    <row r="88" spans="1:16" ht="14.5" customHeight="1" x14ac:dyDescent="0.35">
      <c r="A88" s="224" t="s">
        <v>142</v>
      </c>
      <c r="B88" s="226">
        <v>46195</v>
      </c>
      <c r="C88" s="58">
        <v>84</v>
      </c>
      <c r="D88" s="229" t="s">
        <v>192</v>
      </c>
      <c r="E88" s="224" t="s">
        <v>194</v>
      </c>
      <c r="F88" s="224" t="s">
        <v>226</v>
      </c>
      <c r="G88" s="224" t="s">
        <v>195</v>
      </c>
      <c r="H88" s="17">
        <f>'22'!$E$7+'22'!$Q$7</f>
        <v>0</v>
      </c>
      <c r="I88" s="17">
        <f>'22'!$F$7+'22'!$R$7</f>
        <v>0</v>
      </c>
      <c r="J88" s="17">
        <f>'22'!$G$7+'22'!$S$7</f>
        <v>0</v>
      </c>
      <c r="K88" s="17">
        <f>'22'!$BF$7</f>
        <v>0</v>
      </c>
      <c r="L88" s="17">
        <f>'22'!$BG$7</f>
        <v>0</v>
      </c>
      <c r="M88" s="17">
        <f>'22'!$BH$7</f>
        <v>0</v>
      </c>
      <c r="N88" s="224">
        <v>58</v>
      </c>
      <c r="O88" s="17">
        <f>'22'!$CC$7</f>
        <v>0</v>
      </c>
      <c r="P88" s="59"/>
    </row>
    <row r="89" spans="1:16" x14ac:dyDescent="0.35">
      <c r="A89" s="225"/>
      <c r="B89" s="227"/>
      <c r="C89" s="58">
        <v>84.25</v>
      </c>
      <c r="D89" s="230"/>
      <c r="E89" s="225"/>
      <c r="F89" s="225"/>
      <c r="G89" s="225"/>
      <c r="H89" s="17">
        <f>'22'!$E$13+'22'!$Q$13</f>
        <v>0</v>
      </c>
      <c r="I89" s="17">
        <f>'22'!$F$13+'22'!$R$13</f>
        <v>0</v>
      </c>
      <c r="J89" s="17">
        <f>'22'!$G$13+'22'!$S$13</f>
        <v>0</v>
      </c>
      <c r="K89" s="17">
        <f>'22'!$BF$13</f>
        <v>0</v>
      </c>
      <c r="L89" s="17">
        <f>'22'!$BG$13</f>
        <v>0</v>
      </c>
      <c r="M89" s="17">
        <f>'22'!$BH$13</f>
        <v>0</v>
      </c>
      <c r="N89" s="225"/>
      <c r="O89" s="17">
        <f>'22'!$CC$13</f>
        <v>0</v>
      </c>
      <c r="P89" s="59"/>
    </row>
    <row r="90" spans="1:16" x14ac:dyDescent="0.35">
      <c r="A90" s="225"/>
      <c r="B90" s="227"/>
      <c r="C90" s="58">
        <v>84.5</v>
      </c>
      <c r="D90" s="230"/>
      <c r="E90" s="225"/>
      <c r="F90" s="225"/>
      <c r="G90" s="225"/>
      <c r="H90" s="17">
        <f>'22'!$E$19+'22'!$Q$19</f>
        <v>0</v>
      </c>
      <c r="I90" s="17">
        <f>'22'!$F$19+'22'!$R$19</f>
        <v>0</v>
      </c>
      <c r="J90" s="17">
        <f>'22'!$G$19+'22'!$S$19</f>
        <v>0</v>
      </c>
      <c r="K90" s="17">
        <f>'22'!$BF$19</f>
        <v>0</v>
      </c>
      <c r="L90" s="17">
        <f>'22'!$BG$19</f>
        <v>0</v>
      </c>
      <c r="M90" s="17">
        <f>'22'!$BH$19</f>
        <v>0</v>
      </c>
      <c r="N90" s="225"/>
      <c r="O90" s="17">
        <f>'22'!$CC$19</f>
        <v>0</v>
      </c>
      <c r="P90" s="59"/>
    </row>
    <row r="91" spans="1:16" x14ac:dyDescent="0.35">
      <c r="A91" s="225"/>
      <c r="B91" s="227"/>
      <c r="C91" s="58">
        <v>84.75</v>
      </c>
      <c r="D91" s="231"/>
      <c r="E91" s="228"/>
      <c r="F91" s="228"/>
      <c r="G91" s="228"/>
      <c r="H91" s="17">
        <f>'22'!$E$25+'22'!$Q$25</f>
        <v>0</v>
      </c>
      <c r="I91" s="17">
        <f>'22'!$F$25+'22'!$R$25</f>
        <v>0</v>
      </c>
      <c r="J91" s="17">
        <f>'22'!$G$25+'22'!$S$25</f>
        <v>0</v>
      </c>
      <c r="K91" s="17">
        <f>'22'!$BF$25</f>
        <v>0</v>
      </c>
      <c r="L91" s="17">
        <f>'22'!$BG$25</f>
        <v>0</v>
      </c>
      <c r="M91" s="17">
        <f>'22'!$BH$25</f>
        <v>0</v>
      </c>
      <c r="N91" s="228"/>
      <c r="O91" s="17">
        <f>'22'!$CC$25</f>
        <v>0</v>
      </c>
      <c r="P91" s="59"/>
    </row>
    <row r="92" spans="1:16" ht="14.5" customHeight="1" x14ac:dyDescent="0.35">
      <c r="A92" s="224" t="s">
        <v>142</v>
      </c>
      <c r="B92" s="226">
        <v>46196</v>
      </c>
      <c r="C92" s="58">
        <v>88</v>
      </c>
      <c r="D92" s="229" t="s">
        <v>192</v>
      </c>
      <c r="E92" s="224" t="s">
        <v>194</v>
      </c>
      <c r="F92" s="224" t="s">
        <v>226</v>
      </c>
      <c r="G92" s="224" t="s">
        <v>195</v>
      </c>
      <c r="H92" s="17">
        <f>'23'!$E$6+'23'!$Q$6</f>
        <v>0</v>
      </c>
      <c r="I92" s="17">
        <f>'23'!$F$6+'23'!$R$6</f>
        <v>0</v>
      </c>
      <c r="J92" s="17">
        <f>'23'!$G$6+'23'!$S$6</f>
        <v>0</v>
      </c>
      <c r="K92" s="17">
        <f>'23'!$BF$6</f>
        <v>0</v>
      </c>
      <c r="L92" s="17">
        <f>'23'!$BG$6</f>
        <v>0</v>
      </c>
      <c r="M92" s="17">
        <f>'23'!$BH$6</f>
        <v>0</v>
      </c>
      <c r="N92" s="224">
        <v>58</v>
      </c>
      <c r="O92" s="17">
        <f>'23'!$CC$6</f>
        <v>0</v>
      </c>
      <c r="P92" s="59"/>
    </row>
    <row r="93" spans="1:16" x14ac:dyDescent="0.35">
      <c r="A93" s="225"/>
      <c r="B93" s="227"/>
      <c r="C93" s="58">
        <v>88.25</v>
      </c>
      <c r="D93" s="230"/>
      <c r="E93" s="225"/>
      <c r="F93" s="225"/>
      <c r="G93" s="225"/>
      <c r="H93" s="17">
        <f>'23'!$E$12+'23'!$Q$12</f>
        <v>0</v>
      </c>
      <c r="I93" s="17">
        <f>'23'!$F$12+'23'!$R$12</f>
        <v>0</v>
      </c>
      <c r="J93" s="17">
        <f>'23'!$G$12+'23'!$S$12</f>
        <v>0</v>
      </c>
      <c r="K93" s="17">
        <f>'23'!$BF$12</f>
        <v>0</v>
      </c>
      <c r="L93" s="17">
        <f>'23'!$BG$12</f>
        <v>0</v>
      </c>
      <c r="M93" s="17">
        <f>'23'!$BH$12</f>
        <v>0</v>
      </c>
      <c r="N93" s="225"/>
      <c r="O93" s="17">
        <f>'23'!$CC$12</f>
        <v>0</v>
      </c>
      <c r="P93" s="59"/>
    </row>
    <row r="94" spans="1:16" x14ac:dyDescent="0.35">
      <c r="A94" s="225"/>
      <c r="B94" s="227"/>
      <c r="C94" s="58">
        <v>88.5</v>
      </c>
      <c r="D94" s="230"/>
      <c r="E94" s="225"/>
      <c r="F94" s="225"/>
      <c r="G94" s="225"/>
      <c r="H94" s="17">
        <f>'23'!$E$18+'23'!$Q$18</f>
        <v>0</v>
      </c>
      <c r="I94" s="17">
        <f>'23'!$F$18+'23'!$R$18</f>
        <v>0</v>
      </c>
      <c r="J94" s="17">
        <f>'23'!$G$18+'23'!$S$18</f>
        <v>0</v>
      </c>
      <c r="K94" s="17">
        <f>'23'!$BF$18</f>
        <v>0</v>
      </c>
      <c r="L94" s="17">
        <f>'23'!$BG$18</f>
        <v>0</v>
      </c>
      <c r="M94" s="17">
        <f>'23'!$BH$18</f>
        <v>0</v>
      </c>
      <c r="N94" s="225"/>
      <c r="O94" s="17">
        <f>'23'!$CC$18</f>
        <v>0</v>
      </c>
      <c r="P94" s="59"/>
    </row>
    <row r="95" spans="1:16" x14ac:dyDescent="0.35">
      <c r="A95" s="225"/>
      <c r="B95" s="227"/>
      <c r="C95" s="58">
        <v>88.75</v>
      </c>
      <c r="D95" s="231"/>
      <c r="E95" s="228"/>
      <c r="F95" s="228"/>
      <c r="G95" s="228"/>
      <c r="H95" s="17">
        <f>'23'!$E$24+'23'!$Q$24</f>
        <v>0</v>
      </c>
      <c r="I95" s="17">
        <f>'23'!$F$24+'23'!$R$24</f>
        <v>0</v>
      </c>
      <c r="J95" s="17">
        <f>'23'!$G$24+'23'!$S$24</f>
        <v>0</v>
      </c>
      <c r="K95" s="17">
        <f>'23'!$BF$24</f>
        <v>0</v>
      </c>
      <c r="L95" s="17">
        <f>'23'!$BG$24</f>
        <v>0</v>
      </c>
      <c r="M95" s="17">
        <f>'23'!$BH$24</f>
        <v>0</v>
      </c>
      <c r="N95" s="228"/>
      <c r="O95" s="17">
        <f>'23'!$CC$24</f>
        <v>0</v>
      </c>
      <c r="P95" s="59"/>
    </row>
    <row r="96" spans="1:16" ht="14.5" customHeight="1" x14ac:dyDescent="0.35">
      <c r="A96" s="224" t="s">
        <v>142</v>
      </c>
      <c r="B96" s="226">
        <v>46197</v>
      </c>
      <c r="C96" s="58">
        <v>92</v>
      </c>
      <c r="D96" s="229" t="s">
        <v>192</v>
      </c>
      <c r="E96" s="224" t="s">
        <v>194</v>
      </c>
      <c r="F96" s="224" t="s">
        <v>226</v>
      </c>
      <c r="G96" s="224" t="s">
        <v>195</v>
      </c>
      <c r="H96" s="17">
        <f>'24'!$E$6+'24'!$Q$6</f>
        <v>0</v>
      </c>
      <c r="I96" s="17">
        <f>'24'!$F$6+'24'!$R$6</f>
        <v>0</v>
      </c>
      <c r="J96" s="17">
        <f>'24'!$G$6+'24'!$S$6</f>
        <v>0</v>
      </c>
      <c r="K96" s="17">
        <f>'24'!$BF$6</f>
        <v>0</v>
      </c>
      <c r="L96" s="17">
        <f>'24'!$BG$6</f>
        <v>0</v>
      </c>
      <c r="M96" s="17">
        <f>'24'!$BH$6</f>
        <v>0</v>
      </c>
      <c r="N96" s="224">
        <v>58</v>
      </c>
      <c r="O96" s="17">
        <f>'24'!$CC$6</f>
        <v>0</v>
      </c>
      <c r="P96" s="59"/>
    </row>
    <row r="97" spans="1:16" x14ac:dyDescent="0.35">
      <c r="A97" s="225"/>
      <c r="B97" s="227"/>
      <c r="C97" s="58">
        <v>92.25</v>
      </c>
      <c r="D97" s="230"/>
      <c r="E97" s="225"/>
      <c r="F97" s="225"/>
      <c r="G97" s="225"/>
      <c r="H97" s="17">
        <f>'24'!$E$12+'24'!$Q$12</f>
        <v>0</v>
      </c>
      <c r="I97" s="17">
        <f>'24'!$F$12+'24'!$R$12</f>
        <v>0</v>
      </c>
      <c r="J97" s="17">
        <f>'24'!$G$12+'24'!$S$12</f>
        <v>0</v>
      </c>
      <c r="K97" s="17">
        <f>'24'!$BF$12</f>
        <v>0</v>
      </c>
      <c r="L97" s="17">
        <f>'24'!$BG$12</f>
        <v>0</v>
      </c>
      <c r="M97" s="17">
        <f>'24'!$BH$12</f>
        <v>0</v>
      </c>
      <c r="N97" s="225"/>
      <c r="O97" s="17">
        <f>'24'!$CC$12</f>
        <v>0</v>
      </c>
      <c r="P97" s="59"/>
    </row>
    <row r="98" spans="1:16" x14ac:dyDescent="0.35">
      <c r="A98" s="225"/>
      <c r="B98" s="227"/>
      <c r="C98" s="58">
        <v>92.5</v>
      </c>
      <c r="D98" s="230"/>
      <c r="E98" s="225"/>
      <c r="F98" s="225"/>
      <c r="G98" s="225"/>
      <c r="H98" s="17">
        <f>'24'!$E$18+'24'!$Q$18</f>
        <v>0</v>
      </c>
      <c r="I98" s="17">
        <f>'24'!$F$18+'24'!$R$18</f>
        <v>0</v>
      </c>
      <c r="J98" s="17">
        <f>'24'!$G$18+'24'!$S$18</f>
        <v>0</v>
      </c>
      <c r="K98" s="17">
        <f>'24'!$BF$18</f>
        <v>0</v>
      </c>
      <c r="L98" s="17">
        <f>'24'!$BG$18</f>
        <v>0</v>
      </c>
      <c r="M98" s="17">
        <f>'24'!$BH$18</f>
        <v>0</v>
      </c>
      <c r="N98" s="225"/>
      <c r="O98" s="17">
        <f>'24'!$CC$18</f>
        <v>0</v>
      </c>
      <c r="P98" s="59"/>
    </row>
    <row r="99" spans="1:16" x14ac:dyDescent="0.35">
      <c r="A99" s="225"/>
      <c r="B99" s="227"/>
      <c r="C99" s="58">
        <v>92.75</v>
      </c>
      <c r="D99" s="231"/>
      <c r="E99" s="228"/>
      <c r="F99" s="228"/>
      <c r="G99" s="228"/>
      <c r="H99" s="17">
        <f>'24'!$E$24+'24'!$Q$24</f>
        <v>0</v>
      </c>
      <c r="I99" s="17">
        <f>'24'!$F$24+'24'!$R$24</f>
        <v>0</v>
      </c>
      <c r="J99" s="17">
        <f>'24'!$G$24+'24'!$S$24</f>
        <v>0</v>
      </c>
      <c r="K99" s="17">
        <f>'24'!$BF$24</f>
        <v>0</v>
      </c>
      <c r="L99" s="17">
        <f>'24'!$BG$24</f>
        <v>0</v>
      </c>
      <c r="M99" s="17">
        <f>'24'!$BH$24</f>
        <v>0</v>
      </c>
      <c r="N99" s="228"/>
      <c r="O99" s="17">
        <f>'24'!$CC$24</f>
        <v>0</v>
      </c>
      <c r="P99" s="59"/>
    </row>
    <row r="100" spans="1:16" ht="14.5" customHeight="1" x14ac:dyDescent="0.35">
      <c r="A100" s="224" t="s">
        <v>142</v>
      </c>
      <c r="B100" s="226">
        <v>46198</v>
      </c>
      <c r="C100" s="58">
        <v>96</v>
      </c>
      <c r="D100" s="229" t="s">
        <v>192</v>
      </c>
      <c r="E100" s="224" t="s">
        <v>194</v>
      </c>
      <c r="F100" s="224" t="s">
        <v>226</v>
      </c>
      <c r="G100" s="224" t="s">
        <v>195</v>
      </c>
      <c r="H100" s="17">
        <f>'25'!$E$6+'25'!$N$6</f>
        <v>0</v>
      </c>
      <c r="I100" s="17">
        <f>'25'!$F$6+'25'!$R$6</f>
        <v>0</v>
      </c>
      <c r="J100" s="17">
        <f>'25'!$G$6+'25'!$S$6</f>
        <v>0</v>
      </c>
      <c r="K100" s="17">
        <f>'25'!$BF$6</f>
        <v>0</v>
      </c>
      <c r="L100" s="17">
        <f>'25'!$BG$6</f>
        <v>0</v>
      </c>
      <c r="M100" s="17">
        <f>'25'!$BH$6</f>
        <v>0</v>
      </c>
      <c r="N100" s="224">
        <v>58</v>
      </c>
      <c r="O100" s="17">
        <f>'25'!$CC$6</f>
        <v>0</v>
      </c>
      <c r="P100" s="59"/>
    </row>
    <row r="101" spans="1:16" x14ac:dyDescent="0.35">
      <c r="A101" s="225"/>
      <c r="B101" s="227"/>
      <c r="C101" s="58">
        <v>96.25</v>
      </c>
      <c r="D101" s="230"/>
      <c r="E101" s="225"/>
      <c r="F101" s="225"/>
      <c r="G101" s="225"/>
      <c r="H101" s="17">
        <f>'25'!$E$12+'25'!$N$12</f>
        <v>0</v>
      </c>
      <c r="I101" s="17">
        <f>'25'!$F$12+'25'!$R$12</f>
        <v>0</v>
      </c>
      <c r="J101" s="17">
        <f>'25'!$G$12+'25'!$S$12</f>
        <v>0</v>
      </c>
      <c r="K101" s="17">
        <f>'25'!$BF$12</f>
        <v>0</v>
      </c>
      <c r="L101" s="17">
        <f>'25'!$BG$12</f>
        <v>0</v>
      </c>
      <c r="M101" s="17">
        <f>'25'!$BH$12</f>
        <v>0</v>
      </c>
      <c r="N101" s="225"/>
      <c r="O101" s="17">
        <f>'25'!$CC$12</f>
        <v>0</v>
      </c>
      <c r="P101" s="59"/>
    </row>
    <row r="102" spans="1:16" x14ac:dyDescent="0.35">
      <c r="A102" s="225"/>
      <c r="B102" s="227"/>
      <c r="C102" s="58">
        <v>96.5</v>
      </c>
      <c r="D102" s="230"/>
      <c r="E102" s="225"/>
      <c r="F102" s="225"/>
      <c r="G102" s="225"/>
      <c r="H102" s="17">
        <f>'25'!$E$18+'25'!$Q$18</f>
        <v>0</v>
      </c>
      <c r="I102" s="17">
        <f>'25'!$F$18+'25'!$R$18</f>
        <v>0</v>
      </c>
      <c r="J102" s="17">
        <f>'25'!$G$18+'25'!$S$18</f>
        <v>0</v>
      </c>
      <c r="K102" s="17">
        <f>'25'!$BF$18</f>
        <v>0</v>
      </c>
      <c r="L102" s="17">
        <f>'25'!$BG$18</f>
        <v>0</v>
      </c>
      <c r="M102" s="17">
        <f>'25'!$BH$18</f>
        <v>0</v>
      </c>
      <c r="N102" s="225"/>
      <c r="O102" s="17">
        <f>'25'!$CC$18</f>
        <v>0</v>
      </c>
      <c r="P102" s="59"/>
    </row>
    <row r="103" spans="1:16" x14ac:dyDescent="0.35">
      <c r="A103" s="225"/>
      <c r="B103" s="227"/>
      <c r="C103" s="58">
        <v>96.75</v>
      </c>
      <c r="D103" s="231"/>
      <c r="E103" s="228"/>
      <c r="F103" s="228"/>
      <c r="G103" s="228"/>
      <c r="H103" s="17">
        <f>'25'!$E$24+'25'!$Q$24</f>
        <v>0</v>
      </c>
      <c r="I103" s="17">
        <f>'25'!$F$24+'25'!$R$24</f>
        <v>0</v>
      </c>
      <c r="J103" s="17">
        <f>'25'!$G$24+'25'!$S$24</f>
        <v>0</v>
      </c>
      <c r="K103" s="17">
        <f>'25'!$BF$24</f>
        <v>0</v>
      </c>
      <c r="L103" s="17">
        <f>'25'!$BG$24</f>
        <v>0</v>
      </c>
      <c r="M103" s="17">
        <f>'25'!$BH$24</f>
        <v>0</v>
      </c>
      <c r="N103" s="228"/>
      <c r="O103" s="17">
        <f>'25'!$CC$24</f>
        <v>0</v>
      </c>
      <c r="P103" s="59"/>
    </row>
    <row r="104" spans="1:16" ht="14.5" customHeight="1" x14ac:dyDescent="0.35">
      <c r="A104" s="224" t="s">
        <v>142</v>
      </c>
      <c r="B104" s="226">
        <v>46199</v>
      </c>
      <c r="C104" s="58">
        <v>100</v>
      </c>
      <c r="D104" s="229" t="s">
        <v>192</v>
      </c>
      <c r="E104" s="224" t="s">
        <v>194</v>
      </c>
      <c r="F104" s="224" t="s">
        <v>226</v>
      </c>
      <c r="G104" s="224" t="s">
        <v>195</v>
      </c>
      <c r="H104" s="17">
        <f>'26'!$E$6+'26'!$N$6</f>
        <v>0</v>
      </c>
      <c r="I104" s="17">
        <f>'26'!$F$6+'26'!$R$6</f>
        <v>0</v>
      </c>
      <c r="J104" s="17">
        <f>'26'!$G$6+'26'!$S$6</f>
        <v>0</v>
      </c>
      <c r="K104" s="17">
        <f>'26'!$BF$6</f>
        <v>0</v>
      </c>
      <c r="L104" s="17">
        <f>'26'!$BG$6</f>
        <v>0</v>
      </c>
      <c r="M104" s="17">
        <f>'26'!$BH$6</f>
        <v>0</v>
      </c>
      <c r="N104" s="224">
        <v>58</v>
      </c>
      <c r="O104" s="17">
        <f>'26'!$CC$6</f>
        <v>0</v>
      </c>
      <c r="P104" s="59"/>
    </row>
    <row r="105" spans="1:16" x14ac:dyDescent="0.35">
      <c r="A105" s="225"/>
      <c r="B105" s="227"/>
      <c r="C105" s="58">
        <v>100.25</v>
      </c>
      <c r="D105" s="230"/>
      <c r="E105" s="225"/>
      <c r="F105" s="225"/>
      <c r="G105" s="225"/>
      <c r="H105" s="17">
        <f>'26'!$E$12+'26'!$N$12</f>
        <v>0</v>
      </c>
      <c r="I105" s="17">
        <f>'26'!$F$12+'26'!$R$12</f>
        <v>0</v>
      </c>
      <c r="J105" s="17">
        <f>'26'!$G$12+'26'!$S$12</f>
        <v>0</v>
      </c>
      <c r="K105" s="17">
        <f>'26'!$BF$12</f>
        <v>0</v>
      </c>
      <c r="L105" s="17">
        <f>'26'!$BG$12</f>
        <v>0</v>
      </c>
      <c r="M105" s="17">
        <f>'26'!$BH$12</f>
        <v>0</v>
      </c>
      <c r="N105" s="225"/>
      <c r="O105" s="17">
        <f>'26'!$CC$12</f>
        <v>0</v>
      </c>
      <c r="P105" s="59"/>
    </row>
    <row r="106" spans="1:16" x14ac:dyDescent="0.35">
      <c r="A106" s="225"/>
      <c r="B106" s="227"/>
      <c r="C106" s="58">
        <v>100.5</v>
      </c>
      <c r="D106" s="230"/>
      <c r="E106" s="225"/>
      <c r="F106" s="225"/>
      <c r="G106" s="225"/>
      <c r="H106" s="17">
        <f>'26'!$E$18+'26'!$Q$18</f>
        <v>0</v>
      </c>
      <c r="I106" s="17">
        <f>'26'!$F$18+'26'!$R$18</f>
        <v>0</v>
      </c>
      <c r="J106" s="17">
        <f>'26'!$G$18+'26'!$S$18</f>
        <v>0</v>
      </c>
      <c r="K106" s="17">
        <f>'26'!$BF$18</f>
        <v>0</v>
      </c>
      <c r="L106" s="17">
        <f>'26'!$BG$18</f>
        <v>0</v>
      </c>
      <c r="M106" s="17">
        <f>'26'!$BH$18</f>
        <v>0</v>
      </c>
      <c r="N106" s="225"/>
      <c r="O106" s="17">
        <f>'26'!$CC$18</f>
        <v>0</v>
      </c>
      <c r="P106" s="59"/>
    </row>
    <row r="107" spans="1:16" x14ac:dyDescent="0.35">
      <c r="A107" s="225"/>
      <c r="B107" s="227"/>
      <c r="C107" s="58">
        <v>100.75</v>
      </c>
      <c r="D107" s="231"/>
      <c r="E107" s="228"/>
      <c r="F107" s="228"/>
      <c r="G107" s="228"/>
      <c r="H107" s="17">
        <f>'26'!$E$24+'26'!$Q$24</f>
        <v>0</v>
      </c>
      <c r="I107" s="17">
        <f>'26'!$F$24+'26'!$R$24</f>
        <v>0</v>
      </c>
      <c r="J107" s="17">
        <f>'26'!$G$24+'26'!$S$24</f>
        <v>0</v>
      </c>
      <c r="K107" s="17">
        <f>'26'!$BF$24</f>
        <v>0</v>
      </c>
      <c r="L107" s="17">
        <f>'26'!$BG$24</f>
        <v>0</v>
      </c>
      <c r="M107" s="17">
        <f>'26'!$BH$24</f>
        <v>0</v>
      </c>
      <c r="N107" s="228"/>
      <c r="O107" s="17">
        <f>'26'!$CC$24</f>
        <v>0</v>
      </c>
      <c r="P107" s="59"/>
    </row>
    <row r="108" spans="1:16" ht="14.5" customHeight="1" x14ac:dyDescent="0.35">
      <c r="A108" s="224" t="s">
        <v>142</v>
      </c>
      <c r="B108" s="226">
        <v>46200</v>
      </c>
      <c r="C108" s="58">
        <v>104</v>
      </c>
      <c r="D108" s="229" t="s">
        <v>192</v>
      </c>
      <c r="E108" s="224" t="s">
        <v>194</v>
      </c>
      <c r="F108" s="224" t="s">
        <v>226</v>
      </c>
      <c r="G108" s="224" t="s">
        <v>195</v>
      </c>
      <c r="H108" s="17">
        <f>'27'!$E$6+'27'!$N$6</f>
        <v>0</v>
      </c>
      <c r="I108" s="17">
        <f>'27'!$F$6+'27'!$R$6</f>
        <v>0</v>
      </c>
      <c r="J108" s="17">
        <f>'27'!$G$6+'27'!$S$6</f>
        <v>0</v>
      </c>
      <c r="K108" s="17">
        <f>'27'!$BF$6</f>
        <v>0</v>
      </c>
      <c r="L108" s="17">
        <f>'27'!$BG$6</f>
        <v>0</v>
      </c>
      <c r="M108" s="17">
        <f>'27'!$BH$6</f>
        <v>0</v>
      </c>
      <c r="N108" s="224">
        <v>58</v>
      </c>
      <c r="O108" s="17">
        <f>'27'!$CC$6</f>
        <v>0</v>
      </c>
      <c r="P108" s="59"/>
    </row>
    <row r="109" spans="1:16" x14ac:dyDescent="0.35">
      <c r="A109" s="225"/>
      <c r="B109" s="227"/>
      <c r="C109" s="58">
        <v>104.25</v>
      </c>
      <c r="D109" s="230"/>
      <c r="E109" s="225"/>
      <c r="F109" s="225"/>
      <c r="G109" s="225"/>
      <c r="H109" s="17">
        <f>'27'!$E$12+'27'!$N$12</f>
        <v>0</v>
      </c>
      <c r="I109" s="17">
        <f>'27'!$F$12+'27'!$R$12</f>
        <v>0</v>
      </c>
      <c r="J109" s="17">
        <f>'27'!$G$12+'27'!$S$12</f>
        <v>0</v>
      </c>
      <c r="K109" s="17">
        <f>'27'!$BF$12</f>
        <v>0</v>
      </c>
      <c r="L109" s="17">
        <f>'27'!$BG$12</f>
        <v>0</v>
      </c>
      <c r="M109" s="17">
        <f>'27'!$BH$12</f>
        <v>0</v>
      </c>
      <c r="N109" s="225"/>
      <c r="O109" s="17">
        <f>'27'!$CC$12</f>
        <v>0</v>
      </c>
      <c r="P109" s="59"/>
    </row>
    <row r="110" spans="1:16" x14ac:dyDescent="0.35">
      <c r="A110" s="225"/>
      <c r="B110" s="227"/>
      <c r="C110" s="58">
        <v>104.5</v>
      </c>
      <c r="D110" s="230"/>
      <c r="E110" s="225"/>
      <c r="F110" s="225"/>
      <c r="G110" s="225"/>
      <c r="H110" s="17">
        <f>'27'!$E$18+'27'!$Q$18</f>
        <v>0</v>
      </c>
      <c r="I110" s="17">
        <f>'27'!$F$18+'27'!$R$18</f>
        <v>0</v>
      </c>
      <c r="J110" s="17">
        <f>'27'!$G$18+'27'!$S$18</f>
        <v>0</v>
      </c>
      <c r="K110" s="17">
        <f>'27'!$BF$18</f>
        <v>0</v>
      </c>
      <c r="L110" s="17">
        <f>'27'!$BG$18</f>
        <v>0</v>
      </c>
      <c r="M110" s="17">
        <f>'27'!$BH$18</f>
        <v>0</v>
      </c>
      <c r="N110" s="225"/>
      <c r="O110" s="17">
        <f>'27'!$CC$18</f>
        <v>0</v>
      </c>
      <c r="P110" s="59"/>
    </row>
    <row r="111" spans="1:16" x14ac:dyDescent="0.35">
      <c r="A111" s="225"/>
      <c r="B111" s="227"/>
      <c r="C111" s="58">
        <v>104.75</v>
      </c>
      <c r="D111" s="231"/>
      <c r="E111" s="228"/>
      <c r="F111" s="228"/>
      <c r="G111" s="228"/>
      <c r="H111" s="17">
        <f>'27'!$E$24+'27'!$Q$24</f>
        <v>0</v>
      </c>
      <c r="I111" s="17">
        <f>'27'!$F$24+'27'!$R$24</f>
        <v>0</v>
      </c>
      <c r="J111" s="17">
        <f>'27'!$G$24+'27'!$S$24</f>
        <v>0</v>
      </c>
      <c r="K111" s="17">
        <f>'27'!$BF$24</f>
        <v>0</v>
      </c>
      <c r="L111" s="17">
        <f>'27'!$BG$24</f>
        <v>0</v>
      </c>
      <c r="M111" s="17">
        <f>'27'!$BH$24</f>
        <v>0</v>
      </c>
      <c r="N111" s="228"/>
      <c r="O111" s="17">
        <f>'27'!$CC$24</f>
        <v>0</v>
      </c>
      <c r="P111" s="59"/>
    </row>
    <row r="112" spans="1:16" ht="14.5" customHeight="1" x14ac:dyDescent="0.35">
      <c r="A112" s="224" t="s">
        <v>142</v>
      </c>
      <c r="B112" s="226">
        <v>46201</v>
      </c>
      <c r="C112" s="58">
        <v>108</v>
      </c>
      <c r="D112" s="229" t="s">
        <v>192</v>
      </c>
      <c r="E112" s="224" t="s">
        <v>194</v>
      </c>
      <c r="F112" s="224" t="s">
        <v>226</v>
      </c>
      <c r="G112" s="224" t="s">
        <v>195</v>
      </c>
      <c r="H112" s="17">
        <f>'28'!$E$6+'28'!$N$6</f>
        <v>0</v>
      </c>
      <c r="I112" s="17">
        <f>'28'!$F$6+'28'!$R$6</f>
        <v>0</v>
      </c>
      <c r="J112" s="17">
        <f>'28'!$G$6+'28'!$S$6</f>
        <v>0</v>
      </c>
      <c r="K112" s="17">
        <f>'28'!$BF$6</f>
        <v>0</v>
      </c>
      <c r="L112" s="17">
        <f>'28'!$BG$6</f>
        <v>0</v>
      </c>
      <c r="M112" s="17">
        <f>'28'!$BH$6</f>
        <v>0</v>
      </c>
      <c r="N112" s="224">
        <v>58</v>
      </c>
      <c r="O112" s="17">
        <f>'28'!$CC$6</f>
        <v>0</v>
      </c>
      <c r="P112" s="59"/>
    </row>
    <row r="113" spans="1:16" x14ac:dyDescent="0.35">
      <c r="A113" s="225"/>
      <c r="B113" s="227"/>
      <c r="C113" s="58">
        <v>108.25</v>
      </c>
      <c r="D113" s="230"/>
      <c r="E113" s="225"/>
      <c r="F113" s="225"/>
      <c r="G113" s="225"/>
      <c r="H113" s="17">
        <f>'28'!$E$12+'28'!$N$12</f>
        <v>0</v>
      </c>
      <c r="I113" s="17">
        <f>'28'!$F$12+'28'!$R$12</f>
        <v>0</v>
      </c>
      <c r="J113" s="17">
        <f>'28'!$G$12+'28'!$S$12</f>
        <v>0</v>
      </c>
      <c r="K113" s="17">
        <f>'28'!$BF$12</f>
        <v>0</v>
      </c>
      <c r="L113" s="17">
        <f>'28'!$BG$12</f>
        <v>0</v>
      </c>
      <c r="M113" s="17">
        <f>'28'!$BH$12</f>
        <v>0</v>
      </c>
      <c r="N113" s="225"/>
      <c r="O113" s="17">
        <f>'28'!$CC$12</f>
        <v>0</v>
      </c>
      <c r="P113" s="59"/>
    </row>
    <row r="114" spans="1:16" x14ac:dyDescent="0.35">
      <c r="A114" s="225"/>
      <c r="B114" s="227"/>
      <c r="C114" s="58">
        <v>108.5</v>
      </c>
      <c r="D114" s="230"/>
      <c r="E114" s="225"/>
      <c r="F114" s="225"/>
      <c r="G114" s="225"/>
      <c r="H114" s="17">
        <f>'28'!$E$18+'28'!$Q$18</f>
        <v>0</v>
      </c>
      <c r="I114" s="17">
        <f>'28'!$F$18+'28'!$R$18</f>
        <v>0</v>
      </c>
      <c r="J114" s="17">
        <f>'28'!$G$18+'28'!$S$18</f>
        <v>0</v>
      </c>
      <c r="K114" s="17">
        <f>'28'!$BF$18</f>
        <v>0</v>
      </c>
      <c r="L114" s="17">
        <f>'28'!$BG$18</f>
        <v>0</v>
      </c>
      <c r="M114" s="17">
        <f>'28'!$BH$18</f>
        <v>0</v>
      </c>
      <c r="N114" s="225"/>
      <c r="O114" s="17">
        <f>'28'!$CC$18</f>
        <v>0</v>
      </c>
      <c r="P114" s="59"/>
    </row>
    <row r="115" spans="1:16" x14ac:dyDescent="0.35">
      <c r="A115" s="225"/>
      <c r="B115" s="227"/>
      <c r="C115" s="58">
        <v>108.75</v>
      </c>
      <c r="D115" s="231"/>
      <c r="E115" s="228"/>
      <c r="F115" s="228"/>
      <c r="G115" s="228"/>
      <c r="H115" s="17">
        <f>'28'!$E$24+'28'!$Q$24</f>
        <v>0</v>
      </c>
      <c r="I115" s="17">
        <f>'28'!$F$24+'28'!$R$24</f>
        <v>0</v>
      </c>
      <c r="J115" s="17">
        <f>'28'!$G$24+'28'!$S$24</f>
        <v>0</v>
      </c>
      <c r="K115" s="17">
        <f>'28'!$BF$24</f>
        <v>0</v>
      </c>
      <c r="L115" s="17">
        <f>'28'!$BG$24</f>
        <v>0</v>
      </c>
      <c r="M115" s="17">
        <f>'28'!$BH$24</f>
        <v>0</v>
      </c>
      <c r="N115" s="228"/>
      <c r="O115" s="17">
        <f>'28'!$CC$24</f>
        <v>0</v>
      </c>
      <c r="P115" s="59"/>
    </row>
    <row r="116" spans="1:16" ht="14.5" customHeight="1" x14ac:dyDescent="0.35">
      <c r="A116" s="224" t="s">
        <v>142</v>
      </c>
      <c r="B116" s="226">
        <v>46202</v>
      </c>
      <c r="C116" s="58">
        <v>108</v>
      </c>
      <c r="D116" s="229" t="s">
        <v>192</v>
      </c>
      <c r="E116" s="224" t="s">
        <v>194</v>
      </c>
      <c r="F116" s="224" t="s">
        <v>226</v>
      </c>
      <c r="G116" s="224" t="s">
        <v>195</v>
      </c>
      <c r="H116" s="17">
        <f>'29'!$E$6+'29'!$N$6</f>
        <v>0</v>
      </c>
      <c r="I116" s="17">
        <f>'29'!$F$6+'29'!$R$6</f>
        <v>0</v>
      </c>
      <c r="J116" s="17">
        <f>'29'!$G$6+'29'!$S$6</f>
        <v>0</v>
      </c>
      <c r="K116" s="17">
        <f>'29'!$BF$6</f>
        <v>0</v>
      </c>
      <c r="L116" s="17">
        <f>'29'!$BG$6</f>
        <v>0</v>
      </c>
      <c r="M116" s="17">
        <f>'29'!$BH$6</f>
        <v>0</v>
      </c>
      <c r="N116" s="224">
        <v>58</v>
      </c>
      <c r="O116" s="17">
        <f>'29'!$CC$6</f>
        <v>0</v>
      </c>
      <c r="P116" s="59"/>
    </row>
    <row r="117" spans="1:16" x14ac:dyDescent="0.35">
      <c r="A117" s="225"/>
      <c r="B117" s="227"/>
      <c r="C117" s="58">
        <v>108.25</v>
      </c>
      <c r="D117" s="230"/>
      <c r="E117" s="225"/>
      <c r="F117" s="225"/>
      <c r="G117" s="225"/>
      <c r="H117" s="17">
        <f>'29'!$E$12+'29'!$N$12</f>
        <v>0</v>
      </c>
      <c r="I117" s="17">
        <f>'29'!$F$12+'29'!$R$12</f>
        <v>0</v>
      </c>
      <c r="J117" s="17">
        <f>'29'!$G$12+'29'!$S$12</f>
        <v>0</v>
      </c>
      <c r="K117" s="17">
        <f>'29'!$BF$12</f>
        <v>0</v>
      </c>
      <c r="L117" s="17">
        <f>'29'!$BG$12</f>
        <v>0</v>
      </c>
      <c r="M117" s="17">
        <f>'29'!$BH$12</f>
        <v>0</v>
      </c>
      <c r="N117" s="225"/>
      <c r="O117" s="17">
        <f>'29'!$CC$12</f>
        <v>0</v>
      </c>
      <c r="P117" s="59"/>
    </row>
    <row r="118" spans="1:16" x14ac:dyDescent="0.35">
      <c r="A118" s="225"/>
      <c r="B118" s="227"/>
      <c r="C118" s="58">
        <v>108.5</v>
      </c>
      <c r="D118" s="230"/>
      <c r="E118" s="225"/>
      <c r="F118" s="225"/>
      <c r="G118" s="225"/>
      <c r="H118" s="17">
        <f>'29'!$E$18+'29'!$Q$18</f>
        <v>0</v>
      </c>
      <c r="I118" s="17">
        <f>'29'!$F$18+'29'!$R$18</f>
        <v>0</v>
      </c>
      <c r="J118" s="17">
        <f>'29'!$G$18+'29'!$S$18</f>
        <v>0</v>
      </c>
      <c r="K118" s="17">
        <f>'29'!$BF$18</f>
        <v>0</v>
      </c>
      <c r="L118" s="17">
        <f>'29'!$BG$18</f>
        <v>0</v>
      </c>
      <c r="M118" s="17">
        <f>'29'!$BH$18</f>
        <v>0</v>
      </c>
      <c r="N118" s="225"/>
      <c r="O118" s="17">
        <f>'29'!$CC$18</f>
        <v>0</v>
      </c>
      <c r="P118" s="59"/>
    </row>
    <row r="119" spans="1:16" x14ac:dyDescent="0.35">
      <c r="A119" s="225"/>
      <c r="B119" s="227"/>
      <c r="C119" s="58">
        <v>108.75</v>
      </c>
      <c r="D119" s="231"/>
      <c r="E119" s="228"/>
      <c r="F119" s="228"/>
      <c r="G119" s="228"/>
      <c r="H119" s="17">
        <f>'29'!$E$24+'29'!$Q$24</f>
        <v>0</v>
      </c>
      <c r="I119" s="17">
        <f>'29'!$F$24+'29'!$R$24</f>
        <v>0</v>
      </c>
      <c r="J119" s="17">
        <f>'29'!$G$24+'29'!$S$24</f>
        <v>0</v>
      </c>
      <c r="K119" s="17">
        <f>'29'!$BF$24</f>
        <v>0</v>
      </c>
      <c r="L119" s="17">
        <f>'29'!$BG$24</f>
        <v>0</v>
      </c>
      <c r="M119" s="17">
        <f>'29'!$BH$24</f>
        <v>0</v>
      </c>
      <c r="N119" s="228"/>
      <c r="O119" s="17">
        <f>'29'!$CC$24</f>
        <v>0</v>
      </c>
      <c r="P119" s="59"/>
    </row>
    <row r="120" spans="1:16" ht="14.5" customHeight="1" x14ac:dyDescent="0.35">
      <c r="A120" s="224" t="s">
        <v>142</v>
      </c>
      <c r="B120" s="226">
        <v>46203</v>
      </c>
      <c r="C120" s="58">
        <v>108</v>
      </c>
      <c r="D120" s="229" t="s">
        <v>192</v>
      </c>
      <c r="E120" s="224" t="s">
        <v>194</v>
      </c>
      <c r="F120" s="224" t="s">
        <v>226</v>
      </c>
      <c r="G120" s="224" t="s">
        <v>195</v>
      </c>
      <c r="H120" s="17">
        <f>'30'!$E$6+'30'!$N$6</f>
        <v>0</v>
      </c>
      <c r="I120" s="17">
        <f>'30'!$F$6+'30'!$R$6</f>
        <v>0</v>
      </c>
      <c r="J120" s="17">
        <f>'30'!$G$6+'30'!$S$6</f>
        <v>0</v>
      </c>
      <c r="K120" s="17">
        <f>'30'!$BF$6</f>
        <v>0</v>
      </c>
      <c r="L120" s="17">
        <f>'30'!$BG$6</f>
        <v>0</v>
      </c>
      <c r="M120" s="17">
        <f>'30'!$BH$6</f>
        <v>0</v>
      </c>
      <c r="N120" s="224">
        <v>58</v>
      </c>
      <c r="O120" s="17">
        <f>'30'!$CC$6</f>
        <v>0</v>
      </c>
      <c r="P120" s="59"/>
    </row>
    <row r="121" spans="1:16" x14ac:dyDescent="0.35">
      <c r="A121" s="225"/>
      <c r="B121" s="227"/>
      <c r="C121" s="58">
        <v>108.25</v>
      </c>
      <c r="D121" s="230"/>
      <c r="E121" s="225"/>
      <c r="F121" s="225"/>
      <c r="G121" s="225"/>
      <c r="H121" s="17">
        <f>'30'!$E$12+'30'!$N$12</f>
        <v>0</v>
      </c>
      <c r="I121" s="17">
        <f>'30'!$F$12+'30'!$R$12</f>
        <v>0</v>
      </c>
      <c r="J121" s="17">
        <f>'30'!$G$12+'30'!$S$12</f>
        <v>0</v>
      </c>
      <c r="K121" s="17">
        <f>'30'!$BF$12</f>
        <v>0</v>
      </c>
      <c r="L121" s="17">
        <f>'30'!$BG$12</f>
        <v>0</v>
      </c>
      <c r="M121" s="17">
        <f>'30'!$BH$12</f>
        <v>0</v>
      </c>
      <c r="N121" s="225"/>
      <c r="O121" s="17">
        <f>'30'!$CC$12</f>
        <v>0</v>
      </c>
      <c r="P121" s="59"/>
    </row>
    <row r="122" spans="1:16" x14ac:dyDescent="0.35">
      <c r="A122" s="225"/>
      <c r="B122" s="227"/>
      <c r="C122" s="58">
        <v>108.5</v>
      </c>
      <c r="D122" s="230"/>
      <c r="E122" s="225"/>
      <c r="F122" s="225"/>
      <c r="G122" s="225"/>
      <c r="H122" s="17">
        <f>'30'!$E$18+'30'!$Q$18</f>
        <v>0</v>
      </c>
      <c r="I122" s="17">
        <f>'30'!$F$18+'30'!$R$18</f>
        <v>0</v>
      </c>
      <c r="J122" s="17">
        <f>'30'!$G$18+'30'!$S$18</f>
        <v>0</v>
      </c>
      <c r="K122" s="17">
        <f>'30'!$BF$18</f>
        <v>0</v>
      </c>
      <c r="L122" s="17">
        <f>'30'!$BG$18</f>
        <v>0</v>
      </c>
      <c r="M122" s="17">
        <f>'30'!$BH$18</f>
        <v>0</v>
      </c>
      <c r="N122" s="225"/>
      <c r="O122" s="17">
        <f>'30'!$CC$18</f>
        <v>0</v>
      </c>
      <c r="P122" s="59"/>
    </row>
    <row r="123" spans="1:16" x14ac:dyDescent="0.35">
      <c r="A123" s="225"/>
      <c r="B123" s="227"/>
      <c r="C123" s="58">
        <v>108.75</v>
      </c>
      <c r="D123" s="231"/>
      <c r="E123" s="228"/>
      <c r="F123" s="228"/>
      <c r="G123" s="228"/>
      <c r="H123" s="17">
        <f>'30'!$E$24+'30'!$Q$24</f>
        <v>0</v>
      </c>
      <c r="I123" s="17">
        <f>'30'!$F$24+'30'!$R$24</f>
        <v>0</v>
      </c>
      <c r="J123" s="17">
        <f>'30'!$G$24+'30'!$S$24</f>
        <v>0</v>
      </c>
      <c r="K123" s="17">
        <f>'30'!$BF$24</f>
        <v>0</v>
      </c>
      <c r="L123" s="17">
        <f>'30'!$BG$24</f>
        <v>0</v>
      </c>
      <c r="M123" s="17">
        <f>'30'!$BH$24</f>
        <v>0</v>
      </c>
      <c r="N123" s="228"/>
      <c r="O123" s="17">
        <f>'30'!$CC$24</f>
        <v>0</v>
      </c>
      <c r="P123" s="59"/>
    </row>
  </sheetData>
  <mergeCells count="225">
    <mergeCell ref="A116:A119"/>
    <mergeCell ref="B116:B119"/>
    <mergeCell ref="D116:D119"/>
    <mergeCell ref="E116:E119"/>
    <mergeCell ref="F116:F119"/>
    <mergeCell ref="G116:G119"/>
    <mergeCell ref="N116:N119"/>
    <mergeCell ref="A120:A123"/>
    <mergeCell ref="B120:B123"/>
    <mergeCell ref="D120:D123"/>
    <mergeCell ref="E120:E123"/>
    <mergeCell ref="F120:F123"/>
    <mergeCell ref="G120:G123"/>
    <mergeCell ref="N120:N123"/>
    <mergeCell ref="E112:E115"/>
    <mergeCell ref="F112:F115"/>
    <mergeCell ref="G112:G115"/>
    <mergeCell ref="G108:G111"/>
    <mergeCell ref="N108:N111"/>
    <mergeCell ref="N112:N115"/>
    <mergeCell ref="E108:E111"/>
    <mergeCell ref="F108:F111"/>
    <mergeCell ref="A112:A115"/>
    <mergeCell ref="B112:B115"/>
    <mergeCell ref="D112:D115"/>
    <mergeCell ref="A108:A111"/>
    <mergeCell ref="B108:B111"/>
    <mergeCell ref="D108:D111"/>
    <mergeCell ref="A104:A107"/>
    <mergeCell ref="B104:B107"/>
    <mergeCell ref="D104:D107"/>
    <mergeCell ref="G104:G107"/>
    <mergeCell ref="N104:N107"/>
    <mergeCell ref="E104:E107"/>
    <mergeCell ref="F104:F107"/>
    <mergeCell ref="N100:N103"/>
    <mergeCell ref="A100:A103"/>
    <mergeCell ref="B100:B103"/>
    <mergeCell ref="D100:D103"/>
    <mergeCell ref="A96:A99"/>
    <mergeCell ref="B96:B99"/>
    <mergeCell ref="D96:D99"/>
    <mergeCell ref="G96:G99"/>
    <mergeCell ref="N96:N99"/>
    <mergeCell ref="G100:G103"/>
    <mergeCell ref="E100:E103"/>
    <mergeCell ref="F100:F103"/>
    <mergeCell ref="E96:E99"/>
    <mergeCell ref="F96:F99"/>
    <mergeCell ref="A92:A95"/>
    <mergeCell ref="B92:B95"/>
    <mergeCell ref="D92:D95"/>
    <mergeCell ref="A88:A91"/>
    <mergeCell ref="B88:B91"/>
    <mergeCell ref="D88:D91"/>
    <mergeCell ref="G88:G91"/>
    <mergeCell ref="N88:N91"/>
    <mergeCell ref="E88:E91"/>
    <mergeCell ref="F88:F91"/>
    <mergeCell ref="G92:G95"/>
    <mergeCell ref="N92:N95"/>
    <mergeCell ref="E92:E95"/>
    <mergeCell ref="F92:F95"/>
    <mergeCell ref="A80:A83"/>
    <mergeCell ref="B80:B83"/>
    <mergeCell ref="D80:D83"/>
    <mergeCell ref="G80:G83"/>
    <mergeCell ref="N80:N83"/>
    <mergeCell ref="E80:E83"/>
    <mergeCell ref="F80:F83"/>
    <mergeCell ref="N84:N87"/>
    <mergeCell ref="E84:E87"/>
    <mergeCell ref="F84:F87"/>
    <mergeCell ref="A84:A87"/>
    <mergeCell ref="B84:B87"/>
    <mergeCell ref="D84:D87"/>
    <mergeCell ref="G84:G87"/>
    <mergeCell ref="A76:A79"/>
    <mergeCell ref="B76:B79"/>
    <mergeCell ref="D76:D79"/>
    <mergeCell ref="A72:A75"/>
    <mergeCell ref="B72:B75"/>
    <mergeCell ref="D72:D75"/>
    <mergeCell ref="G72:G75"/>
    <mergeCell ref="N72:N75"/>
    <mergeCell ref="E72:E75"/>
    <mergeCell ref="F72:F75"/>
    <mergeCell ref="G76:G79"/>
    <mergeCell ref="N76:N79"/>
    <mergeCell ref="E76:E79"/>
    <mergeCell ref="F76:F79"/>
    <mergeCell ref="A68:A71"/>
    <mergeCell ref="B68:B71"/>
    <mergeCell ref="D68:D71"/>
    <mergeCell ref="A64:A67"/>
    <mergeCell ref="B64:B67"/>
    <mergeCell ref="D64:D67"/>
    <mergeCell ref="G64:G67"/>
    <mergeCell ref="N64:N67"/>
    <mergeCell ref="E64:E67"/>
    <mergeCell ref="F64:F67"/>
    <mergeCell ref="G68:G71"/>
    <mergeCell ref="N68:N71"/>
    <mergeCell ref="E68:E71"/>
    <mergeCell ref="F68:F71"/>
    <mergeCell ref="A60:A63"/>
    <mergeCell ref="B60:B63"/>
    <mergeCell ref="D60:D63"/>
    <mergeCell ref="A56:A59"/>
    <mergeCell ref="B56:B59"/>
    <mergeCell ref="D56:D59"/>
    <mergeCell ref="G56:G59"/>
    <mergeCell ref="N56:N59"/>
    <mergeCell ref="E56:E59"/>
    <mergeCell ref="F56:F59"/>
    <mergeCell ref="G60:G63"/>
    <mergeCell ref="N60:N63"/>
    <mergeCell ref="E60:E63"/>
    <mergeCell ref="F60:F63"/>
    <mergeCell ref="A52:A55"/>
    <mergeCell ref="B52:B55"/>
    <mergeCell ref="D52:D55"/>
    <mergeCell ref="A48:A51"/>
    <mergeCell ref="B48:B51"/>
    <mergeCell ref="D48:D51"/>
    <mergeCell ref="G48:G51"/>
    <mergeCell ref="N48:N51"/>
    <mergeCell ref="G52:G55"/>
    <mergeCell ref="N52:N55"/>
    <mergeCell ref="E52:E55"/>
    <mergeCell ref="F52:F55"/>
    <mergeCell ref="E48:E51"/>
    <mergeCell ref="F48:F51"/>
    <mergeCell ref="A1:G1"/>
    <mergeCell ref="A2:A3"/>
    <mergeCell ref="B2:B3"/>
    <mergeCell ref="C2:C3"/>
    <mergeCell ref="D2:D3"/>
    <mergeCell ref="E2:E3"/>
    <mergeCell ref="F2:F3"/>
    <mergeCell ref="G2:G3"/>
    <mergeCell ref="A8:A11"/>
    <mergeCell ref="B8:B11"/>
    <mergeCell ref="D8:D11"/>
    <mergeCell ref="G8:G11"/>
    <mergeCell ref="E4:E7"/>
    <mergeCell ref="E8:E11"/>
    <mergeCell ref="F4:F7"/>
    <mergeCell ref="F8:F11"/>
    <mergeCell ref="P2:P3"/>
    <mergeCell ref="N2:N3"/>
    <mergeCell ref="O2:O3"/>
    <mergeCell ref="A4:A7"/>
    <mergeCell ref="B4:B7"/>
    <mergeCell ref="D4:D7"/>
    <mergeCell ref="G4:G7"/>
    <mergeCell ref="N4:N7"/>
    <mergeCell ref="H2:J2"/>
    <mergeCell ref="K2:K3"/>
    <mergeCell ref="L2:L3"/>
    <mergeCell ref="M2:M3"/>
    <mergeCell ref="A16:A19"/>
    <mergeCell ref="B16:B19"/>
    <mergeCell ref="D16:D19"/>
    <mergeCell ref="G16:G19"/>
    <mergeCell ref="N16:N19"/>
    <mergeCell ref="E16:E19"/>
    <mergeCell ref="F16:F19"/>
    <mergeCell ref="N8:N11"/>
    <mergeCell ref="A12:A15"/>
    <mergeCell ref="B12:B15"/>
    <mergeCell ref="D12:D15"/>
    <mergeCell ref="G12:G15"/>
    <mergeCell ref="N12:N15"/>
    <mergeCell ref="E12:E15"/>
    <mergeCell ref="F12:F15"/>
    <mergeCell ref="A24:A27"/>
    <mergeCell ref="B24:B27"/>
    <mergeCell ref="D24:D27"/>
    <mergeCell ref="G24:G27"/>
    <mergeCell ref="N24:N27"/>
    <mergeCell ref="E24:E27"/>
    <mergeCell ref="F24:F27"/>
    <mergeCell ref="A20:A23"/>
    <mergeCell ref="B20:B23"/>
    <mergeCell ref="D20:D23"/>
    <mergeCell ref="G20:G23"/>
    <mergeCell ref="N20:N23"/>
    <mergeCell ref="E20:E23"/>
    <mergeCell ref="F20:F23"/>
    <mergeCell ref="A28:A31"/>
    <mergeCell ref="B28:B31"/>
    <mergeCell ref="D28:D31"/>
    <mergeCell ref="G28:G31"/>
    <mergeCell ref="N28:N31"/>
    <mergeCell ref="E28:E31"/>
    <mergeCell ref="F28:F31"/>
    <mergeCell ref="G40:G43"/>
    <mergeCell ref="N40:N43"/>
    <mergeCell ref="E40:E43"/>
    <mergeCell ref="F40:F43"/>
    <mergeCell ref="A32:A35"/>
    <mergeCell ref="B32:B35"/>
    <mergeCell ref="D32:D35"/>
    <mergeCell ref="G32:G35"/>
    <mergeCell ref="N32:N35"/>
    <mergeCell ref="A44:A47"/>
    <mergeCell ref="B44:B47"/>
    <mergeCell ref="E32:E35"/>
    <mergeCell ref="F32:F35"/>
    <mergeCell ref="A36:A39"/>
    <mergeCell ref="B36:B39"/>
    <mergeCell ref="D36:D39"/>
    <mergeCell ref="G36:G39"/>
    <mergeCell ref="N36:N39"/>
    <mergeCell ref="E36:E39"/>
    <mergeCell ref="F36:F39"/>
    <mergeCell ref="D44:D47"/>
    <mergeCell ref="A40:A43"/>
    <mergeCell ref="B40:B43"/>
    <mergeCell ref="D40:D43"/>
    <mergeCell ref="G44:G47"/>
    <mergeCell ref="N44:N47"/>
    <mergeCell ref="E44:E47"/>
    <mergeCell ref="F44:F47"/>
  </mergeCells>
  <phoneticPr fontId="5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123"/>
  <sheetViews>
    <sheetView zoomScale="90" zoomScaleNormal="90" workbookViewId="0">
      <pane xSplit="3" ySplit="3" topLeftCell="D108" activePane="bottomRight" state="frozen"/>
      <selection pane="topRight" activeCell="D1" sqref="D1"/>
      <selection pane="bottomLeft" activeCell="A4" sqref="A4"/>
      <selection pane="bottomRight" activeCell="G120" sqref="G120:G123"/>
    </sheetView>
  </sheetViews>
  <sheetFormatPr defaultColWidth="8.81640625" defaultRowHeight="14.5" x14ac:dyDescent="0.35"/>
  <cols>
    <col min="1" max="1" width="7.81640625" style="22" customWidth="1"/>
    <col min="2" max="2" width="13.453125" style="22" customWidth="1"/>
    <col min="3" max="3" width="17.453125" style="22" customWidth="1"/>
    <col min="4" max="4" width="18.54296875" style="22" customWidth="1"/>
    <col min="5" max="5" width="17" style="22" customWidth="1"/>
    <col min="6" max="6" width="27" style="22" bestFit="1" customWidth="1"/>
    <col min="7" max="7" width="16.1796875" style="22" customWidth="1"/>
    <col min="8" max="8" width="7.81640625" style="22" customWidth="1"/>
    <col min="9" max="9" width="8" style="22" customWidth="1"/>
    <col min="10" max="10" width="7.81640625" style="22" customWidth="1"/>
    <col min="11" max="11" width="11" style="22" customWidth="1"/>
    <col min="12" max="12" width="9" style="22" customWidth="1"/>
    <col min="13" max="13" width="12.81640625" style="22" customWidth="1"/>
    <col min="14" max="14" width="8.81640625" style="22"/>
    <col min="15" max="15" width="18.81640625" style="22" customWidth="1"/>
    <col min="16" max="16" width="11" style="22" customWidth="1"/>
    <col min="17" max="18" width="8.81640625" style="22"/>
    <col min="19" max="19" width="15.1796875" style="22" bestFit="1" customWidth="1"/>
    <col min="20" max="20" width="16.54296875" style="22" bestFit="1" customWidth="1"/>
    <col min="21" max="21" width="25.81640625" style="22" bestFit="1" customWidth="1"/>
    <col min="22" max="16384" width="8.81640625" style="22"/>
  </cols>
  <sheetData>
    <row r="1" spans="1:16" ht="18.75" x14ac:dyDescent="0.3">
      <c r="A1" s="239" t="s">
        <v>200</v>
      </c>
      <c r="B1" s="240"/>
      <c r="C1" s="240"/>
      <c r="D1" s="240"/>
      <c r="E1" s="240"/>
      <c r="F1" s="240"/>
      <c r="G1" s="241"/>
      <c r="H1" s="56"/>
      <c r="I1" s="56"/>
      <c r="J1" s="56"/>
      <c r="K1" s="56"/>
      <c r="L1" s="56"/>
      <c r="M1" s="56"/>
      <c r="N1" s="56"/>
      <c r="O1" s="56"/>
      <c r="P1" s="56"/>
    </row>
    <row r="2" spans="1:16" ht="14.5" customHeight="1" x14ac:dyDescent="0.35">
      <c r="A2" s="232" t="s">
        <v>151</v>
      </c>
      <c r="B2" s="232" t="s">
        <v>34</v>
      </c>
      <c r="C2" s="232" t="s">
        <v>12</v>
      </c>
      <c r="D2" s="232" t="s">
        <v>150</v>
      </c>
      <c r="E2" s="232" t="s">
        <v>149</v>
      </c>
      <c r="F2" s="232" t="s">
        <v>148</v>
      </c>
      <c r="G2" s="232" t="s">
        <v>147</v>
      </c>
      <c r="H2" s="236" t="s">
        <v>146</v>
      </c>
      <c r="I2" s="237"/>
      <c r="J2" s="238"/>
      <c r="K2" s="234" t="s">
        <v>145</v>
      </c>
      <c r="L2" s="234" t="s">
        <v>144</v>
      </c>
      <c r="M2" s="234" t="s">
        <v>197</v>
      </c>
      <c r="N2" s="234" t="s">
        <v>143</v>
      </c>
      <c r="O2" s="232" t="s">
        <v>39</v>
      </c>
      <c r="P2" s="232" t="s">
        <v>38</v>
      </c>
    </row>
    <row r="3" spans="1:16" x14ac:dyDescent="0.35">
      <c r="A3" s="233"/>
      <c r="B3" s="233"/>
      <c r="C3" s="233"/>
      <c r="D3" s="233"/>
      <c r="E3" s="233"/>
      <c r="F3" s="233"/>
      <c r="G3" s="233"/>
      <c r="H3" s="57" t="s">
        <v>43</v>
      </c>
      <c r="I3" s="57" t="s">
        <v>42</v>
      </c>
      <c r="J3" s="57" t="s">
        <v>41</v>
      </c>
      <c r="K3" s="235"/>
      <c r="L3" s="235"/>
      <c r="M3" s="235"/>
      <c r="N3" s="235"/>
      <c r="O3" s="233"/>
      <c r="P3" s="233"/>
    </row>
    <row r="4" spans="1:16" x14ac:dyDescent="0.35">
      <c r="A4" s="224" t="s">
        <v>142</v>
      </c>
      <c r="B4" s="242">
        <v>46174</v>
      </c>
      <c r="C4" s="58">
        <v>0</v>
      </c>
      <c r="D4" s="229" t="s">
        <v>193</v>
      </c>
      <c r="E4" s="224" t="s">
        <v>194</v>
      </c>
      <c r="F4" s="224" t="s">
        <v>226</v>
      </c>
      <c r="G4" s="224" t="s">
        <v>195</v>
      </c>
      <c r="H4" s="17">
        <f>'1'!$E$6+'1'!$Q$6</f>
        <v>0</v>
      </c>
      <c r="I4" s="17">
        <f>'1'!$F$6+'1'!$R$6</f>
        <v>0</v>
      </c>
      <c r="J4" s="17">
        <f>'1'!$G$6+'1'!$S$6</f>
        <v>0</v>
      </c>
      <c r="K4" s="17">
        <f>'1'!$BJ$6</f>
        <v>0</v>
      </c>
      <c r="L4" s="17">
        <f>'1'!$BK$6</f>
        <v>0</v>
      </c>
      <c r="M4" s="17">
        <f>'1'!$BL$6</f>
        <v>0</v>
      </c>
      <c r="N4" s="224">
        <v>58</v>
      </c>
      <c r="O4" s="17">
        <f>'1'!CC$6</f>
        <v>0</v>
      </c>
      <c r="P4" s="59" t="s">
        <v>227</v>
      </c>
    </row>
    <row r="5" spans="1:16" x14ac:dyDescent="0.35">
      <c r="A5" s="225"/>
      <c r="B5" s="242"/>
      <c r="C5" s="58">
        <v>0.25</v>
      </c>
      <c r="D5" s="230"/>
      <c r="E5" s="225"/>
      <c r="F5" s="225"/>
      <c r="G5" s="225"/>
      <c r="H5" s="17">
        <f>'1'!$E$12+'1'!$Q$12</f>
        <v>0</v>
      </c>
      <c r="I5" s="17">
        <f>'1'!$F$12+'1'!$R$12</f>
        <v>0</v>
      </c>
      <c r="J5" s="17">
        <f>'1'!$G$12+'1'!$S$12</f>
        <v>0</v>
      </c>
      <c r="K5" s="17">
        <f>'1'!$BJ$12</f>
        <v>0</v>
      </c>
      <c r="L5" s="17">
        <f>'1'!$BK$12</f>
        <v>0</v>
      </c>
      <c r="M5" s="17">
        <f>'1'!$BL$12</f>
        <v>0</v>
      </c>
      <c r="N5" s="225"/>
      <c r="O5" s="17">
        <f>'1'!CC$12</f>
        <v>0</v>
      </c>
      <c r="P5" s="59" t="s">
        <v>227</v>
      </c>
    </row>
    <row r="6" spans="1:16" x14ac:dyDescent="0.35">
      <c r="A6" s="225"/>
      <c r="B6" s="242"/>
      <c r="C6" s="58">
        <v>0.5</v>
      </c>
      <c r="D6" s="230"/>
      <c r="E6" s="225"/>
      <c r="F6" s="225"/>
      <c r="G6" s="225"/>
      <c r="H6" s="17">
        <f>'1'!$E$18+'1'!$Q$18</f>
        <v>0</v>
      </c>
      <c r="I6" s="17">
        <f>'1'!$F$18+'1'!$R$18</f>
        <v>0</v>
      </c>
      <c r="J6" s="17">
        <f>'1'!$G$18+'1'!$S$18</f>
        <v>0</v>
      </c>
      <c r="K6" s="17">
        <f>'1'!$BJ$18</f>
        <v>0</v>
      </c>
      <c r="L6" s="17">
        <f>'1'!$BK$18</f>
        <v>0</v>
      </c>
      <c r="M6" s="17">
        <f>'1'!$BL$18</f>
        <v>0</v>
      </c>
      <c r="N6" s="225"/>
      <c r="O6" s="17">
        <f>'1'!CC$18</f>
        <v>0</v>
      </c>
      <c r="P6" s="59" t="s">
        <v>227</v>
      </c>
    </row>
    <row r="7" spans="1:16" x14ac:dyDescent="0.35">
      <c r="A7" s="228"/>
      <c r="B7" s="242"/>
      <c r="C7" s="58">
        <v>0.75</v>
      </c>
      <c r="D7" s="231"/>
      <c r="E7" s="228"/>
      <c r="F7" s="228"/>
      <c r="G7" s="228"/>
      <c r="H7" s="17">
        <f>'1'!$E$24+'1'!$Q$24</f>
        <v>0</v>
      </c>
      <c r="I7" s="17">
        <f>'1'!$F$24+'1'!$R$24</f>
        <v>0</v>
      </c>
      <c r="J7" s="17">
        <f>'1'!$G$24+'1'!$S$24</f>
        <v>0</v>
      </c>
      <c r="K7" s="17">
        <f>'1'!$BJ$24</f>
        <v>0</v>
      </c>
      <c r="L7" s="17">
        <f>'1'!$BK$24</f>
        <v>0</v>
      </c>
      <c r="M7" s="17">
        <f>'1'!$BL$24</f>
        <v>0</v>
      </c>
      <c r="N7" s="228"/>
      <c r="O7" s="17">
        <f>'1'!CC$24</f>
        <v>0</v>
      </c>
      <c r="P7" s="59" t="s">
        <v>227</v>
      </c>
    </row>
    <row r="8" spans="1:16" x14ac:dyDescent="0.35">
      <c r="A8" s="224" t="s">
        <v>142</v>
      </c>
      <c r="B8" s="242">
        <v>46175</v>
      </c>
      <c r="C8" s="58">
        <v>5</v>
      </c>
      <c r="D8" s="229" t="s">
        <v>193</v>
      </c>
      <c r="E8" s="224" t="s">
        <v>194</v>
      </c>
      <c r="F8" s="224" t="s">
        <v>226</v>
      </c>
      <c r="G8" s="224" t="s">
        <v>195</v>
      </c>
      <c r="H8" s="17">
        <f>'2'!$E$6+'2'!$Q$6</f>
        <v>0</v>
      </c>
      <c r="I8" s="17">
        <f>'2'!$F$6+'2'!$R$6</f>
        <v>0</v>
      </c>
      <c r="J8" s="17">
        <f>'2'!$G$6+'2'!$S$6</f>
        <v>0</v>
      </c>
      <c r="K8" s="17">
        <f>'2'!$BJ$6</f>
        <v>0</v>
      </c>
      <c r="L8" s="17">
        <f>'2'!$BK$6</f>
        <v>0</v>
      </c>
      <c r="M8" s="17">
        <f>'2'!$BL$6</f>
        <v>0</v>
      </c>
      <c r="N8" s="224">
        <v>58</v>
      </c>
      <c r="O8" s="17">
        <f>'2'!CC$6</f>
        <v>0</v>
      </c>
      <c r="P8" s="59" t="s">
        <v>227</v>
      </c>
    </row>
    <row r="9" spans="1:16" x14ac:dyDescent="0.35">
      <c r="A9" s="225"/>
      <c r="B9" s="242"/>
      <c r="C9" s="58">
        <v>5.25</v>
      </c>
      <c r="D9" s="230"/>
      <c r="E9" s="225"/>
      <c r="F9" s="225"/>
      <c r="G9" s="225"/>
      <c r="H9" s="17">
        <f>'2'!$E$12+'2'!$Q$12</f>
        <v>0</v>
      </c>
      <c r="I9" s="17">
        <f>'2'!$F$12+'2'!$R$12</f>
        <v>0</v>
      </c>
      <c r="J9" s="17">
        <f>'2'!$G$12+'2'!$S$12</f>
        <v>0</v>
      </c>
      <c r="K9" s="17">
        <f>'2'!$BJ$12</f>
        <v>0</v>
      </c>
      <c r="L9" s="17">
        <f>'2'!$BK$12</f>
        <v>0</v>
      </c>
      <c r="M9" s="17">
        <f>'2'!$BL$12</f>
        <v>0</v>
      </c>
      <c r="N9" s="225"/>
      <c r="O9" s="17">
        <f>'2'!CC$12</f>
        <v>0</v>
      </c>
      <c r="P9" s="59" t="s">
        <v>227</v>
      </c>
    </row>
    <row r="10" spans="1:16" x14ac:dyDescent="0.35">
      <c r="A10" s="225"/>
      <c r="B10" s="242"/>
      <c r="C10" s="58">
        <v>5.5</v>
      </c>
      <c r="D10" s="230"/>
      <c r="E10" s="225"/>
      <c r="F10" s="225"/>
      <c r="G10" s="225"/>
      <c r="H10" s="17">
        <f>'2'!$E$18+'2'!$Q$18</f>
        <v>0</v>
      </c>
      <c r="I10" s="17">
        <f>'2'!$F$18+'2'!$R$18</f>
        <v>0</v>
      </c>
      <c r="J10" s="17">
        <f>'2'!$G$18+'2'!$S$18</f>
        <v>0</v>
      </c>
      <c r="K10" s="17">
        <f>'2'!$BJ$18</f>
        <v>0</v>
      </c>
      <c r="L10" s="17">
        <f>'2'!$BK$18</f>
        <v>0</v>
      </c>
      <c r="M10" s="17">
        <f>'2'!$BL$18</f>
        <v>0</v>
      </c>
      <c r="N10" s="225"/>
      <c r="O10" s="17">
        <f>'2'!CC$18</f>
        <v>0</v>
      </c>
      <c r="P10" s="59" t="s">
        <v>227</v>
      </c>
    </row>
    <row r="11" spans="1:16" x14ac:dyDescent="0.35">
      <c r="A11" s="228"/>
      <c r="B11" s="242"/>
      <c r="C11" s="58">
        <v>5.75</v>
      </c>
      <c r="D11" s="231"/>
      <c r="E11" s="228"/>
      <c r="F11" s="228"/>
      <c r="G11" s="228"/>
      <c r="H11" s="17">
        <f>'2'!$E$24+'2'!$Q$24</f>
        <v>0</v>
      </c>
      <c r="I11" s="17">
        <f>'2'!$F$24+'2'!$R$24</f>
        <v>0</v>
      </c>
      <c r="J11" s="17">
        <f>'2'!$G$24+'2'!$S$24</f>
        <v>0</v>
      </c>
      <c r="K11" s="17">
        <f>'2'!$BJ$24</f>
        <v>0</v>
      </c>
      <c r="L11" s="17">
        <f>'2'!$BK$24</f>
        <v>0</v>
      </c>
      <c r="M11" s="17">
        <f>'2'!$BL$24</f>
        <v>0</v>
      </c>
      <c r="N11" s="228"/>
      <c r="O11" s="17">
        <f>'2'!CC$24</f>
        <v>0</v>
      </c>
      <c r="P11" s="59" t="s">
        <v>227</v>
      </c>
    </row>
    <row r="12" spans="1:16" x14ac:dyDescent="0.35">
      <c r="A12" s="224" t="s">
        <v>142</v>
      </c>
      <c r="B12" s="242">
        <v>46176</v>
      </c>
      <c r="C12" s="58">
        <v>9</v>
      </c>
      <c r="D12" s="229" t="s">
        <v>193</v>
      </c>
      <c r="E12" s="224" t="s">
        <v>194</v>
      </c>
      <c r="F12" s="224" t="s">
        <v>226</v>
      </c>
      <c r="G12" s="224" t="s">
        <v>195</v>
      </c>
      <c r="H12" s="17">
        <f>'3'!$E$6+'3'!$Q$6</f>
        <v>0</v>
      </c>
      <c r="I12" s="17">
        <f>'3'!$F$6+'3'!$R$6</f>
        <v>0</v>
      </c>
      <c r="J12" s="17">
        <f>'3'!$G$6+'3'!$S$6</f>
        <v>0</v>
      </c>
      <c r="K12" s="17">
        <f>'3'!$BJ$6</f>
        <v>0</v>
      </c>
      <c r="L12" s="17">
        <f>'3'!$BK$6</f>
        <v>0</v>
      </c>
      <c r="M12" s="17">
        <f>'3'!$BL$6</f>
        <v>0</v>
      </c>
      <c r="N12" s="224">
        <v>58</v>
      </c>
      <c r="O12" s="17">
        <f>'3'!CC$6</f>
        <v>0</v>
      </c>
      <c r="P12" s="59" t="s">
        <v>227</v>
      </c>
    </row>
    <row r="13" spans="1:16" x14ac:dyDescent="0.35">
      <c r="A13" s="225"/>
      <c r="B13" s="242"/>
      <c r="C13" s="58">
        <v>9.25</v>
      </c>
      <c r="D13" s="230"/>
      <c r="E13" s="225"/>
      <c r="F13" s="225"/>
      <c r="G13" s="225"/>
      <c r="H13" s="17">
        <f>'3'!$E$12+'3'!$Q$12</f>
        <v>0</v>
      </c>
      <c r="I13" s="17">
        <f>'3'!$F$12+'3'!$R$12</f>
        <v>0</v>
      </c>
      <c r="J13" s="17">
        <f>'3'!$G$12+'3'!$S$12</f>
        <v>0</v>
      </c>
      <c r="K13" s="17">
        <f>'3'!$BJ$12</f>
        <v>0</v>
      </c>
      <c r="L13" s="17">
        <f>'3'!$BK$12</f>
        <v>0</v>
      </c>
      <c r="M13" s="17">
        <f>'3'!$BL$12</f>
        <v>0</v>
      </c>
      <c r="N13" s="225"/>
      <c r="O13" s="17">
        <f>'3'!CC$12</f>
        <v>0</v>
      </c>
      <c r="P13" s="59" t="s">
        <v>227</v>
      </c>
    </row>
    <row r="14" spans="1:16" x14ac:dyDescent="0.35">
      <c r="A14" s="225"/>
      <c r="B14" s="242"/>
      <c r="C14" s="58">
        <v>9.5</v>
      </c>
      <c r="D14" s="230"/>
      <c r="E14" s="225"/>
      <c r="F14" s="225"/>
      <c r="G14" s="225"/>
      <c r="H14" s="17">
        <f>'3'!$E$18+'3'!$Q$18</f>
        <v>0</v>
      </c>
      <c r="I14" s="17">
        <f>'3'!$F$18+'3'!$R$18</f>
        <v>0</v>
      </c>
      <c r="J14" s="17">
        <f>'3'!$G$18+'3'!$S$18</f>
        <v>0</v>
      </c>
      <c r="K14" s="17">
        <f>'3'!$BJ$18</f>
        <v>0</v>
      </c>
      <c r="L14" s="17">
        <f>'3'!$BK$18</f>
        <v>0</v>
      </c>
      <c r="M14" s="17">
        <f>'3'!$BL$18</f>
        <v>0</v>
      </c>
      <c r="N14" s="225"/>
      <c r="O14" s="17">
        <f>'3'!CC$18</f>
        <v>0</v>
      </c>
      <c r="P14" s="59" t="s">
        <v>227</v>
      </c>
    </row>
    <row r="15" spans="1:16" x14ac:dyDescent="0.35">
      <c r="A15" s="228"/>
      <c r="B15" s="242"/>
      <c r="C15" s="58">
        <v>9.75</v>
      </c>
      <c r="D15" s="231"/>
      <c r="E15" s="228"/>
      <c r="F15" s="228"/>
      <c r="G15" s="228"/>
      <c r="H15" s="17">
        <f>'3'!$E$24+'3'!$Q$24</f>
        <v>0</v>
      </c>
      <c r="I15" s="17">
        <f>'3'!$F$24+'3'!$R$24</f>
        <v>0</v>
      </c>
      <c r="J15" s="17">
        <f>'3'!$G$24+'3'!$S$24</f>
        <v>0</v>
      </c>
      <c r="K15" s="17">
        <f>'3'!$BJ$24</f>
        <v>0</v>
      </c>
      <c r="L15" s="17">
        <f>'3'!$BK$24</f>
        <v>0</v>
      </c>
      <c r="M15" s="17">
        <f>'3'!$BL$24</f>
        <v>0</v>
      </c>
      <c r="N15" s="228"/>
      <c r="O15" s="17">
        <f>'3'!CC$24</f>
        <v>0</v>
      </c>
      <c r="P15" s="59" t="s">
        <v>227</v>
      </c>
    </row>
    <row r="16" spans="1:16" x14ac:dyDescent="0.35">
      <c r="A16" s="224" t="s">
        <v>142</v>
      </c>
      <c r="B16" s="242">
        <v>46177</v>
      </c>
      <c r="C16" s="58">
        <v>13</v>
      </c>
      <c r="D16" s="229" t="s">
        <v>193</v>
      </c>
      <c r="E16" s="224" t="s">
        <v>194</v>
      </c>
      <c r="F16" s="224" t="s">
        <v>226</v>
      </c>
      <c r="G16" s="224" t="s">
        <v>195</v>
      </c>
      <c r="H16" s="17">
        <f>'4'!$E$6+'4'!$Q$6</f>
        <v>0</v>
      </c>
      <c r="I16" s="17">
        <f>'4'!$F$6+'4'!$R$6</f>
        <v>0</v>
      </c>
      <c r="J16" s="17">
        <f>'4'!$G$6+'4'!$S$6</f>
        <v>0</v>
      </c>
      <c r="K16" s="17">
        <f>'4'!$BJ$6</f>
        <v>0</v>
      </c>
      <c r="L16" s="17">
        <f>'4'!$BK$6</f>
        <v>0</v>
      </c>
      <c r="M16" s="17">
        <f>'4'!$BL$6</f>
        <v>0</v>
      </c>
      <c r="N16" s="224">
        <v>58</v>
      </c>
      <c r="O16" s="17">
        <f>'4'!CC$6</f>
        <v>0</v>
      </c>
      <c r="P16" s="59" t="s">
        <v>227</v>
      </c>
    </row>
    <row r="17" spans="1:16" x14ac:dyDescent="0.35">
      <c r="A17" s="225"/>
      <c r="B17" s="242"/>
      <c r="C17" s="58">
        <v>13.25</v>
      </c>
      <c r="D17" s="230"/>
      <c r="E17" s="225"/>
      <c r="F17" s="225"/>
      <c r="G17" s="225"/>
      <c r="H17" s="17">
        <f>'4'!$E$12+'4'!$Q$12</f>
        <v>0</v>
      </c>
      <c r="I17" s="17">
        <f>'4'!$F$12+'4'!$R$12</f>
        <v>0</v>
      </c>
      <c r="J17" s="17">
        <f>'4'!$G$12+'4'!$S$12</f>
        <v>0</v>
      </c>
      <c r="K17" s="17">
        <f>'4'!$BJ$12</f>
        <v>0</v>
      </c>
      <c r="L17" s="17">
        <f>'4'!$BK$12</f>
        <v>0</v>
      </c>
      <c r="M17" s="17">
        <f>'4'!$BL$12</f>
        <v>0</v>
      </c>
      <c r="N17" s="225"/>
      <c r="O17" s="17">
        <f>'4'!CC$12</f>
        <v>0</v>
      </c>
      <c r="P17" s="59" t="s">
        <v>227</v>
      </c>
    </row>
    <row r="18" spans="1:16" x14ac:dyDescent="0.35">
      <c r="A18" s="225"/>
      <c r="B18" s="242"/>
      <c r="C18" s="58">
        <v>13.5</v>
      </c>
      <c r="D18" s="230"/>
      <c r="E18" s="225"/>
      <c r="F18" s="225"/>
      <c r="G18" s="225"/>
      <c r="H18" s="17">
        <f>'4'!$E$18+'4'!$Q$18</f>
        <v>0</v>
      </c>
      <c r="I18" s="17">
        <f>'4'!$F$18+'4'!$R$18</f>
        <v>0</v>
      </c>
      <c r="J18" s="17">
        <f>'4'!$G$18+'4'!$S$18</f>
        <v>0</v>
      </c>
      <c r="K18" s="17">
        <f>'4'!$BJ$18</f>
        <v>0</v>
      </c>
      <c r="L18" s="17">
        <f>'4'!$BK$18</f>
        <v>0</v>
      </c>
      <c r="M18" s="17">
        <f>'4'!$BL$18</f>
        <v>0</v>
      </c>
      <c r="N18" s="225"/>
      <c r="O18" s="17">
        <f>'4'!CC$18</f>
        <v>0</v>
      </c>
      <c r="P18" s="59" t="s">
        <v>227</v>
      </c>
    </row>
    <row r="19" spans="1:16" x14ac:dyDescent="0.35">
      <c r="A19" s="228"/>
      <c r="B19" s="242"/>
      <c r="C19" s="58">
        <v>13.75</v>
      </c>
      <c r="D19" s="231"/>
      <c r="E19" s="228"/>
      <c r="F19" s="228"/>
      <c r="G19" s="228"/>
      <c r="H19" s="17">
        <f>'4'!$E$24+'4'!$Q$24</f>
        <v>0</v>
      </c>
      <c r="I19" s="17">
        <f>'4'!$F$24+'4'!$R$24</f>
        <v>0</v>
      </c>
      <c r="J19" s="17">
        <f>'4'!$G$24+'4'!$S$24</f>
        <v>0</v>
      </c>
      <c r="K19" s="17">
        <f>'4'!$BJ$24</f>
        <v>0</v>
      </c>
      <c r="L19" s="17">
        <f>'4'!$BK$24</f>
        <v>0</v>
      </c>
      <c r="M19" s="17">
        <f>'4'!$BL$24</f>
        <v>0</v>
      </c>
      <c r="N19" s="228"/>
      <c r="O19" s="17">
        <f>'4'!CC$24</f>
        <v>0</v>
      </c>
      <c r="P19" s="59" t="s">
        <v>227</v>
      </c>
    </row>
    <row r="20" spans="1:16" x14ac:dyDescent="0.35">
      <c r="A20" s="224" t="s">
        <v>142</v>
      </c>
      <c r="B20" s="242">
        <v>46178</v>
      </c>
      <c r="C20" s="58">
        <v>17</v>
      </c>
      <c r="D20" s="229" t="s">
        <v>193</v>
      </c>
      <c r="E20" s="224" t="s">
        <v>194</v>
      </c>
      <c r="F20" s="224" t="s">
        <v>226</v>
      </c>
      <c r="G20" s="224" t="s">
        <v>195</v>
      </c>
      <c r="H20" s="17">
        <f>'5'!$E$6+'5'!$Q$6</f>
        <v>0</v>
      </c>
      <c r="I20" s="17">
        <f>'5'!$F$6+'5'!$R$6</f>
        <v>0</v>
      </c>
      <c r="J20" s="17">
        <f>'5'!$G$6+'5'!$S$6</f>
        <v>0</v>
      </c>
      <c r="K20" s="17">
        <f>'5'!$BJ$6</f>
        <v>0</v>
      </c>
      <c r="L20" s="17">
        <f>'5'!$BK$6</f>
        <v>0</v>
      </c>
      <c r="M20" s="17">
        <f>'5'!$BL$6</f>
        <v>0</v>
      </c>
      <c r="N20" s="224">
        <v>58</v>
      </c>
      <c r="O20" s="17">
        <f>'5'!CC$6</f>
        <v>0</v>
      </c>
      <c r="P20" s="59" t="s">
        <v>227</v>
      </c>
    </row>
    <row r="21" spans="1:16" x14ac:dyDescent="0.35">
      <c r="A21" s="225"/>
      <c r="B21" s="242"/>
      <c r="C21" s="58">
        <v>17.25</v>
      </c>
      <c r="D21" s="230"/>
      <c r="E21" s="225"/>
      <c r="F21" s="225"/>
      <c r="G21" s="225"/>
      <c r="H21" s="17">
        <f>'5'!$E$12+'5'!$Q$12</f>
        <v>0</v>
      </c>
      <c r="I21" s="17">
        <f>'5'!$F$12+'5'!$R$12</f>
        <v>0</v>
      </c>
      <c r="J21" s="17">
        <f>'5'!$G$12+'5'!$S$12</f>
        <v>0</v>
      </c>
      <c r="K21" s="17">
        <f>'5'!$BJ$12</f>
        <v>0</v>
      </c>
      <c r="L21" s="17">
        <f>'5'!$BK$12</f>
        <v>0</v>
      </c>
      <c r="M21" s="17">
        <f>'5'!$BL$12</f>
        <v>0</v>
      </c>
      <c r="N21" s="225"/>
      <c r="O21" s="17">
        <f>'5'!CC$12</f>
        <v>0</v>
      </c>
      <c r="P21" s="59" t="s">
        <v>227</v>
      </c>
    </row>
    <row r="22" spans="1:16" x14ac:dyDescent="0.35">
      <c r="A22" s="225"/>
      <c r="B22" s="242"/>
      <c r="C22" s="58">
        <v>17.5</v>
      </c>
      <c r="D22" s="230"/>
      <c r="E22" s="225"/>
      <c r="F22" s="225"/>
      <c r="G22" s="225"/>
      <c r="H22" s="17">
        <f>'5'!$E$18+'5'!$Q$18</f>
        <v>0</v>
      </c>
      <c r="I22" s="17">
        <f>'5'!$F$18+'5'!$R$18</f>
        <v>0</v>
      </c>
      <c r="J22" s="17">
        <f>'5'!$G$18+'5'!$S$18</f>
        <v>0</v>
      </c>
      <c r="K22" s="17">
        <f>'5'!$BJ$18</f>
        <v>0</v>
      </c>
      <c r="L22" s="17">
        <f>'5'!$BK$18</f>
        <v>0</v>
      </c>
      <c r="M22" s="17">
        <f>'5'!$BL$18</f>
        <v>0</v>
      </c>
      <c r="N22" s="225"/>
      <c r="O22" s="17">
        <f>'5'!CC$18</f>
        <v>0</v>
      </c>
      <c r="P22" s="59" t="s">
        <v>227</v>
      </c>
    </row>
    <row r="23" spans="1:16" x14ac:dyDescent="0.35">
      <c r="A23" s="228"/>
      <c r="B23" s="242"/>
      <c r="C23" s="58">
        <v>17.75</v>
      </c>
      <c r="D23" s="231"/>
      <c r="E23" s="228"/>
      <c r="F23" s="228"/>
      <c r="G23" s="228"/>
      <c r="H23" s="17">
        <f>'5'!$E$24+'5'!$Q$24</f>
        <v>0</v>
      </c>
      <c r="I23" s="17">
        <f>'5'!$F$24+'5'!$R$24</f>
        <v>0</v>
      </c>
      <c r="J23" s="17">
        <f>'5'!$G$24+'5'!$S$24</f>
        <v>0</v>
      </c>
      <c r="K23" s="17">
        <f>'5'!$BJ$24</f>
        <v>0</v>
      </c>
      <c r="L23" s="17">
        <f>'5'!$BK$24</f>
        <v>0</v>
      </c>
      <c r="M23" s="17">
        <f>'5'!$BL$24</f>
        <v>0</v>
      </c>
      <c r="N23" s="228"/>
      <c r="O23" s="17">
        <f>'5'!CC$24</f>
        <v>0</v>
      </c>
      <c r="P23" s="59" t="s">
        <v>227</v>
      </c>
    </row>
    <row r="24" spans="1:16" x14ac:dyDescent="0.35">
      <c r="A24" s="224" t="s">
        <v>142</v>
      </c>
      <c r="B24" s="242">
        <v>46179</v>
      </c>
      <c r="C24" s="58">
        <v>21</v>
      </c>
      <c r="D24" s="229" t="s">
        <v>193</v>
      </c>
      <c r="E24" s="224" t="s">
        <v>194</v>
      </c>
      <c r="F24" s="224" t="s">
        <v>226</v>
      </c>
      <c r="G24" s="224" t="s">
        <v>195</v>
      </c>
      <c r="H24" s="17">
        <f>'6'!$E$6+'6'!$Q$6</f>
        <v>0</v>
      </c>
      <c r="I24" s="17">
        <f>'6'!$F$6+'6'!$R$6</f>
        <v>0</v>
      </c>
      <c r="J24" s="17">
        <f>'6'!$G$6+'6'!$S$6</f>
        <v>0</v>
      </c>
      <c r="K24" s="17">
        <f>'6'!$BJ$6</f>
        <v>0</v>
      </c>
      <c r="L24" s="17">
        <f>'6'!$BK$6</f>
        <v>0</v>
      </c>
      <c r="M24" s="17">
        <f>'6'!$BL$6</f>
        <v>0</v>
      </c>
      <c r="N24" s="224">
        <v>58</v>
      </c>
      <c r="O24" s="17">
        <f>'6'!CC$6</f>
        <v>0</v>
      </c>
      <c r="P24" s="59" t="s">
        <v>227</v>
      </c>
    </row>
    <row r="25" spans="1:16" x14ac:dyDescent="0.35">
      <c r="A25" s="225"/>
      <c r="B25" s="242"/>
      <c r="C25" s="58">
        <v>21.25</v>
      </c>
      <c r="D25" s="230"/>
      <c r="E25" s="225"/>
      <c r="F25" s="225"/>
      <c r="G25" s="225"/>
      <c r="H25" s="17">
        <f>'6'!$E$12+'6'!$Q$12</f>
        <v>0</v>
      </c>
      <c r="I25" s="17">
        <f>'6'!$F$12+'6'!$R$12</f>
        <v>0</v>
      </c>
      <c r="J25" s="17">
        <f>'6'!$G$12+'6'!$S$12</f>
        <v>0</v>
      </c>
      <c r="K25" s="17">
        <f>'6'!$BJ$12</f>
        <v>0</v>
      </c>
      <c r="L25" s="17">
        <f>'6'!$BK$12</f>
        <v>0</v>
      </c>
      <c r="M25" s="17">
        <f>'6'!$BL$12</f>
        <v>0</v>
      </c>
      <c r="N25" s="225"/>
      <c r="O25" s="17">
        <f>'6'!CC$12</f>
        <v>0</v>
      </c>
      <c r="P25" s="59" t="s">
        <v>227</v>
      </c>
    </row>
    <row r="26" spans="1:16" x14ac:dyDescent="0.35">
      <c r="A26" s="225"/>
      <c r="B26" s="242"/>
      <c r="C26" s="58">
        <v>21.5</v>
      </c>
      <c r="D26" s="230"/>
      <c r="E26" s="225"/>
      <c r="F26" s="225"/>
      <c r="G26" s="225"/>
      <c r="H26" s="17">
        <f>'6'!$E$18+'6'!$Q$18</f>
        <v>0</v>
      </c>
      <c r="I26" s="17">
        <f>'6'!$F$18+'6'!$R$18</f>
        <v>0</v>
      </c>
      <c r="J26" s="17">
        <f>'6'!$G$18+'6'!$S$18</f>
        <v>0</v>
      </c>
      <c r="K26" s="17">
        <f>'6'!$BJ$18</f>
        <v>0</v>
      </c>
      <c r="L26" s="17">
        <f>'6'!$BK$18</f>
        <v>0</v>
      </c>
      <c r="M26" s="17">
        <f>'6'!$BL$18</f>
        <v>0</v>
      </c>
      <c r="N26" s="225"/>
      <c r="O26" s="17">
        <f>'6'!CC$18</f>
        <v>0</v>
      </c>
      <c r="P26" s="59" t="s">
        <v>227</v>
      </c>
    </row>
    <row r="27" spans="1:16" x14ac:dyDescent="0.35">
      <c r="A27" s="228"/>
      <c r="B27" s="242"/>
      <c r="C27" s="58">
        <v>21.75</v>
      </c>
      <c r="D27" s="231"/>
      <c r="E27" s="228"/>
      <c r="F27" s="228"/>
      <c r="G27" s="228"/>
      <c r="H27" s="17">
        <f>'6'!$E$24+'6'!$Q$24</f>
        <v>0</v>
      </c>
      <c r="I27" s="17">
        <f>'6'!$F$24+'6'!$R$24</f>
        <v>0</v>
      </c>
      <c r="J27" s="17">
        <f>'6'!$G$24+'6'!$S$24</f>
        <v>0</v>
      </c>
      <c r="K27" s="17">
        <f>'6'!$BJ$24</f>
        <v>0</v>
      </c>
      <c r="L27" s="17">
        <f>'6'!$BK$24</f>
        <v>0</v>
      </c>
      <c r="M27" s="17">
        <f>'6'!$BL$24</f>
        <v>0</v>
      </c>
      <c r="N27" s="228"/>
      <c r="O27" s="17">
        <f>'6'!CC$24</f>
        <v>0</v>
      </c>
      <c r="P27" s="59" t="s">
        <v>227</v>
      </c>
    </row>
    <row r="28" spans="1:16" x14ac:dyDescent="0.35">
      <c r="A28" s="224" t="s">
        <v>142</v>
      </c>
      <c r="B28" s="242">
        <v>46180</v>
      </c>
      <c r="C28" s="58">
        <v>25</v>
      </c>
      <c r="D28" s="229" t="s">
        <v>193</v>
      </c>
      <c r="E28" s="224" t="s">
        <v>194</v>
      </c>
      <c r="F28" s="224" t="s">
        <v>226</v>
      </c>
      <c r="G28" s="224" t="s">
        <v>195</v>
      </c>
      <c r="H28" s="17">
        <f>'7'!$E$6+'7'!$Q$6</f>
        <v>0</v>
      </c>
      <c r="I28" s="17">
        <f>'7'!$F$6+'7'!$R$6</f>
        <v>0</v>
      </c>
      <c r="J28" s="17">
        <f>'7'!$G$6+'7'!$S$6</f>
        <v>0</v>
      </c>
      <c r="K28" s="17">
        <f>'7'!$BJ$6</f>
        <v>0</v>
      </c>
      <c r="L28" s="17">
        <f>'7'!$BK$6</f>
        <v>0</v>
      </c>
      <c r="M28" s="17">
        <f>'7'!$BL$6</f>
        <v>0</v>
      </c>
      <c r="N28" s="224">
        <v>58</v>
      </c>
      <c r="O28" s="17">
        <f>'7'!CC$6</f>
        <v>0</v>
      </c>
      <c r="P28" s="59" t="s">
        <v>227</v>
      </c>
    </row>
    <row r="29" spans="1:16" x14ac:dyDescent="0.35">
      <c r="A29" s="225"/>
      <c r="B29" s="242"/>
      <c r="C29" s="58">
        <v>25.25</v>
      </c>
      <c r="D29" s="230"/>
      <c r="E29" s="225"/>
      <c r="F29" s="225"/>
      <c r="G29" s="225"/>
      <c r="H29" s="17">
        <f>'7'!$E$12+'7'!$Q$12</f>
        <v>0</v>
      </c>
      <c r="I29" s="17">
        <f>'7'!$F$12+'7'!$R$12</f>
        <v>0</v>
      </c>
      <c r="J29" s="17">
        <f>'7'!$G$12+'7'!$S$12</f>
        <v>0</v>
      </c>
      <c r="K29" s="17">
        <f>'7'!$BJ$12</f>
        <v>0</v>
      </c>
      <c r="L29" s="17">
        <f>'7'!$BK$12</f>
        <v>0</v>
      </c>
      <c r="M29" s="17">
        <f>'7'!$BL$12</f>
        <v>0</v>
      </c>
      <c r="N29" s="225"/>
      <c r="O29" s="17">
        <f>'7'!CC$12</f>
        <v>0</v>
      </c>
      <c r="P29" s="59" t="s">
        <v>227</v>
      </c>
    </row>
    <row r="30" spans="1:16" x14ac:dyDescent="0.35">
      <c r="A30" s="225"/>
      <c r="B30" s="242"/>
      <c r="C30" s="58">
        <v>25.5</v>
      </c>
      <c r="D30" s="230"/>
      <c r="E30" s="225"/>
      <c r="F30" s="225"/>
      <c r="G30" s="225"/>
      <c r="H30" s="17">
        <f>'7'!$E$18+'7'!$Q$18</f>
        <v>0</v>
      </c>
      <c r="I30" s="17">
        <f>'7'!$F$18+'7'!$R$18</f>
        <v>0</v>
      </c>
      <c r="J30" s="17">
        <f>'7'!$G$18+'7'!$S$18</f>
        <v>0</v>
      </c>
      <c r="K30" s="17">
        <f>'7'!$BJ$18</f>
        <v>0</v>
      </c>
      <c r="L30" s="17">
        <f>'7'!$BK$18</f>
        <v>0</v>
      </c>
      <c r="M30" s="17">
        <f>'7'!$BL$18</f>
        <v>0</v>
      </c>
      <c r="N30" s="225"/>
      <c r="O30" s="17">
        <f>'7'!CC$18</f>
        <v>0</v>
      </c>
      <c r="P30" s="59" t="s">
        <v>227</v>
      </c>
    </row>
    <row r="31" spans="1:16" x14ac:dyDescent="0.35">
      <c r="A31" s="228"/>
      <c r="B31" s="242"/>
      <c r="C31" s="58">
        <v>25.75</v>
      </c>
      <c r="D31" s="231"/>
      <c r="E31" s="228"/>
      <c r="F31" s="228"/>
      <c r="G31" s="228"/>
      <c r="H31" s="17">
        <f>'7'!$E$24+'7'!$Q$24</f>
        <v>0</v>
      </c>
      <c r="I31" s="17">
        <f>'7'!$F$24+'7'!$R$24</f>
        <v>0</v>
      </c>
      <c r="J31" s="17">
        <f>'7'!$G$24+'7'!$S$24</f>
        <v>0</v>
      </c>
      <c r="K31" s="17">
        <f>'7'!$BJ$24</f>
        <v>0</v>
      </c>
      <c r="L31" s="17">
        <f>'7'!$BK$24</f>
        <v>0</v>
      </c>
      <c r="M31" s="17">
        <f>'7'!$BL$24</f>
        <v>0</v>
      </c>
      <c r="N31" s="228"/>
      <c r="O31" s="17">
        <f>'7'!CC$24</f>
        <v>0</v>
      </c>
      <c r="P31" s="59" t="s">
        <v>227</v>
      </c>
    </row>
    <row r="32" spans="1:16" x14ac:dyDescent="0.35">
      <c r="A32" s="224" t="s">
        <v>142</v>
      </c>
      <c r="B32" s="242">
        <v>46181</v>
      </c>
      <c r="C32" s="58">
        <v>29</v>
      </c>
      <c r="D32" s="229" t="s">
        <v>193</v>
      </c>
      <c r="E32" s="224" t="s">
        <v>194</v>
      </c>
      <c r="F32" s="224" t="s">
        <v>226</v>
      </c>
      <c r="G32" s="224" t="s">
        <v>195</v>
      </c>
      <c r="H32" s="17">
        <f>'8'!$E$6+'8'!$Q$6</f>
        <v>0</v>
      </c>
      <c r="I32" s="17">
        <f>'8'!$F$6+'8'!$R$6</f>
        <v>0</v>
      </c>
      <c r="J32" s="17">
        <f>'8'!$G$6+'8'!$S$6</f>
        <v>0</v>
      </c>
      <c r="K32" s="17">
        <f>'8'!$BJ$6</f>
        <v>0</v>
      </c>
      <c r="L32" s="17">
        <f>'8'!$BK$6</f>
        <v>0</v>
      </c>
      <c r="M32" s="17">
        <f>'8'!$BL$6</f>
        <v>0</v>
      </c>
      <c r="N32" s="224">
        <v>58</v>
      </c>
      <c r="O32" s="17">
        <f>'8'!CC$6</f>
        <v>0</v>
      </c>
      <c r="P32" s="59" t="s">
        <v>227</v>
      </c>
    </row>
    <row r="33" spans="1:16" x14ac:dyDescent="0.35">
      <c r="A33" s="225"/>
      <c r="B33" s="242"/>
      <c r="C33" s="58">
        <v>29.25</v>
      </c>
      <c r="D33" s="230"/>
      <c r="E33" s="225"/>
      <c r="F33" s="225"/>
      <c r="G33" s="225"/>
      <c r="H33" s="17">
        <f>'8'!$E$12+'8'!$Q$12</f>
        <v>0</v>
      </c>
      <c r="I33" s="17">
        <f>'8'!$F$12+'8'!$R$12</f>
        <v>0</v>
      </c>
      <c r="J33" s="17">
        <f>'8'!$G$12+'8'!$S$12</f>
        <v>0</v>
      </c>
      <c r="K33" s="17">
        <f>'8'!$BJ$12</f>
        <v>0</v>
      </c>
      <c r="L33" s="17">
        <f>'8'!$BK$12</f>
        <v>0</v>
      </c>
      <c r="M33" s="17">
        <f>'8'!$BL$12</f>
        <v>0</v>
      </c>
      <c r="N33" s="225"/>
      <c r="O33" s="17">
        <f>'8'!CC$12</f>
        <v>0</v>
      </c>
      <c r="P33" s="59" t="s">
        <v>227</v>
      </c>
    </row>
    <row r="34" spans="1:16" x14ac:dyDescent="0.35">
      <c r="A34" s="225"/>
      <c r="B34" s="242"/>
      <c r="C34" s="58">
        <v>29.5</v>
      </c>
      <c r="D34" s="230"/>
      <c r="E34" s="225"/>
      <c r="F34" s="225"/>
      <c r="G34" s="225"/>
      <c r="H34" s="17">
        <f>'8'!$E$18+'8'!$Q$18</f>
        <v>0</v>
      </c>
      <c r="I34" s="17">
        <f>'8'!$F$18+'8'!$R$18</f>
        <v>0</v>
      </c>
      <c r="J34" s="17">
        <f>'8'!$G$18+'8'!$S$18</f>
        <v>0</v>
      </c>
      <c r="K34" s="17">
        <f>'8'!$BJ$18</f>
        <v>0</v>
      </c>
      <c r="L34" s="17">
        <f>'8'!$BK$18</f>
        <v>0</v>
      </c>
      <c r="M34" s="17">
        <f>'8'!$BL$18</f>
        <v>0</v>
      </c>
      <c r="N34" s="225"/>
      <c r="O34" s="17">
        <f>'8'!CC$18</f>
        <v>0</v>
      </c>
      <c r="P34" s="59" t="s">
        <v>227</v>
      </c>
    </row>
    <row r="35" spans="1:16" x14ac:dyDescent="0.35">
      <c r="A35" s="228"/>
      <c r="B35" s="242"/>
      <c r="C35" s="58">
        <v>29.75</v>
      </c>
      <c r="D35" s="231"/>
      <c r="E35" s="228"/>
      <c r="F35" s="228"/>
      <c r="G35" s="228"/>
      <c r="H35" s="17">
        <f>'8'!$E$24+'8'!$Q$24</f>
        <v>0</v>
      </c>
      <c r="I35" s="17">
        <f>'8'!$F$24+'8'!$R$24</f>
        <v>0</v>
      </c>
      <c r="J35" s="17">
        <f>'8'!$G$24+'8'!$S$24</f>
        <v>0</v>
      </c>
      <c r="K35" s="17">
        <f>'8'!$BJ$24</f>
        <v>0</v>
      </c>
      <c r="L35" s="17">
        <f>'8'!$BK$24</f>
        <v>0</v>
      </c>
      <c r="M35" s="17">
        <f>'8'!$BL$24</f>
        <v>0</v>
      </c>
      <c r="N35" s="228"/>
      <c r="O35" s="17">
        <f>'8'!CC$24</f>
        <v>0</v>
      </c>
      <c r="P35" s="59" t="s">
        <v>227</v>
      </c>
    </row>
    <row r="36" spans="1:16" x14ac:dyDescent="0.35">
      <c r="A36" s="224" t="s">
        <v>142</v>
      </c>
      <c r="B36" s="242">
        <v>46182</v>
      </c>
      <c r="C36" s="58">
        <v>33</v>
      </c>
      <c r="D36" s="229" t="s">
        <v>193</v>
      </c>
      <c r="E36" s="224" t="s">
        <v>194</v>
      </c>
      <c r="F36" s="224" t="s">
        <v>226</v>
      </c>
      <c r="G36" s="224" t="s">
        <v>195</v>
      </c>
      <c r="H36" s="17">
        <f>'9'!$E$6+'9'!$Q$6</f>
        <v>404</v>
      </c>
      <c r="I36" s="17">
        <f>'9'!$F$6+'9'!$R$6</f>
        <v>404</v>
      </c>
      <c r="J36" s="17">
        <f>'9'!$G$6+'9'!$S$6</f>
        <v>405</v>
      </c>
      <c r="K36" s="17">
        <f>'9'!$BJ$6</f>
        <v>0</v>
      </c>
      <c r="L36" s="17">
        <f>'9'!$BK$6</f>
        <v>0</v>
      </c>
      <c r="M36" s="17">
        <f>'9'!$BL$6</f>
        <v>0</v>
      </c>
      <c r="N36" s="224">
        <v>58</v>
      </c>
      <c r="O36" s="17">
        <f>'9'!CC$6</f>
        <v>0</v>
      </c>
      <c r="P36" s="59" t="s">
        <v>227</v>
      </c>
    </row>
    <row r="37" spans="1:16" x14ac:dyDescent="0.35">
      <c r="A37" s="225"/>
      <c r="B37" s="242"/>
      <c r="C37" s="58">
        <v>33.25</v>
      </c>
      <c r="D37" s="230"/>
      <c r="E37" s="225"/>
      <c r="F37" s="225"/>
      <c r="G37" s="225"/>
      <c r="H37" s="17">
        <f>'9'!$E$12+'9'!$Q$12</f>
        <v>408</v>
      </c>
      <c r="I37" s="17">
        <f>'9'!$F$12+'9'!$R$12</f>
        <v>408</v>
      </c>
      <c r="J37" s="17">
        <f>'9'!$G$12+'9'!$S$12</f>
        <v>408</v>
      </c>
      <c r="K37" s="17">
        <f>'9'!$BJ$12</f>
        <v>0</v>
      </c>
      <c r="L37" s="17">
        <f>'9'!$BK$12</f>
        <v>0</v>
      </c>
      <c r="M37" s="17">
        <f>'9'!$BL$12</f>
        <v>0</v>
      </c>
      <c r="N37" s="225"/>
      <c r="O37" s="17">
        <f>'9'!CC$12</f>
        <v>0</v>
      </c>
      <c r="P37" s="59" t="s">
        <v>227</v>
      </c>
    </row>
    <row r="38" spans="1:16" x14ac:dyDescent="0.35">
      <c r="A38" s="225"/>
      <c r="B38" s="242"/>
      <c r="C38" s="58">
        <v>33.5</v>
      </c>
      <c r="D38" s="230"/>
      <c r="E38" s="225"/>
      <c r="F38" s="225"/>
      <c r="G38" s="225"/>
      <c r="H38" s="17">
        <f>'9'!$E$18+'9'!$Q$18</f>
        <v>410</v>
      </c>
      <c r="I38" s="17">
        <f>'9'!$F$18+'9'!$R$18</f>
        <v>411</v>
      </c>
      <c r="J38" s="17">
        <f>'9'!$G$18+'9'!$S$18</f>
        <v>412</v>
      </c>
      <c r="K38" s="17">
        <f>'9'!$BJ$18</f>
        <v>0</v>
      </c>
      <c r="L38" s="17">
        <f>'9'!$BK$18</f>
        <v>0</v>
      </c>
      <c r="M38" s="17">
        <f>'9'!$BL$18</f>
        <v>0</v>
      </c>
      <c r="N38" s="225"/>
      <c r="O38" s="17">
        <f>'9'!CC$18</f>
        <v>0</v>
      </c>
      <c r="P38" s="59" t="s">
        <v>227</v>
      </c>
    </row>
    <row r="39" spans="1:16" x14ac:dyDescent="0.35">
      <c r="A39" s="228"/>
      <c r="B39" s="242"/>
      <c r="C39" s="58">
        <v>33.75</v>
      </c>
      <c r="D39" s="231"/>
      <c r="E39" s="228"/>
      <c r="F39" s="228"/>
      <c r="G39" s="228"/>
      <c r="H39" s="17">
        <f>'9'!$E$24+'9'!$Q$24</f>
        <v>408</v>
      </c>
      <c r="I39" s="17">
        <f>'9'!$F$24+'9'!$R$24</f>
        <v>409</v>
      </c>
      <c r="J39" s="17">
        <f>'9'!$G$24+'9'!$S$24</f>
        <v>409</v>
      </c>
      <c r="K39" s="17">
        <f>'9'!$BJ$24</f>
        <v>0</v>
      </c>
      <c r="L39" s="17">
        <f>'9'!$BK$24</f>
        <v>0</v>
      </c>
      <c r="M39" s="17">
        <f>'9'!$BL$24</f>
        <v>0</v>
      </c>
      <c r="N39" s="228"/>
      <c r="O39" s="17">
        <f>'9'!CC$24</f>
        <v>0</v>
      </c>
      <c r="P39" s="59" t="s">
        <v>227</v>
      </c>
    </row>
    <row r="40" spans="1:16" x14ac:dyDescent="0.35">
      <c r="A40" s="224" t="s">
        <v>142</v>
      </c>
      <c r="B40" s="242">
        <v>46183</v>
      </c>
      <c r="C40" s="58">
        <v>37</v>
      </c>
      <c r="D40" s="229" t="s">
        <v>193</v>
      </c>
      <c r="E40" s="224" t="s">
        <v>194</v>
      </c>
      <c r="F40" s="224" t="s">
        <v>226</v>
      </c>
      <c r="G40" s="224" t="s">
        <v>195</v>
      </c>
      <c r="H40" s="17">
        <f>'10'!$E$6+'10'!$Q$6</f>
        <v>0</v>
      </c>
      <c r="I40" s="17">
        <f>'10'!$F$6+'10'!$R$6</f>
        <v>0</v>
      </c>
      <c r="J40" s="17">
        <f>'10'!$G$6+'10'!$S$6</f>
        <v>0</v>
      </c>
      <c r="K40" s="17">
        <f>'10'!$BJ$6</f>
        <v>0</v>
      </c>
      <c r="L40" s="17">
        <f>'10'!$BK$6</f>
        <v>0</v>
      </c>
      <c r="M40" s="17">
        <f>'10'!$BL$6</f>
        <v>0</v>
      </c>
      <c r="N40" s="224">
        <v>58</v>
      </c>
      <c r="O40" s="17">
        <f>'10'!CC$6</f>
        <v>0</v>
      </c>
      <c r="P40" s="59" t="s">
        <v>227</v>
      </c>
    </row>
    <row r="41" spans="1:16" x14ac:dyDescent="0.35">
      <c r="A41" s="225"/>
      <c r="B41" s="242"/>
      <c r="C41" s="58">
        <v>37.25</v>
      </c>
      <c r="D41" s="230"/>
      <c r="E41" s="225"/>
      <c r="F41" s="225"/>
      <c r="G41" s="225"/>
      <c r="H41" s="17">
        <f>'10'!$E$12+'10'!$Q$12</f>
        <v>0</v>
      </c>
      <c r="I41" s="17">
        <f>'10'!$F$12+'10'!$R$12</f>
        <v>0</v>
      </c>
      <c r="J41" s="17">
        <f>'10'!$G$12+'10'!$S$12</f>
        <v>0</v>
      </c>
      <c r="K41" s="17">
        <f>'10'!$BJ$12</f>
        <v>0</v>
      </c>
      <c r="L41" s="17">
        <f>'10'!$BK$12</f>
        <v>0</v>
      </c>
      <c r="M41" s="17">
        <f>'10'!$BL$12</f>
        <v>0</v>
      </c>
      <c r="N41" s="225"/>
      <c r="O41" s="17">
        <f>'10'!CC$12</f>
        <v>0</v>
      </c>
      <c r="P41" s="59" t="s">
        <v>227</v>
      </c>
    </row>
    <row r="42" spans="1:16" x14ac:dyDescent="0.35">
      <c r="A42" s="225"/>
      <c r="B42" s="242"/>
      <c r="C42" s="58">
        <v>37.5</v>
      </c>
      <c r="D42" s="230"/>
      <c r="E42" s="225"/>
      <c r="F42" s="225"/>
      <c r="G42" s="225"/>
      <c r="H42" s="17">
        <f>'10'!$E$18+'10'!$Q$18</f>
        <v>0</v>
      </c>
      <c r="I42" s="17">
        <f>'10'!$F$18+'10'!$R$18</f>
        <v>0</v>
      </c>
      <c r="J42" s="17">
        <f>'10'!$G$18+'10'!$S$18</f>
        <v>0</v>
      </c>
      <c r="K42" s="17">
        <f>'10'!$BJ$18</f>
        <v>0</v>
      </c>
      <c r="L42" s="17">
        <f>'10'!$BK$18</f>
        <v>0</v>
      </c>
      <c r="M42" s="17">
        <f>'10'!$BL$18</f>
        <v>0</v>
      </c>
      <c r="N42" s="225"/>
      <c r="O42" s="17">
        <f>'10'!CC$18</f>
        <v>0</v>
      </c>
      <c r="P42" s="59" t="s">
        <v>227</v>
      </c>
    </row>
    <row r="43" spans="1:16" x14ac:dyDescent="0.35">
      <c r="A43" s="228"/>
      <c r="B43" s="242"/>
      <c r="C43" s="58">
        <v>37.75</v>
      </c>
      <c r="D43" s="231"/>
      <c r="E43" s="228"/>
      <c r="F43" s="228"/>
      <c r="G43" s="228"/>
      <c r="H43" s="17">
        <f>'10'!$E$24+'10'!$Q$24</f>
        <v>0</v>
      </c>
      <c r="I43" s="17">
        <f>'10'!$F$24+'10'!$R$24</f>
        <v>0</v>
      </c>
      <c r="J43" s="17">
        <f>'10'!$G$24+'10'!$S$24</f>
        <v>0</v>
      </c>
      <c r="K43" s="17">
        <f>'10'!$BJ$24</f>
        <v>0</v>
      </c>
      <c r="L43" s="17">
        <f>'10'!$BK$24</f>
        <v>0</v>
      </c>
      <c r="M43" s="17">
        <f>'10'!$BL$24</f>
        <v>0</v>
      </c>
      <c r="N43" s="228"/>
      <c r="O43" s="17">
        <f>'10'!CC$24</f>
        <v>0</v>
      </c>
      <c r="P43" s="59" t="s">
        <v>227</v>
      </c>
    </row>
    <row r="44" spans="1:16" x14ac:dyDescent="0.35">
      <c r="A44" s="224" t="s">
        <v>142</v>
      </c>
      <c r="B44" s="242">
        <v>46184</v>
      </c>
      <c r="C44" s="58">
        <v>41</v>
      </c>
      <c r="D44" s="229" t="s">
        <v>193</v>
      </c>
      <c r="E44" s="224" t="s">
        <v>194</v>
      </c>
      <c r="F44" s="224" t="s">
        <v>226</v>
      </c>
      <c r="G44" s="224" t="s">
        <v>195</v>
      </c>
      <c r="H44" s="17">
        <f>'11'!$E$6+'11'!$Q$6</f>
        <v>0</v>
      </c>
      <c r="I44" s="17">
        <f>'11'!$F$6+'11'!$R$6</f>
        <v>0</v>
      </c>
      <c r="J44" s="17">
        <f>'11'!$G$6+'11'!$S$6</f>
        <v>0</v>
      </c>
      <c r="K44" s="17">
        <f>'11'!$BJ$6</f>
        <v>0</v>
      </c>
      <c r="L44" s="17">
        <f>'11'!$BK$6</f>
        <v>0</v>
      </c>
      <c r="M44" s="17">
        <f>'11'!$BL$6</f>
        <v>0</v>
      </c>
      <c r="N44" s="224">
        <v>58</v>
      </c>
      <c r="O44" s="17">
        <f>'11'!CC$6</f>
        <v>0</v>
      </c>
      <c r="P44" s="59" t="s">
        <v>227</v>
      </c>
    </row>
    <row r="45" spans="1:16" x14ac:dyDescent="0.35">
      <c r="A45" s="225"/>
      <c r="B45" s="242"/>
      <c r="C45" s="58">
        <v>41.25</v>
      </c>
      <c r="D45" s="230"/>
      <c r="E45" s="225"/>
      <c r="F45" s="225"/>
      <c r="G45" s="225"/>
      <c r="H45" s="17">
        <f>'11'!$E$12+'11'!$Q$12</f>
        <v>0</v>
      </c>
      <c r="I45" s="17">
        <f>'11'!$F$12+'11'!$R$12</f>
        <v>0</v>
      </c>
      <c r="J45" s="17">
        <f>'11'!$G$12+'11'!$S$12</f>
        <v>0</v>
      </c>
      <c r="K45" s="17">
        <f>'11'!$BJ$12</f>
        <v>0</v>
      </c>
      <c r="L45" s="17">
        <f>'11'!$BK$12</f>
        <v>0</v>
      </c>
      <c r="M45" s="17">
        <f>'11'!$BL$12</f>
        <v>0</v>
      </c>
      <c r="N45" s="225"/>
      <c r="O45" s="17">
        <f>'11'!CC$12</f>
        <v>0</v>
      </c>
      <c r="P45" s="59" t="s">
        <v>227</v>
      </c>
    </row>
    <row r="46" spans="1:16" x14ac:dyDescent="0.35">
      <c r="A46" s="225"/>
      <c r="B46" s="242"/>
      <c r="C46" s="58">
        <v>41.5</v>
      </c>
      <c r="D46" s="230"/>
      <c r="E46" s="225"/>
      <c r="F46" s="225"/>
      <c r="G46" s="225"/>
      <c r="H46" s="17">
        <f>'11'!$E$18+'11'!$Q$18</f>
        <v>0</v>
      </c>
      <c r="I46" s="17">
        <f>'11'!$F$18+'11'!$R$18</f>
        <v>0</v>
      </c>
      <c r="J46" s="17">
        <f>'11'!$G$18+'11'!$S$18</f>
        <v>0</v>
      </c>
      <c r="K46" s="17">
        <f>'11'!$BJ$18</f>
        <v>0</v>
      </c>
      <c r="L46" s="17">
        <f>'11'!$BK$18</f>
        <v>0</v>
      </c>
      <c r="M46" s="17">
        <f>'11'!$BL$18</f>
        <v>0</v>
      </c>
      <c r="N46" s="225"/>
      <c r="O46" s="17">
        <f>'11'!CC$18</f>
        <v>0</v>
      </c>
      <c r="P46" s="59" t="s">
        <v>227</v>
      </c>
    </row>
    <row r="47" spans="1:16" x14ac:dyDescent="0.35">
      <c r="A47" s="228"/>
      <c r="B47" s="242"/>
      <c r="C47" s="58">
        <v>41.75</v>
      </c>
      <c r="D47" s="231"/>
      <c r="E47" s="228"/>
      <c r="F47" s="228"/>
      <c r="G47" s="228"/>
      <c r="H47" s="17">
        <f>'11'!$E$24+'11'!$Q$24</f>
        <v>0</v>
      </c>
      <c r="I47" s="17">
        <f>'11'!$F$24+'11'!$R$24</f>
        <v>0</v>
      </c>
      <c r="J47" s="17">
        <f>'11'!$G$24+'11'!$S$24</f>
        <v>0</v>
      </c>
      <c r="K47" s="17">
        <f>'11'!$BJ$24</f>
        <v>0</v>
      </c>
      <c r="L47" s="17">
        <f>'11'!$BK$24</f>
        <v>0</v>
      </c>
      <c r="M47" s="17">
        <f>'11'!$BL$24</f>
        <v>0</v>
      </c>
      <c r="N47" s="228"/>
      <c r="O47" s="17">
        <f>'11'!CC$24</f>
        <v>0</v>
      </c>
      <c r="P47" s="59" t="s">
        <v>227</v>
      </c>
    </row>
    <row r="48" spans="1:16" x14ac:dyDescent="0.35">
      <c r="A48" s="224" t="s">
        <v>142</v>
      </c>
      <c r="B48" s="242">
        <v>46185</v>
      </c>
      <c r="C48" s="58">
        <v>45</v>
      </c>
      <c r="D48" s="229" t="s">
        <v>193</v>
      </c>
      <c r="E48" s="224" t="s">
        <v>194</v>
      </c>
      <c r="F48" s="224" t="s">
        <v>226</v>
      </c>
      <c r="G48" s="224" t="s">
        <v>195</v>
      </c>
      <c r="H48" s="17">
        <f>'12'!$E$6+'12'!$Q$6</f>
        <v>0</v>
      </c>
      <c r="I48" s="17">
        <f>'12'!$F$6+'12'!$R$6</f>
        <v>0</v>
      </c>
      <c r="J48" s="17">
        <f>'12'!$G$6+'12'!$S$6</f>
        <v>0</v>
      </c>
      <c r="K48" s="17">
        <f>'12'!$BJ$6</f>
        <v>0</v>
      </c>
      <c r="L48" s="17">
        <f>'12'!$BK$6</f>
        <v>0</v>
      </c>
      <c r="M48" s="17">
        <f>'12'!$BL$6</f>
        <v>0</v>
      </c>
      <c r="N48" s="224">
        <v>58</v>
      </c>
      <c r="O48" s="17">
        <f>'12'!CC$6</f>
        <v>0</v>
      </c>
      <c r="P48" s="59" t="s">
        <v>227</v>
      </c>
    </row>
    <row r="49" spans="1:16" x14ac:dyDescent="0.35">
      <c r="A49" s="225"/>
      <c r="B49" s="242"/>
      <c r="C49" s="58">
        <v>45.25</v>
      </c>
      <c r="D49" s="230"/>
      <c r="E49" s="225"/>
      <c r="F49" s="225"/>
      <c r="G49" s="225"/>
      <c r="H49" s="17">
        <f>'12'!$E$12+'12'!$Q$12</f>
        <v>0</v>
      </c>
      <c r="I49" s="17">
        <f>'12'!$F$12+'12'!$R$12</f>
        <v>0</v>
      </c>
      <c r="J49" s="17">
        <f>'12'!$G$12+'12'!$S$12</f>
        <v>0</v>
      </c>
      <c r="K49" s="17">
        <f>'12'!$BJ$12</f>
        <v>0</v>
      </c>
      <c r="L49" s="17">
        <f>'12'!$BK$12</f>
        <v>0</v>
      </c>
      <c r="M49" s="17">
        <f>'12'!$BL$12</f>
        <v>0</v>
      </c>
      <c r="N49" s="225"/>
      <c r="O49" s="17">
        <f>'12'!CC$12</f>
        <v>0</v>
      </c>
      <c r="P49" s="59" t="s">
        <v>227</v>
      </c>
    </row>
    <row r="50" spans="1:16" x14ac:dyDescent="0.35">
      <c r="A50" s="225"/>
      <c r="B50" s="242"/>
      <c r="C50" s="58">
        <v>45.5</v>
      </c>
      <c r="D50" s="230"/>
      <c r="E50" s="225"/>
      <c r="F50" s="225"/>
      <c r="G50" s="225"/>
      <c r="H50" s="17">
        <f>'12'!$E$18+'12'!$Q$18</f>
        <v>0</v>
      </c>
      <c r="I50" s="17">
        <f>'12'!$F$18+'12'!$R$18</f>
        <v>0</v>
      </c>
      <c r="J50" s="17">
        <f>'12'!$G$18+'12'!$S$18</f>
        <v>0</v>
      </c>
      <c r="K50" s="17">
        <f>'12'!$BJ$18</f>
        <v>0</v>
      </c>
      <c r="L50" s="17">
        <f>'12'!$BK$18</f>
        <v>0</v>
      </c>
      <c r="M50" s="17">
        <f>'12'!$BL$18</f>
        <v>0</v>
      </c>
      <c r="N50" s="225"/>
      <c r="O50" s="17">
        <f>'12'!CC$18</f>
        <v>0</v>
      </c>
      <c r="P50" s="59" t="s">
        <v>227</v>
      </c>
    </row>
    <row r="51" spans="1:16" x14ac:dyDescent="0.35">
      <c r="A51" s="228"/>
      <c r="B51" s="242"/>
      <c r="C51" s="58">
        <v>45.75</v>
      </c>
      <c r="D51" s="231"/>
      <c r="E51" s="228"/>
      <c r="F51" s="228"/>
      <c r="G51" s="228"/>
      <c r="H51" s="17">
        <f>'12'!$E$24+'12'!$Q$24</f>
        <v>0</v>
      </c>
      <c r="I51" s="17">
        <f>'12'!$F$24+'12'!$R$24</f>
        <v>0</v>
      </c>
      <c r="J51" s="17">
        <f>'12'!$G$24+'12'!$S$24</f>
        <v>0</v>
      </c>
      <c r="K51" s="17">
        <f>'12'!$BJ$24</f>
        <v>0</v>
      </c>
      <c r="L51" s="17">
        <f>'12'!$BK$24</f>
        <v>0</v>
      </c>
      <c r="M51" s="17">
        <f>'12'!$BL$24</f>
        <v>0</v>
      </c>
      <c r="N51" s="228"/>
      <c r="O51" s="17">
        <f>'12'!CC$24</f>
        <v>0</v>
      </c>
      <c r="P51" s="59" t="s">
        <v>227</v>
      </c>
    </row>
    <row r="52" spans="1:16" x14ac:dyDescent="0.35">
      <c r="A52" s="224" t="s">
        <v>142</v>
      </c>
      <c r="B52" s="242">
        <v>46186</v>
      </c>
      <c r="C52" s="58">
        <v>49</v>
      </c>
      <c r="D52" s="229" t="s">
        <v>193</v>
      </c>
      <c r="E52" s="224" t="s">
        <v>194</v>
      </c>
      <c r="F52" s="224" t="s">
        <v>226</v>
      </c>
      <c r="G52" s="224" t="s">
        <v>195</v>
      </c>
      <c r="H52" s="17">
        <f>'13'!$E$6+'13'!$Q$6</f>
        <v>0</v>
      </c>
      <c r="I52" s="17">
        <f>'13'!$F$6+'13'!$R$6</f>
        <v>0</v>
      </c>
      <c r="J52" s="17">
        <f>'13'!$G$6+'13'!$S$6</f>
        <v>0</v>
      </c>
      <c r="K52" s="17">
        <f>'13'!$BJ$6</f>
        <v>0</v>
      </c>
      <c r="L52" s="17">
        <f>'13'!$BK$6</f>
        <v>0</v>
      </c>
      <c r="M52" s="17">
        <f>'13'!$BL$6</f>
        <v>0</v>
      </c>
      <c r="N52" s="224">
        <v>58</v>
      </c>
      <c r="O52" s="17">
        <f>'13'!CC$6</f>
        <v>0</v>
      </c>
      <c r="P52" s="59" t="s">
        <v>227</v>
      </c>
    </row>
    <row r="53" spans="1:16" x14ac:dyDescent="0.35">
      <c r="A53" s="225"/>
      <c r="B53" s="242"/>
      <c r="C53" s="58">
        <v>49.25</v>
      </c>
      <c r="D53" s="230"/>
      <c r="E53" s="225"/>
      <c r="F53" s="225"/>
      <c r="G53" s="225"/>
      <c r="H53" s="17">
        <f>'13'!$E$12+'13'!$Q$12</f>
        <v>0</v>
      </c>
      <c r="I53" s="17">
        <f>'13'!$F$12+'13'!$R$12</f>
        <v>0</v>
      </c>
      <c r="J53" s="17">
        <f>'13'!$G$12+'13'!$S$12</f>
        <v>0</v>
      </c>
      <c r="K53" s="17">
        <f>'13'!$BJ$12</f>
        <v>0</v>
      </c>
      <c r="L53" s="17">
        <f>'13'!$BK$12</f>
        <v>0</v>
      </c>
      <c r="M53" s="17">
        <f>'13'!$BL$12</f>
        <v>0</v>
      </c>
      <c r="N53" s="225"/>
      <c r="O53" s="17">
        <f>'13'!CC$12</f>
        <v>0</v>
      </c>
      <c r="P53" s="59" t="s">
        <v>227</v>
      </c>
    </row>
    <row r="54" spans="1:16" x14ac:dyDescent="0.35">
      <c r="A54" s="225"/>
      <c r="B54" s="242"/>
      <c r="C54" s="58">
        <v>49.5</v>
      </c>
      <c r="D54" s="230"/>
      <c r="E54" s="225"/>
      <c r="F54" s="225"/>
      <c r="G54" s="225"/>
      <c r="H54" s="17">
        <f>'13'!$E$18+'13'!$Q$18</f>
        <v>0</v>
      </c>
      <c r="I54" s="17">
        <f>'13'!$F$18+'13'!$R$18</f>
        <v>0</v>
      </c>
      <c r="J54" s="17">
        <f>'13'!$G$18+'13'!$S$18</f>
        <v>0</v>
      </c>
      <c r="K54" s="17">
        <f>'13'!$BJ$18</f>
        <v>0</v>
      </c>
      <c r="L54" s="17">
        <f>'13'!$BK$18</f>
        <v>0</v>
      </c>
      <c r="M54" s="17">
        <f>'13'!$BL$18</f>
        <v>0</v>
      </c>
      <c r="N54" s="225"/>
      <c r="O54" s="17">
        <f>'13'!CC$18</f>
        <v>0</v>
      </c>
      <c r="P54" s="59" t="s">
        <v>227</v>
      </c>
    </row>
    <row r="55" spans="1:16" x14ac:dyDescent="0.35">
      <c r="A55" s="228"/>
      <c r="B55" s="242"/>
      <c r="C55" s="58">
        <v>49.75</v>
      </c>
      <c r="D55" s="231"/>
      <c r="E55" s="228"/>
      <c r="F55" s="228"/>
      <c r="G55" s="228"/>
      <c r="H55" s="17">
        <f>'13'!$E$24+'13'!$Q$24</f>
        <v>0</v>
      </c>
      <c r="I55" s="17">
        <f>'13'!$F$24+'13'!$R$24</f>
        <v>0</v>
      </c>
      <c r="J55" s="17">
        <f>'13'!$G$24+'13'!$S$24</f>
        <v>0</v>
      </c>
      <c r="K55" s="17">
        <f>'13'!$BJ$24</f>
        <v>0</v>
      </c>
      <c r="L55" s="17">
        <f>'13'!$BK$24</f>
        <v>0</v>
      </c>
      <c r="M55" s="17">
        <f>'13'!$BL$24</f>
        <v>0</v>
      </c>
      <c r="N55" s="228"/>
      <c r="O55" s="17">
        <f>'13'!CC$24</f>
        <v>0</v>
      </c>
      <c r="P55" s="59" t="s">
        <v>227</v>
      </c>
    </row>
    <row r="56" spans="1:16" x14ac:dyDescent="0.35">
      <c r="A56" s="224" t="s">
        <v>142</v>
      </c>
      <c r="B56" s="242">
        <v>46187</v>
      </c>
      <c r="C56" s="58">
        <v>53</v>
      </c>
      <c r="D56" s="229" t="s">
        <v>193</v>
      </c>
      <c r="E56" s="224" t="s">
        <v>194</v>
      </c>
      <c r="F56" s="224" t="s">
        <v>226</v>
      </c>
      <c r="G56" s="224" t="s">
        <v>195</v>
      </c>
      <c r="H56" s="17">
        <f>'14'!$E$6+'14'!$Q$6</f>
        <v>0</v>
      </c>
      <c r="I56" s="17">
        <f>'14'!$F$6+'14'!$R$6</f>
        <v>0</v>
      </c>
      <c r="J56" s="17">
        <f>'14'!$G$6+'14'!$S$6</f>
        <v>0</v>
      </c>
      <c r="K56" s="17">
        <f>'14'!$BJ$6</f>
        <v>0</v>
      </c>
      <c r="L56" s="17">
        <f>'14'!$BK$6</f>
        <v>0</v>
      </c>
      <c r="M56" s="17">
        <f>'14'!$BL$6</f>
        <v>0</v>
      </c>
      <c r="N56" s="224">
        <v>58</v>
      </c>
      <c r="O56" s="17">
        <f>'14'!CC$6</f>
        <v>0</v>
      </c>
      <c r="P56" s="59" t="s">
        <v>227</v>
      </c>
    </row>
    <row r="57" spans="1:16" x14ac:dyDescent="0.35">
      <c r="A57" s="225"/>
      <c r="B57" s="242"/>
      <c r="C57" s="58">
        <v>53.25</v>
      </c>
      <c r="D57" s="230"/>
      <c r="E57" s="225"/>
      <c r="F57" s="225"/>
      <c r="G57" s="225"/>
      <c r="H57" s="17">
        <f>'14'!$E$12+'14'!$Q$12</f>
        <v>0</v>
      </c>
      <c r="I57" s="17">
        <f>'14'!$F$12+'14'!$R$12</f>
        <v>0</v>
      </c>
      <c r="J57" s="17">
        <f>'14'!$G$12+'14'!$S$12</f>
        <v>0</v>
      </c>
      <c r="K57" s="17">
        <f>'14'!$BJ$12</f>
        <v>0</v>
      </c>
      <c r="L57" s="17">
        <f>'14'!$BK$12</f>
        <v>0</v>
      </c>
      <c r="M57" s="17">
        <f>'14'!$BL$12</f>
        <v>0</v>
      </c>
      <c r="N57" s="225"/>
      <c r="O57" s="17">
        <f>'14'!CC$12</f>
        <v>0</v>
      </c>
      <c r="P57" s="59" t="s">
        <v>227</v>
      </c>
    </row>
    <row r="58" spans="1:16" x14ac:dyDescent="0.35">
      <c r="A58" s="225"/>
      <c r="B58" s="242"/>
      <c r="C58" s="58">
        <v>53.5</v>
      </c>
      <c r="D58" s="230"/>
      <c r="E58" s="225"/>
      <c r="F58" s="225"/>
      <c r="G58" s="225"/>
      <c r="H58" s="17">
        <f>'14'!$E$18+'14'!$Q$18</f>
        <v>0</v>
      </c>
      <c r="I58" s="17">
        <f>'14'!$F$18+'14'!$R$18</f>
        <v>0</v>
      </c>
      <c r="J58" s="17">
        <f>'14'!$G$18+'14'!$S$18</f>
        <v>0</v>
      </c>
      <c r="K58" s="17">
        <f>'14'!$BJ$18</f>
        <v>0</v>
      </c>
      <c r="L58" s="17">
        <f>'14'!$BK$18</f>
        <v>0</v>
      </c>
      <c r="M58" s="17">
        <f>'14'!$BL$18</f>
        <v>0</v>
      </c>
      <c r="N58" s="225"/>
      <c r="O58" s="17">
        <f>'14'!CC$18</f>
        <v>0</v>
      </c>
      <c r="P58" s="59" t="s">
        <v>227</v>
      </c>
    </row>
    <row r="59" spans="1:16" x14ac:dyDescent="0.35">
      <c r="A59" s="228"/>
      <c r="B59" s="242"/>
      <c r="C59" s="58">
        <v>53.75</v>
      </c>
      <c r="D59" s="231"/>
      <c r="E59" s="228"/>
      <c r="F59" s="228"/>
      <c r="G59" s="228"/>
      <c r="H59" s="17">
        <f>'14'!$E$24+'14'!$Q$24</f>
        <v>0</v>
      </c>
      <c r="I59" s="17">
        <f>'14'!$F$24+'14'!$R$24</f>
        <v>0</v>
      </c>
      <c r="J59" s="17">
        <f>'14'!$G$24+'14'!$S$24</f>
        <v>0</v>
      </c>
      <c r="K59" s="17">
        <f>'14'!$BJ$24</f>
        <v>0</v>
      </c>
      <c r="L59" s="17">
        <f>'14'!$BK$24</f>
        <v>0</v>
      </c>
      <c r="M59" s="17">
        <f>'14'!$BL$24</f>
        <v>0</v>
      </c>
      <c r="N59" s="228"/>
      <c r="O59" s="17">
        <f>'14'!CC$24</f>
        <v>0</v>
      </c>
      <c r="P59" s="59" t="s">
        <v>227</v>
      </c>
    </row>
    <row r="60" spans="1:16" x14ac:dyDescent="0.35">
      <c r="A60" s="224" t="s">
        <v>142</v>
      </c>
      <c r="B60" s="242">
        <v>46188</v>
      </c>
      <c r="C60" s="58">
        <v>57</v>
      </c>
      <c r="D60" s="229" t="s">
        <v>193</v>
      </c>
      <c r="E60" s="224" t="s">
        <v>194</v>
      </c>
      <c r="F60" s="224" t="s">
        <v>226</v>
      </c>
      <c r="G60" s="224" t="s">
        <v>195</v>
      </c>
      <c r="H60" s="17">
        <f>'15'!$E$6+'15'!$Q$6</f>
        <v>0</v>
      </c>
      <c r="I60" s="17">
        <f>'15'!$F$6+'15'!$R$6</f>
        <v>0</v>
      </c>
      <c r="J60" s="17">
        <f>'15'!$G$6+'15'!$S$6</f>
        <v>0</v>
      </c>
      <c r="K60" s="17">
        <f>'15'!$BJ$6</f>
        <v>0</v>
      </c>
      <c r="L60" s="17">
        <f>'15'!$BK$6</f>
        <v>0</v>
      </c>
      <c r="M60" s="17">
        <f>'15'!$BL$6</f>
        <v>0</v>
      </c>
      <c r="N60" s="224">
        <v>58</v>
      </c>
      <c r="O60" s="17">
        <f>'15'!$CC$6</f>
        <v>0</v>
      </c>
      <c r="P60" s="59" t="s">
        <v>227</v>
      </c>
    </row>
    <row r="61" spans="1:16" x14ac:dyDescent="0.35">
      <c r="A61" s="225"/>
      <c r="B61" s="242"/>
      <c r="C61" s="58">
        <v>57.25</v>
      </c>
      <c r="D61" s="230"/>
      <c r="E61" s="225"/>
      <c r="F61" s="225"/>
      <c r="G61" s="225"/>
      <c r="H61" s="17">
        <f>'15'!$E$12+'15'!$Q$12</f>
        <v>0</v>
      </c>
      <c r="I61" s="17">
        <f>'15'!$F$12+'15'!$R$12</f>
        <v>0</v>
      </c>
      <c r="J61" s="17">
        <f>'15'!$G$12+'15'!$S$12</f>
        <v>0</v>
      </c>
      <c r="K61" s="17">
        <f>'15'!$BJ$12</f>
        <v>0</v>
      </c>
      <c r="L61" s="17">
        <f>'15'!$BK$12</f>
        <v>0</v>
      </c>
      <c r="M61" s="17">
        <f>'15'!$BL$12</f>
        <v>0</v>
      </c>
      <c r="N61" s="225"/>
      <c r="O61" s="17">
        <f>'15'!$CC$12</f>
        <v>0</v>
      </c>
      <c r="P61" s="59" t="s">
        <v>227</v>
      </c>
    </row>
    <row r="62" spans="1:16" x14ac:dyDescent="0.35">
      <c r="A62" s="225"/>
      <c r="B62" s="242"/>
      <c r="C62" s="58">
        <v>57.5</v>
      </c>
      <c r="D62" s="230"/>
      <c r="E62" s="225"/>
      <c r="F62" s="225"/>
      <c r="G62" s="225"/>
      <c r="H62" s="17">
        <f>'15'!$E$18+'15'!$Q$18</f>
        <v>0</v>
      </c>
      <c r="I62" s="17">
        <f>'15'!$F$18+'15'!$R$18</f>
        <v>0</v>
      </c>
      <c r="J62" s="17">
        <f>'15'!$G$18+'15'!$S$18</f>
        <v>0</v>
      </c>
      <c r="K62" s="17">
        <f>'15'!$BJ$18</f>
        <v>0</v>
      </c>
      <c r="L62" s="17">
        <f>'15'!$BK$18</f>
        <v>0</v>
      </c>
      <c r="M62" s="17">
        <f>'15'!$BL$18</f>
        <v>0</v>
      </c>
      <c r="N62" s="225"/>
      <c r="O62" s="17">
        <f>'15'!$CC$18</f>
        <v>0</v>
      </c>
      <c r="P62" s="59" t="s">
        <v>227</v>
      </c>
    </row>
    <row r="63" spans="1:16" x14ac:dyDescent="0.35">
      <c r="A63" s="228"/>
      <c r="B63" s="242"/>
      <c r="C63" s="58">
        <v>57.75</v>
      </c>
      <c r="D63" s="231"/>
      <c r="E63" s="228"/>
      <c r="F63" s="228"/>
      <c r="G63" s="228"/>
      <c r="H63" s="17">
        <f>'15'!$E$24+'15'!$Q$24</f>
        <v>0</v>
      </c>
      <c r="I63" s="17">
        <f>'15'!$F$24+'15'!$R$24</f>
        <v>0</v>
      </c>
      <c r="J63" s="17">
        <f>'15'!$G$24+'15'!$S$24</f>
        <v>0</v>
      </c>
      <c r="K63" s="17">
        <f>'15'!$BJ$24</f>
        <v>0</v>
      </c>
      <c r="L63" s="17">
        <f>'15'!$BK$24</f>
        <v>0</v>
      </c>
      <c r="M63" s="17">
        <f>'15'!$BL$24</f>
        <v>0</v>
      </c>
      <c r="N63" s="228"/>
      <c r="O63" s="17">
        <f>'15'!$CC$24</f>
        <v>0</v>
      </c>
      <c r="P63" s="59" t="s">
        <v>227</v>
      </c>
    </row>
    <row r="64" spans="1:16" x14ac:dyDescent="0.35">
      <c r="A64" s="224" t="s">
        <v>142</v>
      </c>
      <c r="B64" s="242">
        <v>46189</v>
      </c>
      <c r="C64" s="58">
        <v>61</v>
      </c>
      <c r="D64" s="229" t="s">
        <v>193</v>
      </c>
      <c r="E64" s="224" t="s">
        <v>194</v>
      </c>
      <c r="F64" s="224" t="s">
        <v>226</v>
      </c>
      <c r="G64" s="224" t="s">
        <v>195</v>
      </c>
      <c r="H64" s="17">
        <f>'16'!$E$6+'16'!$Q$6</f>
        <v>0</v>
      </c>
      <c r="I64" s="17">
        <f>'16'!$F$6+'16'!$R$6</f>
        <v>0</v>
      </c>
      <c r="J64" s="17">
        <f>'16'!$G$6+'16'!$S$6</f>
        <v>0</v>
      </c>
      <c r="K64" s="17">
        <f>'16'!$BJ$6</f>
        <v>0</v>
      </c>
      <c r="L64" s="17">
        <f>'16'!$BK$6</f>
        <v>0</v>
      </c>
      <c r="M64" s="17">
        <f>'16'!$BL$6</f>
        <v>0</v>
      </c>
      <c r="N64" s="224">
        <v>58</v>
      </c>
      <c r="O64" s="17">
        <f>'16'!$CC$6</f>
        <v>0</v>
      </c>
      <c r="P64" s="59" t="s">
        <v>227</v>
      </c>
    </row>
    <row r="65" spans="1:16" x14ac:dyDescent="0.35">
      <c r="A65" s="225"/>
      <c r="B65" s="242"/>
      <c r="C65" s="58">
        <v>61.25</v>
      </c>
      <c r="D65" s="230"/>
      <c r="E65" s="225"/>
      <c r="F65" s="225"/>
      <c r="G65" s="225"/>
      <c r="H65" s="17">
        <f>'16'!$E$12+'16'!$Q$12</f>
        <v>0</v>
      </c>
      <c r="I65" s="17">
        <f>'16'!$F$12+'16'!$R$12</f>
        <v>0</v>
      </c>
      <c r="J65" s="17">
        <f>'16'!$G$12+'16'!$S$12</f>
        <v>0</v>
      </c>
      <c r="K65" s="17">
        <f>'16'!$BJ$12</f>
        <v>0</v>
      </c>
      <c r="L65" s="17">
        <f>'16'!$BK$12</f>
        <v>0</v>
      </c>
      <c r="M65" s="17">
        <f>'16'!$BL$12</f>
        <v>0</v>
      </c>
      <c r="N65" s="225"/>
      <c r="O65" s="17">
        <f>'16'!$CC$12</f>
        <v>0</v>
      </c>
      <c r="P65" s="59" t="s">
        <v>227</v>
      </c>
    </row>
    <row r="66" spans="1:16" x14ac:dyDescent="0.35">
      <c r="A66" s="225"/>
      <c r="B66" s="242"/>
      <c r="C66" s="58">
        <v>61.5</v>
      </c>
      <c r="D66" s="230"/>
      <c r="E66" s="225"/>
      <c r="F66" s="225"/>
      <c r="G66" s="225"/>
      <c r="H66" s="17">
        <f>'16'!$E$18+'16'!$Q$18</f>
        <v>0</v>
      </c>
      <c r="I66" s="17">
        <f>'16'!$F$18+'16'!$R$18</f>
        <v>0</v>
      </c>
      <c r="J66" s="17">
        <f>'16'!$G$18+'16'!$S$18</f>
        <v>0</v>
      </c>
      <c r="K66" s="17">
        <f>'16'!$BJ$18</f>
        <v>0</v>
      </c>
      <c r="L66" s="17">
        <f>'16'!$BK$18</f>
        <v>0</v>
      </c>
      <c r="M66" s="17">
        <f>'16'!$BL$18</f>
        <v>0</v>
      </c>
      <c r="N66" s="225"/>
      <c r="O66" s="17">
        <f>'16'!$CC$18</f>
        <v>0</v>
      </c>
      <c r="P66" s="59" t="s">
        <v>227</v>
      </c>
    </row>
    <row r="67" spans="1:16" x14ac:dyDescent="0.35">
      <c r="A67" s="228"/>
      <c r="B67" s="242"/>
      <c r="C67" s="58">
        <v>61.75</v>
      </c>
      <c r="D67" s="231"/>
      <c r="E67" s="228"/>
      <c r="F67" s="228"/>
      <c r="G67" s="228"/>
      <c r="H67" s="17">
        <f>'16'!$E$24+'16'!$Q$24</f>
        <v>0</v>
      </c>
      <c r="I67" s="17">
        <f>'16'!$F$24+'16'!$R$24</f>
        <v>0</v>
      </c>
      <c r="J67" s="17">
        <f>'16'!$G$24+'16'!$S$24</f>
        <v>0</v>
      </c>
      <c r="K67" s="17">
        <f>'16'!$BJ$24</f>
        <v>0</v>
      </c>
      <c r="L67" s="17">
        <f>'16'!$BK$24</f>
        <v>0</v>
      </c>
      <c r="M67" s="17">
        <f>'16'!$BL$24</f>
        <v>0</v>
      </c>
      <c r="N67" s="228"/>
      <c r="O67" s="17">
        <f>'16'!$CC$24</f>
        <v>0</v>
      </c>
      <c r="P67" s="59" t="s">
        <v>227</v>
      </c>
    </row>
    <row r="68" spans="1:16" x14ac:dyDescent="0.35">
      <c r="A68" s="224" t="s">
        <v>142</v>
      </c>
      <c r="B68" s="242">
        <v>46190</v>
      </c>
      <c r="C68" s="58">
        <v>65</v>
      </c>
      <c r="D68" s="229" t="s">
        <v>193</v>
      </c>
      <c r="E68" s="224" t="s">
        <v>194</v>
      </c>
      <c r="F68" s="224" t="s">
        <v>226</v>
      </c>
      <c r="G68" s="224" t="s">
        <v>195</v>
      </c>
      <c r="H68" s="17">
        <f>'17'!$E$6+'17'!$Q$6</f>
        <v>0</v>
      </c>
      <c r="I68" s="17">
        <f>'17'!$F$6+'17'!$R$6</f>
        <v>0</v>
      </c>
      <c r="J68" s="17">
        <f>'17'!$G$6+'17'!$S$6</f>
        <v>0</v>
      </c>
      <c r="K68" s="17">
        <f>'17'!$BJ$6</f>
        <v>0</v>
      </c>
      <c r="L68" s="17">
        <f>'17'!$BK$6</f>
        <v>0</v>
      </c>
      <c r="M68" s="17">
        <f>'17'!$BL$6</f>
        <v>0</v>
      </c>
      <c r="N68" s="224">
        <v>58</v>
      </c>
      <c r="O68" s="17">
        <f>'17'!$CC$6</f>
        <v>0</v>
      </c>
      <c r="P68" s="59" t="s">
        <v>227</v>
      </c>
    </row>
    <row r="69" spans="1:16" x14ac:dyDescent="0.35">
      <c r="A69" s="225"/>
      <c r="B69" s="242"/>
      <c r="C69" s="58">
        <v>65.25</v>
      </c>
      <c r="D69" s="230"/>
      <c r="E69" s="225"/>
      <c r="F69" s="225"/>
      <c r="G69" s="225"/>
      <c r="H69" s="17">
        <f>'17'!$E$12+'17'!$Q$12</f>
        <v>0</v>
      </c>
      <c r="I69" s="17">
        <f>'17'!$F$12+'17'!$R$12</f>
        <v>0</v>
      </c>
      <c r="J69" s="17">
        <f>'17'!$G$12+'17'!$S$12</f>
        <v>0</v>
      </c>
      <c r="K69" s="17">
        <f>'17'!$BJ$12</f>
        <v>0</v>
      </c>
      <c r="L69" s="17">
        <f>'17'!$BK$12</f>
        <v>0</v>
      </c>
      <c r="M69" s="17">
        <f>'17'!$BL$12</f>
        <v>0</v>
      </c>
      <c r="N69" s="225"/>
      <c r="O69" s="17">
        <f>'17'!$CC$12</f>
        <v>0</v>
      </c>
      <c r="P69" s="59" t="s">
        <v>227</v>
      </c>
    </row>
    <row r="70" spans="1:16" x14ac:dyDescent="0.35">
      <c r="A70" s="225"/>
      <c r="B70" s="242"/>
      <c r="C70" s="58">
        <v>65.5</v>
      </c>
      <c r="D70" s="230"/>
      <c r="E70" s="225"/>
      <c r="F70" s="225"/>
      <c r="G70" s="225"/>
      <c r="H70" s="17">
        <f>'17'!$E$18+'17'!$Q$18</f>
        <v>0</v>
      </c>
      <c r="I70" s="17">
        <f>'17'!$F$18+'17'!$R$18</f>
        <v>0</v>
      </c>
      <c r="J70" s="17">
        <f>'17'!$G$18+'17'!$S$18</f>
        <v>0</v>
      </c>
      <c r="K70" s="17">
        <f>'17'!$BJ$18</f>
        <v>0</v>
      </c>
      <c r="L70" s="17">
        <f>'17'!$BK$18</f>
        <v>0</v>
      </c>
      <c r="M70" s="17">
        <f>'17'!$BL$18</f>
        <v>0</v>
      </c>
      <c r="N70" s="225"/>
      <c r="O70" s="17">
        <f>'17'!$CC$18</f>
        <v>0</v>
      </c>
      <c r="P70" s="59" t="s">
        <v>227</v>
      </c>
    </row>
    <row r="71" spans="1:16" x14ac:dyDescent="0.35">
      <c r="A71" s="228"/>
      <c r="B71" s="242"/>
      <c r="C71" s="58">
        <v>65.75</v>
      </c>
      <c r="D71" s="231"/>
      <c r="E71" s="228"/>
      <c r="F71" s="228"/>
      <c r="G71" s="228"/>
      <c r="H71" s="17">
        <f>'17'!$E$24+'17'!$Q$24</f>
        <v>0</v>
      </c>
      <c r="I71" s="17">
        <f>'17'!$F$24+'17'!$R$24</f>
        <v>0</v>
      </c>
      <c r="J71" s="17">
        <f>'17'!$G$24+'17'!$S$24</f>
        <v>0</v>
      </c>
      <c r="K71" s="17">
        <f>'17'!$BJ$24</f>
        <v>0</v>
      </c>
      <c r="L71" s="17">
        <f>'17'!$BK$24</f>
        <v>0</v>
      </c>
      <c r="M71" s="17">
        <f>'17'!$BL$24</f>
        <v>0</v>
      </c>
      <c r="N71" s="228"/>
      <c r="O71" s="17">
        <f>'17'!$CC$24</f>
        <v>0</v>
      </c>
      <c r="P71" s="59" t="s">
        <v>227</v>
      </c>
    </row>
    <row r="72" spans="1:16" x14ac:dyDescent="0.35">
      <c r="A72" s="224" t="s">
        <v>142</v>
      </c>
      <c r="B72" s="242">
        <v>46191</v>
      </c>
      <c r="C72" s="58">
        <v>69</v>
      </c>
      <c r="D72" s="229" t="s">
        <v>193</v>
      </c>
      <c r="E72" s="224" t="s">
        <v>194</v>
      </c>
      <c r="F72" s="224" t="s">
        <v>226</v>
      </c>
      <c r="G72" s="224" t="s">
        <v>195</v>
      </c>
      <c r="H72" s="17">
        <f>'18'!$E$6+'18'!$Q$6</f>
        <v>0</v>
      </c>
      <c r="I72" s="17">
        <f>'18'!$F$6+'18'!$R$6</f>
        <v>0</v>
      </c>
      <c r="J72" s="17">
        <f>'18'!$G$6+'18'!$S$6</f>
        <v>0</v>
      </c>
      <c r="K72" s="17">
        <f>'18'!$BJ$6</f>
        <v>0</v>
      </c>
      <c r="L72" s="17">
        <f>'18'!$BK$6</f>
        <v>0</v>
      </c>
      <c r="M72" s="17">
        <f>'18'!$BL$6</f>
        <v>0</v>
      </c>
      <c r="N72" s="224">
        <v>58</v>
      </c>
      <c r="O72" s="17">
        <f>'18'!$CC$6</f>
        <v>0</v>
      </c>
      <c r="P72" s="59" t="s">
        <v>227</v>
      </c>
    </row>
    <row r="73" spans="1:16" x14ac:dyDescent="0.35">
      <c r="A73" s="225"/>
      <c r="B73" s="242"/>
      <c r="C73" s="58">
        <v>69.25</v>
      </c>
      <c r="D73" s="230"/>
      <c r="E73" s="225"/>
      <c r="F73" s="225"/>
      <c r="G73" s="225"/>
      <c r="H73" s="17">
        <f>'18'!$E$12+'18'!$Q$12</f>
        <v>0</v>
      </c>
      <c r="I73" s="17">
        <f>'18'!$F$12+'18'!$R$12</f>
        <v>0</v>
      </c>
      <c r="J73" s="17">
        <f>'18'!$G$12+'18'!$S$12</f>
        <v>0</v>
      </c>
      <c r="K73" s="17">
        <f>'18'!$BJ$12</f>
        <v>0</v>
      </c>
      <c r="L73" s="17">
        <f>'18'!$BK$12</f>
        <v>0</v>
      </c>
      <c r="M73" s="17">
        <f>'18'!$BL$12</f>
        <v>0</v>
      </c>
      <c r="N73" s="225"/>
      <c r="O73" s="17">
        <f>'18'!$CC$12</f>
        <v>0</v>
      </c>
      <c r="P73" s="59" t="s">
        <v>227</v>
      </c>
    </row>
    <row r="74" spans="1:16" x14ac:dyDescent="0.35">
      <c r="A74" s="225"/>
      <c r="B74" s="242"/>
      <c r="C74" s="58">
        <v>69.5</v>
      </c>
      <c r="D74" s="230"/>
      <c r="E74" s="225"/>
      <c r="F74" s="225"/>
      <c r="G74" s="225"/>
      <c r="H74" s="17">
        <f>'18'!$E$18+'18'!$Q$18</f>
        <v>0</v>
      </c>
      <c r="I74" s="17">
        <f>'18'!$F$18+'18'!$R$18</f>
        <v>0</v>
      </c>
      <c r="J74" s="17">
        <f>'18'!$G$18+'18'!$S$18</f>
        <v>0</v>
      </c>
      <c r="K74" s="17">
        <f>'18'!$BJ$18</f>
        <v>0</v>
      </c>
      <c r="L74" s="17">
        <f>'18'!$BK$18</f>
        <v>0</v>
      </c>
      <c r="M74" s="17">
        <f>'18'!$BL$18</f>
        <v>0</v>
      </c>
      <c r="N74" s="225"/>
      <c r="O74" s="17">
        <f>'18'!$CC$18</f>
        <v>0</v>
      </c>
      <c r="P74" s="59" t="s">
        <v>227</v>
      </c>
    </row>
    <row r="75" spans="1:16" x14ac:dyDescent="0.35">
      <c r="A75" s="228"/>
      <c r="B75" s="242"/>
      <c r="C75" s="58">
        <v>69.75</v>
      </c>
      <c r="D75" s="231"/>
      <c r="E75" s="228"/>
      <c r="F75" s="228"/>
      <c r="G75" s="228"/>
      <c r="H75" s="17">
        <f>'18'!$E$24+'18'!$Q$24</f>
        <v>0</v>
      </c>
      <c r="I75" s="17">
        <f>'18'!$F$24+'18'!$R$24</f>
        <v>0</v>
      </c>
      <c r="J75" s="17">
        <f>'18'!$G$24+'18'!$S$24</f>
        <v>0</v>
      </c>
      <c r="K75" s="17">
        <f>'18'!$BJ$24</f>
        <v>0</v>
      </c>
      <c r="L75" s="17">
        <f>'18'!$BK$24</f>
        <v>0</v>
      </c>
      <c r="M75" s="17">
        <f>'18'!$BL$24</f>
        <v>0</v>
      </c>
      <c r="N75" s="228"/>
      <c r="O75" s="17">
        <f>'18'!$CC$24</f>
        <v>0</v>
      </c>
      <c r="P75" s="59" t="s">
        <v>227</v>
      </c>
    </row>
    <row r="76" spans="1:16" x14ac:dyDescent="0.35">
      <c r="A76" s="224" t="s">
        <v>142</v>
      </c>
      <c r="B76" s="242">
        <v>46192</v>
      </c>
      <c r="C76" s="58">
        <v>73</v>
      </c>
      <c r="D76" s="229" t="s">
        <v>193</v>
      </c>
      <c r="E76" s="224" t="s">
        <v>194</v>
      </c>
      <c r="F76" s="224" t="s">
        <v>226</v>
      </c>
      <c r="G76" s="224" t="s">
        <v>195</v>
      </c>
      <c r="H76" s="17">
        <f>'19'!$E$6+'19'!$Q$6</f>
        <v>0</v>
      </c>
      <c r="I76" s="17">
        <f>'19'!$F$6+'19'!$R$6</f>
        <v>0</v>
      </c>
      <c r="J76" s="17">
        <f>'19'!$G$6+'19'!$S$6</f>
        <v>0</v>
      </c>
      <c r="K76" s="17">
        <f>'19'!$BJ$6</f>
        <v>0</v>
      </c>
      <c r="L76" s="17">
        <f>'19'!$BK$6</f>
        <v>0</v>
      </c>
      <c r="M76" s="17">
        <f>'19'!$BL$6</f>
        <v>0</v>
      </c>
      <c r="N76" s="224">
        <v>58</v>
      </c>
      <c r="O76" s="17">
        <f>'19'!$CC$6</f>
        <v>0</v>
      </c>
      <c r="P76" s="59" t="s">
        <v>227</v>
      </c>
    </row>
    <row r="77" spans="1:16" x14ac:dyDescent="0.35">
      <c r="A77" s="225"/>
      <c r="B77" s="242"/>
      <c r="C77" s="58">
        <v>73.25</v>
      </c>
      <c r="D77" s="230"/>
      <c r="E77" s="225"/>
      <c r="F77" s="225"/>
      <c r="G77" s="225"/>
      <c r="H77" s="17">
        <f>'19'!$E$12+'19'!$Q$12</f>
        <v>0</v>
      </c>
      <c r="I77" s="17">
        <f>'19'!$F$12+'19'!$R$12</f>
        <v>0</v>
      </c>
      <c r="J77" s="17">
        <f>'19'!$G$12+'19'!$S$12</f>
        <v>0</v>
      </c>
      <c r="K77" s="17">
        <f>'19'!$BJ$12</f>
        <v>0</v>
      </c>
      <c r="L77" s="17">
        <f>'19'!$BK$12</f>
        <v>0</v>
      </c>
      <c r="M77" s="17">
        <f>'19'!$BL$12</f>
        <v>0</v>
      </c>
      <c r="N77" s="225"/>
      <c r="O77" s="17">
        <f>'19'!$CC$12</f>
        <v>0</v>
      </c>
      <c r="P77" s="59" t="s">
        <v>227</v>
      </c>
    </row>
    <row r="78" spans="1:16" x14ac:dyDescent="0.35">
      <c r="A78" s="225"/>
      <c r="B78" s="242"/>
      <c r="C78" s="58">
        <v>73.5</v>
      </c>
      <c r="D78" s="230"/>
      <c r="E78" s="225"/>
      <c r="F78" s="225"/>
      <c r="G78" s="225"/>
      <c r="H78" s="17">
        <f>'19'!$E$18+'19'!$Q$18</f>
        <v>0</v>
      </c>
      <c r="I78" s="17">
        <f>'19'!$F$18+'19'!$R$18</f>
        <v>0</v>
      </c>
      <c r="J78" s="17">
        <f>'19'!$G$18+'19'!$S$18</f>
        <v>0</v>
      </c>
      <c r="K78" s="17">
        <f>'19'!$BJ$18</f>
        <v>0</v>
      </c>
      <c r="L78" s="17">
        <f>'19'!$BK$18</f>
        <v>0</v>
      </c>
      <c r="M78" s="17">
        <f>'19'!$BL$18</f>
        <v>0</v>
      </c>
      <c r="N78" s="225"/>
      <c r="O78" s="17">
        <f>'19'!$CC$18</f>
        <v>0</v>
      </c>
      <c r="P78" s="59" t="s">
        <v>227</v>
      </c>
    </row>
    <row r="79" spans="1:16" x14ac:dyDescent="0.35">
      <c r="A79" s="228"/>
      <c r="B79" s="242"/>
      <c r="C79" s="58">
        <v>73.75</v>
      </c>
      <c r="D79" s="231"/>
      <c r="E79" s="228"/>
      <c r="F79" s="228"/>
      <c r="G79" s="228"/>
      <c r="H79" s="17">
        <f>'19'!$E$24+'19'!$Q$24</f>
        <v>0</v>
      </c>
      <c r="I79" s="17">
        <f>'19'!$F$24+'19'!$R$24</f>
        <v>0</v>
      </c>
      <c r="J79" s="17">
        <f>'19'!$G$24+'19'!$S$24</f>
        <v>0</v>
      </c>
      <c r="K79" s="17">
        <f>'19'!$BJ$24</f>
        <v>0</v>
      </c>
      <c r="L79" s="17">
        <f>'19'!$BK$24</f>
        <v>0</v>
      </c>
      <c r="M79" s="17">
        <f>'19'!$BL$24</f>
        <v>0</v>
      </c>
      <c r="N79" s="228"/>
      <c r="O79" s="17">
        <f>'19'!$CC$24</f>
        <v>0</v>
      </c>
      <c r="P79" s="59" t="s">
        <v>227</v>
      </c>
    </row>
    <row r="80" spans="1:16" x14ac:dyDescent="0.35">
      <c r="A80" s="224" t="s">
        <v>142</v>
      </c>
      <c r="B80" s="242">
        <v>46193</v>
      </c>
      <c r="C80" s="58">
        <v>77</v>
      </c>
      <c r="D80" s="229" t="s">
        <v>193</v>
      </c>
      <c r="E80" s="224" t="s">
        <v>194</v>
      </c>
      <c r="F80" s="224" t="s">
        <v>226</v>
      </c>
      <c r="G80" s="224" t="s">
        <v>195</v>
      </c>
      <c r="H80" s="17">
        <f>'20'!$E$6+'20'!$Q$6</f>
        <v>0</v>
      </c>
      <c r="I80" s="17">
        <f>'20'!$F$6+'20'!$R$6</f>
        <v>0</v>
      </c>
      <c r="J80" s="17">
        <f>'20'!$G$6+'20'!$S$6</f>
        <v>0</v>
      </c>
      <c r="K80" s="17">
        <f>'20'!$BJ$6</f>
        <v>0</v>
      </c>
      <c r="L80" s="17">
        <f>'20'!$BK$6</f>
        <v>0</v>
      </c>
      <c r="M80" s="17">
        <f>'20'!$BL$6</f>
        <v>0</v>
      </c>
      <c r="N80" s="224">
        <v>58</v>
      </c>
      <c r="O80" s="17">
        <f>'20'!$CC$6</f>
        <v>0</v>
      </c>
      <c r="P80" s="59" t="s">
        <v>227</v>
      </c>
    </row>
    <row r="81" spans="1:16" x14ac:dyDescent="0.35">
      <c r="A81" s="225"/>
      <c r="B81" s="242"/>
      <c r="C81" s="58">
        <v>77.25</v>
      </c>
      <c r="D81" s="230"/>
      <c r="E81" s="225"/>
      <c r="F81" s="225"/>
      <c r="G81" s="225"/>
      <c r="H81" s="17">
        <f>'20'!$E$12+'20'!$Q$12</f>
        <v>0</v>
      </c>
      <c r="I81" s="17">
        <f>'20'!$F$12+'20'!$R$12</f>
        <v>0</v>
      </c>
      <c r="J81" s="17">
        <f>'20'!$G$12+'20'!$S$12</f>
        <v>0</v>
      </c>
      <c r="K81" s="17">
        <f>'20'!$BJ$12</f>
        <v>0</v>
      </c>
      <c r="L81" s="17">
        <f>'20'!$BK$12</f>
        <v>0</v>
      </c>
      <c r="M81" s="17">
        <f>'20'!$BL$12</f>
        <v>0</v>
      </c>
      <c r="N81" s="225"/>
      <c r="O81" s="17">
        <f>'20'!$CC$12</f>
        <v>0</v>
      </c>
      <c r="P81" s="59" t="s">
        <v>227</v>
      </c>
    </row>
    <row r="82" spans="1:16" x14ac:dyDescent="0.35">
      <c r="A82" s="225"/>
      <c r="B82" s="242"/>
      <c r="C82" s="58">
        <v>77.5</v>
      </c>
      <c r="D82" s="230"/>
      <c r="E82" s="225"/>
      <c r="F82" s="225"/>
      <c r="G82" s="225"/>
      <c r="H82" s="17">
        <f>'20'!$E$18+'20'!$Q$18</f>
        <v>0</v>
      </c>
      <c r="I82" s="17">
        <f>'20'!$F$18+'20'!$R$18</f>
        <v>0</v>
      </c>
      <c r="J82" s="17">
        <f>'20'!$G$18+'20'!$S$18</f>
        <v>0</v>
      </c>
      <c r="K82" s="17">
        <f>'20'!$BJ$18</f>
        <v>0</v>
      </c>
      <c r="L82" s="17">
        <f>'20'!$BK$18</f>
        <v>0</v>
      </c>
      <c r="M82" s="17">
        <f>'20'!$BL$18</f>
        <v>0</v>
      </c>
      <c r="N82" s="225"/>
      <c r="O82" s="17">
        <f>'20'!$CC$18</f>
        <v>0</v>
      </c>
      <c r="P82" s="59" t="s">
        <v>227</v>
      </c>
    </row>
    <row r="83" spans="1:16" x14ac:dyDescent="0.35">
      <c r="A83" s="228"/>
      <c r="B83" s="242"/>
      <c r="C83" s="58">
        <v>77.75</v>
      </c>
      <c r="D83" s="231"/>
      <c r="E83" s="228"/>
      <c r="F83" s="228"/>
      <c r="G83" s="228"/>
      <c r="H83" s="17">
        <f>'20'!$E$24+'20'!$Q$24</f>
        <v>0</v>
      </c>
      <c r="I83" s="17">
        <f>'20'!$F$24+'20'!$R$24</f>
        <v>0</v>
      </c>
      <c r="J83" s="17">
        <f>'20'!$G$24+'20'!$S$24</f>
        <v>0</v>
      </c>
      <c r="K83" s="17">
        <f>'20'!$BJ$24</f>
        <v>0</v>
      </c>
      <c r="L83" s="17">
        <f>'20'!$BK$24</f>
        <v>0</v>
      </c>
      <c r="M83" s="17">
        <f>'20'!$BL$24</f>
        <v>0</v>
      </c>
      <c r="N83" s="228"/>
      <c r="O83" s="17">
        <f>'20'!$CC$24</f>
        <v>0</v>
      </c>
      <c r="P83" s="59" t="s">
        <v>227</v>
      </c>
    </row>
    <row r="84" spans="1:16" x14ac:dyDescent="0.35">
      <c r="A84" s="224" t="s">
        <v>142</v>
      </c>
      <c r="B84" s="242">
        <v>46194</v>
      </c>
      <c r="C84" s="58">
        <v>81</v>
      </c>
      <c r="D84" s="229" t="s">
        <v>193</v>
      </c>
      <c r="E84" s="224" t="s">
        <v>194</v>
      </c>
      <c r="F84" s="224" t="s">
        <v>226</v>
      </c>
      <c r="G84" s="224" t="s">
        <v>195</v>
      </c>
      <c r="H84" s="17">
        <f>'21'!$E$6+'21'!$Q$6</f>
        <v>0</v>
      </c>
      <c r="I84" s="17">
        <f>'21'!$F$6+'21'!$R$6</f>
        <v>0</v>
      </c>
      <c r="J84" s="17">
        <f>'21'!$G$6+'21'!$S$6</f>
        <v>0</v>
      </c>
      <c r="K84" s="17">
        <f>'21'!$BJ$6</f>
        <v>0</v>
      </c>
      <c r="L84" s="17">
        <f>'21'!$BK$6</f>
        <v>0</v>
      </c>
      <c r="M84" s="17">
        <f>'21'!$BL$6</f>
        <v>0</v>
      </c>
      <c r="N84" s="224">
        <v>58</v>
      </c>
      <c r="O84" s="17">
        <f>'21'!$CC$6</f>
        <v>0</v>
      </c>
      <c r="P84" s="59" t="s">
        <v>227</v>
      </c>
    </row>
    <row r="85" spans="1:16" x14ac:dyDescent="0.35">
      <c r="A85" s="225"/>
      <c r="B85" s="242"/>
      <c r="C85" s="58">
        <v>81.25</v>
      </c>
      <c r="D85" s="230"/>
      <c r="E85" s="225"/>
      <c r="F85" s="225"/>
      <c r="G85" s="225"/>
      <c r="H85" s="17">
        <f>'21'!$E$12+'21'!$Q$12</f>
        <v>0</v>
      </c>
      <c r="I85" s="17">
        <f>'21'!$F$12+'21'!$R$12</f>
        <v>0</v>
      </c>
      <c r="J85" s="17">
        <f>'21'!$G$12+'21'!$S$12</f>
        <v>0</v>
      </c>
      <c r="K85" s="17">
        <f>'21'!$BJ$12</f>
        <v>0</v>
      </c>
      <c r="L85" s="17">
        <f>'21'!$BK$12</f>
        <v>0</v>
      </c>
      <c r="M85" s="17">
        <f>'21'!$BL$12</f>
        <v>0</v>
      </c>
      <c r="N85" s="225"/>
      <c r="O85" s="17">
        <f>'21'!$CC$12</f>
        <v>0</v>
      </c>
      <c r="P85" s="59" t="s">
        <v>227</v>
      </c>
    </row>
    <row r="86" spans="1:16" x14ac:dyDescent="0.35">
      <c r="A86" s="225"/>
      <c r="B86" s="242"/>
      <c r="C86" s="58">
        <v>81.5</v>
      </c>
      <c r="D86" s="230"/>
      <c r="E86" s="225"/>
      <c r="F86" s="225"/>
      <c r="G86" s="225"/>
      <c r="H86" s="17">
        <f>'21'!$E$18+'21'!$Q$18</f>
        <v>0</v>
      </c>
      <c r="I86" s="17">
        <f>'21'!$F$18+'21'!$R$18</f>
        <v>0</v>
      </c>
      <c r="J86" s="17">
        <f>'21'!$G$18+'21'!$S$18</f>
        <v>0</v>
      </c>
      <c r="K86" s="17">
        <f>'21'!$BJ$18</f>
        <v>0</v>
      </c>
      <c r="L86" s="17">
        <f>'21'!$BK$18</f>
        <v>0</v>
      </c>
      <c r="M86" s="17">
        <f>'21'!$BL$18</f>
        <v>0</v>
      </c>
      <c r="N86" s="225"/>
      <c r="O86" s="17">
        <f>'21'!$CC$18</f>
        <v>0</v>
      </c>
      <c r="P86" s="59" t="s">
        <v>227</v>
      </c>
    </row>
    <row r="87" spans="1:16" x14ac:dyDescent="0.35">
      <c r="A87" s="228"/>
      <c r="B87" s="242"/>
      <c r="C87" s="58">
        <v>81.75</v>
      </c>
      <c r="D87" s="231"/>
      <c r="E87" s="228"/>
      <c r="F87" s="228"/>
      <c r="G87" s="228"/>
      <c r="H87" s="17">
        <f>'21'!$E$24+'21'!$Q$24</f>
        <v>0</v>
      </c>
      <c r="I87" s="17">
        <f>'21'!$F$24+'21'!$R$24</f>
        <v>0</v>
      </c>
      <c r="J87" s="17">
        <f>'21'!$G$24+'21'!$S$24</f>
        <v>0</v>
      </c>
      <c r="K87" s="17">
        <f>'21'!$BJ$24</f>
        <v>0</v>
      </c>
      <c r="L87" s="17">
        <f>'21'!$BK$24</f>
        <v>0</v>
      </c>
      <c r="M87" s="17">
        <f>'21'!$BL$24</f>
        <v>0</v>
      </c>
      <c r="N87" s="228"/>
      <c r="O87" s="17">
        <f>'21'!$CC$24</f>
        <v>0</v>
      </c>
      <c r="P87" s="59" t="s">
        <v>227</v>
      </c>
    </row>
    <row r="88" spans="1:16" x14ac:dyDescent="0.35">
      <c r="A88" s="224" t="s">
        <v>142</v>
      </c>
      <c r="B88" s="242">
        <v>46195</v>
      </c>
      <c r="C88" s="58">
        <v>85</v>
      </c>
      <c r="D88" s="229" t="s">
        <v>193</v>
      </c>
      <c r="E88" s="224" t="s">
        <v>194</v>
      </c>
      <c r="F88" s="224" t="s">
        <v>226</v>
      </c>
      <c r="G88" s="224" t="s">
        <v>195</v>
      </c>
      <c r="H88" s="17">
        <f>'22'!$E$7+'22'!$Q$7</f>
        <v>0</v>
      </c>
      <c r="I88" s="17">
        <f>'22'!$F$7+'22'!$R$7</f>
        <v>0</v>
      </c>
      <c r="J88" s="17">
        <f>'22'!$G$7+'22'!$S$7</f>
        <v>0</v>
      </c>
      <c r="K88" s="17">
        <f>'22'!$BJ$7</f>
        <v>0</v>
      </c>
      <c r="L88" s="17">
        <f>'22'!$BK$7</f>
        <v>0</v>
      </c>
      <c r="M88" s="17">
        <f>'22'!$BL$7</f>
        <v>0</v>
      </c>
      <c r="N88" s="224">
        <v>58</v>
      </c>
      <c r="O88" s="17">
        <f>'22'!$CC$7</f>
        <v>0</v>
      </c>
      <c r="P88" s="59" t="s">
        <v>227</v>
      </c>
    </row>
    <row r="89" spans="1:16" x14ac:dyDescent="0.35">
      <c r="A89" s="225"/>
      <c r="B89" s="242"/>
      <c r="C89" s="58">
        <v>85.25</v>
      </c>
      <c r="D89" s="230"/>
      <c r="E89" s="225"/>
      <c r="F89" s="225"/>
      <c r="G89" s="225"/>
      <c r="H89" s="17">
        <f>'22'!$E$13+'22'!$Q$13</f>
        <v>0</v>
      </c>
      <c r="I89" s="17">
        <f>'22'!$F$13+'22'!$R$13</f>
        <v>0</v>
      </c>
      <c r="J89" s="17">
        <f>'22'!$G$13+'22'!$S$13</f>
        <v>0</v>
      </c>
      <c r="K89" s="17">
        <f>'22'!$BJ$13</f>
        <v>0</v>
      </c>
      <c r="L89" s="17">
        <f>'22'!$BK$13</f>
        <v>0</v>
      </c>
      <c r="M89" s="17">
        <f>'22'!$BL$13</f>
        <v>0</v>
      </c>
      <c r="N89" s="225"/>
      <c r="O89" s="17">
        <f>'22'!$CC$13</f>
        <v>0</v>
      </c>
      <c r="P89" s="59" t="s">
        <v>227</v>
      </c>
    </row>
    <row r="90" spans="1:16" x14ac:dyDescent="0.35">
      <c r="A90" s="225"/>
      <c r="B90" s="242"/>
      <c r="C90" s="58">
        <v>85.5</v>
      </c>
      <c r="D90" s="230"/>
      <c r="E90" s="225"/>
      <c r="F90" s="225"/>
      <c r="G90" s="225"/>
      <c r="H90" s="17">
        <f>'22'!$E$19+'22'!$Q$19</f>
        <v>0</v>
      </c>
      <c r="I90" s="17">
        <f>'22'!$F$19+'22'!$R$19</f>
        <v>0</v>
      </c>
      <c r="J90" s="17">
        <f>'22'!$G$19+'22'!$S$19</f>
        <v>0</v>
      </c>
      <c r="K90" s="17">
        <f>'22'!$BJ$19</f>
        <v>0</v>
      </c>
      <c r="L90" s="17">
        <f>'22'!$BK$19</f>
        <v>0</v>
      </c>
      <c r="M90" s="17">
        <f>'22'!$BL$19</f>
        <v>0</v>
      </c>
      <c r="N90" s="225"/>
      <c r="O90" s="17">
        <f>'22'!$CC$19</f>
        <v>0</v>
      </c>
      <c r="P90" s="59" t="s">
        <v>227</v>
      </c>
    </row>
    <row r="91" spans="1:16" x14ac:dyDescent="0.35">
      <c r="A91" s="228"/>
      <c r="B91" s="242"/>
      <c r="C91" s="58">
        <v>85.75</v>
      </c>
      <c r="D91" s="231"/>
      <c r="E91" s="228"/>
      <c r="F91" s="228"/>
      <c r="G91" s="228"/>
      <c r="H91" s="17">
        <f>'22'!$E$25+'22'!$Q$25</f>
        <v>0</v>
      </c>
      <c r="I91" s="17">
        <f>'22'!$F$25+'22'!$R$25</f>
        <v>0</v>
      </c>
      <c r="J91" s="17">
        <f>'22'!$G$25+'22'!$S$25</f>
        <v>0</v>
      </c>
      <c r="K91" s="17">
        <f>'22'!$BJ$25</f>
        <v>0</v>
      </c>
      <c r="L91" s="17">
        <f>'22'!$BK$25</f>
        <v>0</v>
      </c>
      <c r="M91" s="17">
        <f>'22'!$BL$25</f>
        <v>0</v>
      </c>
      <c r="N91" s="228"/>
      <c r="O91" s="17">
        <f>'22'!$CC$25</f>
        <v>0</v>
      </c>
      <c r="P91" s="59" t="s">
        <v>227</v>
      </c>
    </row>
    <row r="92" spans="1:16" x14ac:dyDescent="0.35">
      <c r="A92" s="224" t="s">
        <v>142</v>
      </c>
      <c r="B92" s="242">
        <v>46196</v>
      </c>
      <c r="C92" s="58">
        <v>89</v>
      </c>
      <c r="D92" s="229" t="s">
        <v>193</v>
      </c>
      <c r="E92" s="224" t="s">
        <v>194</v>
      </c>
      <c r="F92" s="224" t="s">
        <v>226</v>
      </c>
      <c r="G92" s="224" t="s">
        <v>195</v>
      </c>
      <c r="H92" s="17">
        <f>'23'!$E$6+'23'!$Q$6</f>
        <v>0</v>
      </c>
      <c r="I92" s="17">
        <f>'23'!$F$6+'23'!$R$6</f>
        <v>0</v>
      </c>
      <c r="J92" s="17">
        <f>'23'!$G$6+'23'!$S$6</f>
        <v>0</v>
      </c>
      <c r="K92" s="17">
        <f>'23'!$BJ$6</f>
        <v>0</v>
      </c>
      <c r="L92" s="17">
        <f>'23'!$BK$6</f>
        <v>0</v>
      </c>
      <c r="M92" s="17">
        <f>'23'!$BL$6</f>
        <v>0</v>
      </c>
      <c r="N92" s="224">
        <v>58</v>
      </c>
      <c r="O92" s="17">
        <f>'23'!$CC$6</f>
        <v>0</v>
      </c>
      <c r="P92" s="59" t="s">
        <v>227</v>
      </c>
    </row>
    <row r="93" spans="1:16" x14ac:dyDescent="0.35">
      <c r="A93" s="225"/>
      <c r="B93" s="242"/>
      <c r="C93" s="58">
        <v>89.25</v>
      </c>
      <c r="D93" s="230"/>
      <c r="E93" s="225"/>
      <c r="F93" s="225"/>
      <c r="G93" s="225"/>
      <c r="H93" s="17">
        <f>'23'!$E$12+'23'!$Q$12</f>
        <v>0</v>
      </c>
      <c r="I93" s="17">
        <f>'23'!$F$12+'23'!$R$12</f>
        <v>0</v>
      </c>
      <c r="J93" s="17">
        <f>'23'!$G$12+'23'!$S$12</f>
        <v>0</v>
      </c>
      <c r="K93" s="17">
        <f>'23'!$BJ$12</f>
        <v>0</v>
      </c>
      <c r="L93" s="17">
        <f>'23'!$BK$12</f>
        <v>0</v>
      </c>
      <c r="M93" s="17">
        <f>'23'!$BL$12</f>
        <v>0</v>
      </c>
      <c r="N93" s="225"/>
      <c r="O93" s="17">
        <f>'23'!$CC$12</f>
        <v>0</v>
      </c>
      <c r="P93" s="59" t="s">
        <v>227</v>
      </c>
    </row>
    <row r="94" spans="1:16" x14ac:dyDescent="0.35">
      <c r="A94" s="225"/>
      <c r="B94" s="242"/>
      <c r="C94" s="58">
        <v>89.5</v>
      </c>
      <c r="D94" s="230"/>
      <c r="E94" s="225"/>
      <c r="F94" s="225"/>
      <c r="G94" s="225"/>
      <c r="H94" s="17">
        <f>'23'!$E$18+'23'!$Q$18</f>
        <v>0</v>
      </c>
      <c r="I94" s="17">
        <f>'23'!$F$18+'23'!$R$18</f>
        <v>0</v>
      </c>
      <c r="J94" s="17">
        <f>'23'!$G$18+'23'!$S$18</f>
        <v>0</v>
      </c>
      <c r="K94" s="17">
        <f>'23'!$BJ$18</f>
        <v>0</v>
      </c>
      <c r="L94" s="17">
        <f>'23'!$BK$18</f>
        <v>0</v>
      </c>
      <c r="M94" s="17">
        <f>'23'!$BL$18</f>
        <v>0</v>
      </c>
      <c r="N94" s="225"/>
      <c r="O94" s="17">
        <f>'23'!$CC$18</f>
        <v>0</v>
      </c>
      <c r="P94" s="59" t="s">
        <v>227</v>
      </c>
    </row>
    <row r="95" spans="1:16" x14ac:dyDescent="0.35">
      <c r="A95" s="228"/>
      <c r="B95" s="242"/>
      <c r="C95" s="58">
        <v>89.75</v>
      </c>
      <c r="D95" s="231"/>
      <c r="E95" s="228"/>
      <c r="F95" s="228"/>
      <c r="G95" s="228"/>
      <c r="H95" s="17">
        <f>'23'!$E$24+'23'!$Q$24</f>
        <v>0</v>
      </c>
      <c r="I95" s="17">
        <f>'23'!$F$24+'23'!$R$24</f>
        <v>0</v>
      </c>
      <c r="J95" s="17">
        <f>'23'!$G$24+'23'!$S$24</f>
        <v>0</v>
      </c>
      <c r="K95" s="17">
        <f>'23'!$BJ$24</f>
        <v>0</v>
      </c>
      <c r="L95" s="17">
        <f>'23'!$BK$24</f>
        <v>0</v>
      </c>
      <c r="M95" s="17">
        <f>'23'!$BL$24</f>
        <v>0</v>
      </c>
      <c r="N95" s="228"/>
      <c r="O95" s="17">
        <f>'23'!$CC$24</f>
        <v>0</v>
      </c>
      <c r="P95" s="59" t="s">
        <v>227</v>
      </c>
    </row>
    <row r="96" spans="1:16" x14ac:dyDescent="0.35">
      <c r="A96" s="224" t="s">
        <v>142</v>
      </c>
      <c r="B96" s="242">
        <v>46197</v>
      </c>
      <c r="C96" s="58">
        <v>93</v>
      </c>
      <c r="D96" s="229" t="s">
        <v>193</v>
      </c>
      <c r="E96" s="224" t="s">
        <v>194</v>
      </c>
      <c r="F96" s="224" t="s">
        <v>226</v>
      </c>
      <c r="G96" s="224" t="s">
        <v>195</v>
      </c>
      <c r="H96" s="17">
        <f>'24'!$E$6+'24'!$Q$6</f>
        <v>0</v>
      </c>
      <c r="I96" s="17">
        <f>'24'!$F$6+'24'!$R$6</f>
        <v>0</v>
      </c>
      <c r="J96" s="17">
        <f>'24'!$G$6+'24'!$S$6</f>
        <v>0</v>
      </c>
      <c r="K96" s="17">
        <f>'24'!$BJ$6</f>
        <v>0</v>
      </c>
      <c r="L96" s="17">
        <f>'24'!$BK$6</f>
        <v>0</v>
      </c>
      <c r="M96" s="17">
        <f>'24'!$BL$6</f>
        <v>0</v>
      </c>
      <c r="N96" s="224">
        <v>58</v>
      </c>
      <c r="O96" s="17">
        <f>'24'!$CC$6</f>
        <v>0</v>
      </c>
      <c r="P96" s="59" t="s">
        <v>227</v>
      </c>
    </row>
    <row r="97" spans="1:16" x14ac:dyDescent="0.35">
      <c r="A97" s="225"/>
      <c r="B97" s="242"/>
      <c r="C97" s="58">
        <v>93.25</v>
      </c>
      <c r="D97" s="230"/>
      <c r="E97" s="225"/>
      <c r="F97" s="225"/>
      <c r="G97" s="225"/>
      <c r="H97" s="17">
        <f>'24'!$E$12+'24'!$Q$12</f>
        <v>0</v>
      </c>
      <c r="I97" s="17">
        <f>'24'!$F$12+'24'!$R$12</f>
        <v>0</v>
      </c>
      <c r="J97" s="17">
        <f>'24'!$G$12+'24'!$S$12</f>
        <v>0</v>
      </c>
      <c r="K97" s="17">
        <f>'24'!$BJ$12</f>
        <v>0</v>
      </c>
      <c r="L97" s="17">
        <f>'24'!$BK$12</f>
        <v>0</v>
      </c>
      <c r="M97" s="17">
        <f>'24'!$BL$12</f>
        <v>0</v>
      </c>
      <c r="N97" s="225"/>
      <c r="O97" s="17">
        <f>'24'!$CC$12</f>
        <v>0</v>
      </c>
      <c r="P97" s="59" t="s">
        <v>227</v>
      </c>
    </row>
    <row r="98" spans="1:16" x14ac:dyDescent="0.35">
      <c r="A98" s="225"/>
      <c r="B98" s="242"/>
      <c r="C98" s="58">
        <v>93.5</v>
      </c>
      <c r="D98" s="230"/>
      <c r="E98" s="225"/>
      <c r="F98" s="225"/>
      <c r="G98" s="225"/>
      <c r="H98" s="17">
        <f>'24'!$E$18+'24'!$Q$18</f>
        <v>0</v>
      </c>
      <c r="I98" s="17">
        <f>'24'!$F$18+'24'!$R$18</f>
        <v>0</v>
      </c>
      <c r="J98" s="17">
        <f>'24'!$G$18+'24'!$S$18</f>
        <v>0</v>
      </c>
      <c r="K98" s="17">
        <f>'24'!$BJ$18</f>
        <v>0</v>
      </c>
      <c r="L98" s="17">
        <f>'24'!$BK$18</f>
        <v>0</v>
      </c>
      <c r="M98" s="17">
        <f>'24'!$BL$18</f>
        <v>0</v>
      </c>
      <c r="N98" s="225"/>
      <c r="O98" s="17">
        <f>'24'!$CC$18</f>
        <v>0</v>
      </c>
      <c r="P98" s="59" t="s">
        <v>227</v>
      </c>
    </row>
    <row r="99" spans="1:16" x14ac:dyDescent="0.35">
      <c r="A99" s="228"/>
      <c r="B99" s="242"/>
      <c r="C99" s="58">
        <v>93.75</v>
      </c>
      <c r="D99" s="231"/>
      <c r="E99" s="228"/>
      <c r="F99" s="228"/>
      <c r="G99" s="228"/>
      <c r="H99" s="17">
        <f>'24'!$E$24+'24'!$Q$24</f>
        <v>0</v>
      </c>
      <c r="I99" s="17">
        <f>'24'!$F$24+'24'!$R$24</f>
        <v>0</v>
      </c>
      <c r="J99" s="17">
        <f>'24'!$G$24+'24'!$S$24</f>
        <v>0</v>
      </c>
      <c r="K99" s="17">
        <f>'24'!$BJ$24</f>
        <v>0</v>
      </c>
      <c r="L99" s="17">
        <f>'24'!$BK$24</f>
        <v>0</v>
      </c>
      <c r="M99" s="17">
        <f>'24'!$BL$24</f>
        <v>0</v>
      </c>
      <c r="N99" s="228"/>
      <c r="O99" s="17">
        <f>'24'!$CC$24</f>
        <v>0</v>
      </c>
      <c r="P99" s="59" t="s">
        <v>227</v>
      </c>
    </row>
    <row r="100" spans="1:16" x14ac:dyDescent="0.35">
      <c r="A100" s="224" t="s">
        <v>142</v>
      </c>
      <c r="B100" s="242">
        <v>46198</v>
      </c>
      <c r="C100" s="58">
        <v>97</v>
      </c>
      <c r="D100" s="229" t="s">
        <v>193</v>
      </c>
      <c r="E100" s="224" t="s">
        <v>194</v>
      </c>
      <c r="F100" s="224" t="s">
        <v>226</v>
      </c>
      <c r="G100" s="224" t="s">
        <v>195</v>
      </c>
      <c r="H100" s="17">
        <f>'25'!$E$6+'25'!$Q$6</f>
        <v>0</v>
      </c>
      <c r="I100" s="17">
        <f>'25'!$F$6+'25'!$R$6</f>
        <v>0</v>
      </c>
      <c r="J100" s="17">
        <f>'25'!$G$6+'25'!$S$6</f>
        <v>0</v>
      </c>
      <c r="K100" s="17">
        <f>'25'!$BJ$6</f>
        <v>0</v>
      </c>
      <c r="L100" s="17">
        <f>'25'!$BK$6</f>
        <v>0</v>
      </c>
      <c r="M100" s="17">
        <f>'25'!$BL$6</f>
        <v>0</v>
      </c>
      <c r="N100" s="224">
        <v>58</v>
      </c>
      <c r="O100" s="17">
        <f>'25'!$CC$6</f>
        <v>0</v>
      </c>
      <c r="P100" s="59" t="s">
        <v>227</v>
      </c>
    </row>
    <row r="101" spans="1:16" x14ac:dyDescent="0.35">
      <c r="A101" s="225"/>
      <c r="B101" s="242"/>
      <c r="C101" s="58">
        <v>97.25</v>
      </c>
      <c r="D101" s="230"/>
      <c r="E101" s="225"/>
      <c r="F101" s="225"/>
      <c r="G101" s="225"/>
      <c r="H101" s="17">
        <f>'25'!$E$12+'25'!$Q$12</f>
        <v>0</v>
      </c>
      <c r="I101" s="17">
        <f>'25'!$F$12+'25'!$R$12</f>
        <v>0</v>
      </c>
      <c r="J101" s="17">
        <f>'25'!$G$12+'25'!$S$12</f>
        <v>0</v>
      </c>
      <c r="K101" s="17">
        <f>'25'!$BJ$12</f>
        <v>0</v>
      </c>
      <c r="L101" s="17">
        <f>'25'!$BK$12</f>
        <v>0</v>
      </c>
      <c r="M101" s="17">
        <f>'25'!$BL$12</f>
        <v>0</v>
      </c>
      <c r="N101" s="225"/>
      <c r="O101" s="17">
        <f>'25'!$CC$12</f>
        <v>0</v>
      </c>
      <c r="P101" s="59" t="s">
        <v>227</v>
      </c>
    </row>
    <row r="102" spans="1:16" x14ac:dyDescent="0.35">
      <c r="A102" s="225"/>
      <c r="B102" s="242"/>
      <c r="C102" s="58">
        <v>97.5</v>
      </c>
      <c r="D102" s="230"/>
      <c r="E102" s="225"/>
      <c r="F102" s="225"/>
      <c r="G102" s="225"/>
      <c r="H102" s="17">
        <f>'25'!$E$18+'25'!$Q$18</f>
        <v>0</v>
      </c>
      <c r="I102" s="17">
        <f>'25'!$F$18+'25'!$R$18</f>
        <v>0</v>
      </c>
      <c r="J102" s="17">
        <f>'25'!$G$18+'25'!$S$18</f>
        <v>0</v>
      </c>
      <c r="K102" s="17">
        <f>'25'!$BJ$18</f>
        <v>0</v>
      </c>
      <c r="L102" s="17">
        <f>'25'!$BK$18</f>
        <v>0</v>
      </c>
      <c r="M102" s="17">
        <f>'25'!$BL$18</f>
        <v>0</v>
      </c>
      <c r="N102" s="225"/>
      <c r="O102" s="17">
        <f>'25'!$CC$18</f>
        <v>0</v>
      </c>
      <c r="P102" s="59" t="s">
        <v>227</v>
      </c>
    </row>
    <row r="103" spans="1:16" x14ac:dyDescent="0.35">
      <c r="A103" s="228"/>
      <c r="B103" s="242"/>
      <c r="C103" s="58">
        <v>97.75</v>
      </c>
      <c r="D103" s="231"/>
      <c r="E103" s="228"/>
      <c r="F103" s="228"/>
      <c r="G103" s="228"/>
      <c r="H103" s="17">
        <f>'25'!$E$24+'25'!$Q$24</f>
        <v>0</v>
      </c>
      <c r="I103" s="17">
        <f>'25'!$F$24+'25'!$R$24</f>
        <v>0</v>
      </c>
      <c r="J103" s="17">
        <f>'25'!$G$24+'25'!$S$24</f>
        <v>0</v>
      </c>
      <c r="K103" s="17">
        <f>'25'!$BJ$24</f>
        <v>0</v>
      </c>
      <c r="L103" s="17">
        <f>'25'!$BK$24</f>
        <v>0</v>
      </c>
      <c r="M103" s="17">
        <f>'25'!$BL$24</f>
        <v>0</v>
      </c>
      <c r="N103" s="228"/>
      <c r="O103" s="17">
        <f>'25'!$CC$24</f>
        <v>0</v>
      </c>
      <c r="P103" s="59" t="s">
        <v>227</v>
      </c>
    </row>
    <row r="104" spans="1:16" x14ac:dyDescent="0.35">
      <c r="A104" s="224" t="s">
        <v>142</v>
      </c>
      <c r="B104" s="242">
        <v>46199</v>
      </c>
      <c r="C104" s="58">
        <v>101</v>
      </c>
      <c r="D104" s="229" t="s">
        <v>193</v>
      </c>
      <c r="E104" s="224" t="s">
        <v>194</v>
      </c>
      <c r="F104" s="224" t="s">
        <v>226</v>
      </c>
      <c r="G104" s="224" t="s">
        <v>195</v>
      </c>
      <c r="H104" s="17">
        <f>'26'!$E$6+'26'!$Q$6</f>
        <v>0</v>
      </c>
      <c r="I104" s="17">
        <f>'26'!$F$6+'26'!$R$6</f>
        <v>0</v>
      </c>
      <c r="J104" s="17">
        <f>'26'!$G$6+'26'!$S$6</f>
        <v>0</v>
      </c>
      <c r="K104" s="17">
        <f>'26'!$BJ$6</f>
        <v>0</v>
      </c>
      <c r="L104" s="17">
        <f>'26'!$BK$6</f>
        <v>0</v>
      </c>
      <c r="M104" s="17">
        <f>'26'!$BL$6</f>
        <v>0</v>
      </c>
      <c r="N104" s="224">
        <v>58</v>
      </c>
      <c r="O104" s="17">
        <f>'26'!$CC$6</f>
        <v>0</v>
      </c>
      <c r="P104" s="59" t="s">
        <v>227</v>
      </c>
    </row>
    <row r="105" spans="1:16" x14ac:dyDescent="0.35">
      <c r="A105" s="225"/>
      <c r="B105" s="242"/>
      <c r="C105" s="58">
        <v>101.25</v>
      </c>
      <c r="D105" s="230"/>
      <c r="E105" s="225"/>
      <c r="F105" s="225"/>
      <c r="G105" s="225"/>
      <c r="H105" s="17">
        <f>'26'!$E$12+'26'!$Q$12</f>
        <v>0</v>
      </c>
      <c r="I105" s="17">
        <f>'26'!$F$12+'26'!$R$12</f>
        <v>0</v>
      </c>
      <c r="J105" s="17">
        <f>'26'!$G$12+'26'!$S$12</f>
        <v>0</v>
      </c>
      <c r="K105" s="17">
        <f>'26'!$BJ$12</f>
        <v>0</v>
      </c>
      <c r="L105" s="17">
        <f>'26'!$BK$12</f>
        <v>0</v>
      </c>
      <c r="M105" s="17">
        <f>'26'!$BL$12</f>
        <v>0</v>
      </c>
      <c r="N105" s="225"/>
      <c r="O105" s="17">
        <f>'26'!$CC$12</f>
        <v>0</v>
      </c>
      <c r="P105" s="59" t="s">
        <v>227</v>
      </c>
    </row>
    <row r="106" spans="1:16" x14ac:dyDescent="0.35">
      <c r="A106" s="225"/>
      <c r="B106" s="242"/>
      <c r="C106" s="58">
        <v>101.5</v>
      </c>
      <c r="D106" s="230"/>
      <c r="E106" s="225"/>
      <c r="F106" s="225"/>
      <c r="G106" s="225"/>
      <c r="H106" s="17">
        <f>'26'!$E$18+'26'!$Q$18</f>
        <v>0</v>
      </c>
      <c r="I106" s="17">
        <f>'26'!$F$18+'26'!$R$18</f>
        <v>0</v>
      </c>
      <c r="J106" s="17">
        <f>'26'!$G$18+'26'!$S$18</f>
        <v>0</v>
      </c>
      <c r="K106" s="17">
        <f>'26'!$BJ$18</f>
        <v>0</v>
      </c>
      <c r="L106" s="17">
        <f>'26'!$BK$18</f>
        <v>0</v>
      </c>
      <c r="M106" s="17">
        <f>'26'!$BL$18</f>
        <v>0</v>
      </c>
      <c r="N106" s="225"/>
      <c r="O106" s="17">
        <f>'26'!$CC$18</f>
        <v>0</v>
      </c>
      <c r="P106" s="59" t="s">
        <v>227</v>
      </c>
    </row>
    <row r="107" spans="1:16" x14ac:dyDescent="0.35">
      <c r="A107" s="228"/>
      <c r="B107" s="242"/>
      <c r="C107" s="58">
        <v>101.75</v>
      </c>
      <c r="D107" s="231"/>
      <c r="E107" s="228"/>
      <c r="F107" s="228"/>
      <c r="G107" s="228"/>
      <c r="H107" s="17">
        <f>'26'!$E$24+'26'!$Q$24</f>
        <v>0</v>
      </c>
      <c r="I107" s="17">
        <f>'26'!$F$24+'26'!$R$24</f>
        <v>0</v>
      </c>
      <c r="J107" s="17">
        <f>'26'!$G$24+'26'!$S$24</f>
        <v>0</v>
      </c>
      <c r="K107" s="17">
        <f>'26'!$BJ$24</f>
        <v>0</v>
      </c>
      <c r="L107" s="17">
        <f>'26'!$BK$24</f>
        <v>0</v>
      </c>
      <c r="M107" s="17">
        <f>'26'!$BL$24</f>
        <v>0</v>
      </c>
      <c r="N107" s="228"/>
      <c r="O107" s="17">
        <f>'26'!$CC$24</f>
        <v>0</v>
      </c>
      <c r="P107" s="59" t="s">
        <v>227</v>
      </c>
    </row>
    <row r="108" spans="1:16" x14ac:dyDescent="0.35">
      <c r="A108" s="224" t="s">
        <v>142</v>
      </c>
      <c r="B108" s="242">
        <v>46200</v>
      </c>
      <c r="C108" s="58">
        <v>105</v>
      </c>
      <c r="D108" s="229" t="s">
        <v>193</v>
      </c>
      <c r="E108" s="224" t="s">
        <v>194</v>
      </c>
      <c r="F108" s="224" t="s">
        <v>226</v>
      </c>
      <c r="G108" s="224" t="s">
        <v>195</v>
      </c>
      <c r="H108" s="17">
        <f>'27'!$E$6+'27'!$Q$6</f>
        <v>0</v>
      </c>
      <c r="I108" s="17">
        <f>'27'!$F$6+'27'!$R$6</f>
        <v>0</v>
      </c>
      <c r="J108" s="17">
        <f>'27'!$G$6+'27'!$S$6</f>
        <v>0</v>
      </c>
      <c r="K108" s="17">
        <f>'27'!$BJ$6</f>
        <v>0</v>
      </c>
      <c r="L108" s="17">
        <f>'27'!$BK$6</f>
        <v>0</v>
      </c>
      <c r="M108" s="17">
        <f>'27'!$BL$6</f>
        <v>0</v>
      </c>
      <c r="N108" s="224">
        <v>58</v>
      </c>
      <c r="O108" s="17">
        <f>'27'!$CC$6</f>
        <v>0</v>
      </c>
      <c r="P108" s="59"/>
    </row>
    <row r="109" spans="1:16" x14ac:dyDescent="0.35">
      <c r="A109" s="225"/>
      <c r="B109" s="242"/>
      <c r="C109" s="58">
        <v>105.25</v>
      </c>
      <c r="D109" s="230"/>
      <c r="E109" s="225"/>
      <c r="F109" s="225"/>
      <c r="G109" s="225"/>
      <c r="H109" s="17">
        <f>'27'!$E$12+'27'!$Q$12</f>
        <v>0</v>
      </c>
      <c r="I109" s="17">
        <f>'27'!$F$12+'27'!$R$12</f>
        <v>0</v>
      </c>
      <c r="J109" s="17">
        <f>'27'!$G$12+'27'!$S$12</f>
        <v>0</v>
      </c>
      <c r="K109" s="17">
        <f>'27'!$BJ$12</f>
        <v>0</v>
      </c>
      <c r="L109" s="17">
        <f>'27'!$BK$12</f>
        <v>0</v>
      </c>
      <c r="M109" s="17">
        <f>'27'!$BL$12</f>
        <v>0</v>
      </c>
      <c r="N109" s="225"/>
      <c r="O109" s="17">
        <f>'27'!$CC$12</f>
        <v>0</v>
      </c>
      <c r="P109" s="59"/>
    </row>
    <row r="110" spans="1:16" x14ac:dyDescent="0.35">
      <c r="A110" s="225"/>
      <c r="B110" s="242"/>
      <c r="C110" s="58">
        <v>105.5</v>
      </c>
      <c r="D110" s="230"/>
      <c r="E110" s="225"/>
      <c r="F110" s="225"/>
      <c r="G110" s="225"/>
      <c r="H110" s="17">
        <f>'27'!$E$18+'27'!$Q$18</f>
        <v>0</v>
      </c>
      <c r="I110" s="17">
        <f>'27'!$F$18+'27'!$R$18</f>
        <v>0</v>
      </c>
      <c r="J110" s="17">
        <f>'27'!$G$18+'27'!$S$18</f>
        <v>0</v>
      </c>
      <c r="K110" s="17">
        <f>'27'!$BJ$18</f>
        <v>0</v>
      </c>
      <c r="L110" s="17">
        <f>'27'!$BK$18</f>
        <v>0</v>
      </c>
      <c r="M110" s="17">
        <f>'27'!$BL$18</f>
        <v>0</v>
      </c>
      <c r="N110" s="225"/>
      <c r="O110" s="17">
        <f>'27'!$CC$18</f>
        <v>0</v>
      </c>
      <c r="P110" s="59"/>
    </row>
    <row r="111" spans="1:16" x14ac:dyDescent="0.35">
      <c r="A111" s="228"/>
      <c r="B111" s="242"/>
      <c r="C111" s="58">
        <v>105.75</v>
      </c>
      <c r="D111" s="231"/>
      <c r="E111" s="228"/>
      <c r="F111" s="228"/>
      <c r="G111" s="228"/>
      <c r="H111" s="17">
        <f>'27'!$E$24+'27'!$Q$24</f>
        <v>0</v>
      </c>
      <c r="I111" s="17">
        <f>'27'!$F$24+'27'!$R$24</f>
        <v>0</v>
      </c>
      <c r="J111" s="17">
        <f>'27'!$G$24+'27'!$S$24</f>
        <v>0</v>
      </c>
      <c r="K111" s="17">
        <f>'27'!$BJ$24</f>
        <v>0</v>
      </c>
      <c r="L111" s="17">
        <f>'27'!$BK$24</f>
        <v>0</v>
      </c>
      <c r="M111" s="17">
        <f>'27'!$BL$24</f>
        <v>0</v>
      </c>
      <c r="N111" s="228"/>
      <c r="O111" s="17">
        <f>'27'!$CC$24</f>
        <v>0</v>
      </c>
      <c r="P111" s="59"/>
    </row>
    <row r="112" spans="1:16" x14ac:dyDescent="0.35">
      <c r="A112" s="224" t="s">
        <v>142</v>
      </c>
      <c r="B112" s="242">
        <v>46201</v>
      </c>
      <c r="C112" s="58">
        <v>109</v>
      </c>
      <c r="D112" s="229" t="s">
        <v>193</v>
      </c>
      <c r="E112" s="224" t="s">
        <v>194</v>
      </c>
      <c r="F112" s="224" t="s">
        <v>226</v>
      </c>
      <c r="G112" s="224" t="s">
        <v>195</v>
      </c>
      <c r="H112" s="17">
        <f>'28'!$E$6+'28'!$Q$6</f>
        <v>0</v>
      </c>
      <c r="I112" s="17">
        <f>'28'!$F$6+'28'!$R$6</f>
        <v>0</v>
      </c>
      <c r="J112" s="17">
        <f>'28'!$G$6+'28'!$S$6</f>
        <v>0</v>
      </c>
      <c r="K112" s="17">
        <f>'28'!$BJ$6</f>
        <v>0</v>
      </c>
      <c r="L112" s="17">
        <f>'28'!$BK$6</f>
        <v>0</v>
      </c>
      <c r="M112" s="17">
        <f>'28'!$BL$6</f>
        <v>0</v>
      </c>
      <c r="N112" s="224">
        <v>58</v>
      </c>
      <c r="O112" s="17">
        <f>'28'!$CC$6</f>
        <v>0</v>
      </c>
      <c r="P112" s="59"/>
    </row>
    <row r="113" spans="1:16" x14ac:dyDescent="0.35">
      <c r="A113" s="225"/>
      <c r="B113" s="242"/>
      <c r="C113" s="58">
        <v>109.25</v>
      </c>
      <c r="D113" s="230"/>
      <c r="E113" s="225"/>
      <c r="F113" s="225"/>
      <c r="G113" s="225"/>
      <c r="H113" s="17">
        <f>'28'!$E$12+'28'!$Q$12</f>
        <v>0</v>
      </c>
      <c r="I113" s="17">
        <f>'28'!$F$12+'28'!$R$12</f>
        <v>0</v>
      </c>
      <c r="J113" s="17">
        <f>'28'!$G$12+'28'!$S$12</f>
        <v>0</v>
      </c>
      <c r="K113" s="17">
        <f>'28'!$BJ$12</f>
        <v>0</v>
      </c>
      <c r="L113" s="17">
        <f>'28'!$BK$12</f>
        <v>0</v>
      </c>
      <c r="M113" s="17">
        <f>'28'!$BL$12</f>
        <v>0</v>
      </c>
      <c r="N113" s="225"/>
      <c r="O113" s="17">
        <f>'28'!$CC$12</f>
        <v>0</v>
      </c>
      <c r="P113" s="59"/>
    </row>
    <row r="114" spans="1:16" x14ac:dyDescent="0.35">
      <c r="A114" s="225"/>
      <c r="B114" s="242"/>
      <c r="C114" s="58">
        <v>109.5</v>
      </c>
      <c r="D114" s="230"/>
      <c r="E114" s="225"/>
      <c r="F114" s="225"/>
      <c r="G114" s="225"/>
      <c r="H114" s="17">
        <f>'28'!$E$18+'28'!$Q$18</f>
        <v>0</v>
      </c>
      <c r="I114" s="17">
        <f>'28'!$F$18+'28'!$R$18</f>
        <v>0</v>
      </c>
      <c r="J114" s="17">
        <f>'28'!$G$18+'28'!$S$18</f>
        <v>0</v>
      </c>
      <c r="K114" s="17">
        <f>'28'!$BJ$18</f>
        <v>0</v>
      </c>
      <c r="L114" s="17">
        <f>'28'!$BK$18</f>
        <v>0</v>
      </c>
      <c r="M114" s="17">
        <f>'28'!$BL$18</f>
        <v>0</v>
      </c>
      <c r="N114" s="225"/>
      <c r="O114" s="17">
        <f>'28'!$CC$18</f>
        <v>0</v>
      </c>
      <c r="P114" s="59"/>
    </row>
    <row r="115" spans="1:16" x14ac:dyDescent="0.35">
      <c r="A115" s="228"/>
      <c r="B115" s="242"/>
      <c r="C115" s="58">
        <v>109.75</v>
      </c>
      <c r="D115" s="231"/>
      <c r="E115" s="228"/>
      <c r="F115" s="228"/>
      <c r="G115" s="228"/>
      <c r="H115" s="17">
        <f>'28'!$E$24+'28'!$Q$24</f>
        <v>0</v>
      </c>
      <c r="I115" s="17">
        <f>'28'!$F$24+'28'!$R$24</f>
        <v>0</v>
      </c>
      <c r="J115" s="17">
        <f>'28'!$G$24+'28'!$S$24</f>
        <v>0</v>
      </c>
      <c r="K115" s="17">
        <f>'28'!$BJ$24</f>
        <v>0</v>
      </c>
      <c r="L115" s="17">
        <f>'28'!$BK$24</f>
        <v>0</v>
      </c>
      <c r="M115" s="17">
        <f>'28'!$BL$24</f>
        <v>0</v>
      </c>
      <c r="N115" s="228"/>
      <c r="O115" s="17">
        <f>'28'!$CC$24</f>
        <v>0</v>
      </c>
      <c r="P115" s="59"/>
    </row>
    <row r="116" spans="1:16" x14ac:dyDescent="0.35">
      <c r="A116" s="224" t="s">
        <v>142</v>
      </c>
      <c r="B116" s="242">
        <v>46202</v>
      </c>
      <c r="C116" s="58">
        <v>109</v>
      </c>
      <c r="D116" s="229" t="s">
        <v>193</v>
      </c>
      <c r="E116" s="224" t="s">
        <v>194</v>
      </c>
      <c r="F116" s="224" t="s">
        <v>226</v>
      </c>
      <c r="G116" s="224" t="s">
        <v>195</v>
      </c>
      <c r="H116" s="17">
        <f>'29'!$E$6+'29'!$Q$6</f>
        <v>0</v>
      </c>
      <c r="I116" s="17">
        <f>'29'!$F$6+'29'!$R$6</f>
        <v>0</v>
      </c>
      <c r="J116" s="17">
        <f>'29'!$G$6+'29'!$S$6</f>
        <v>0</v>
      </c>
      <c r="K116" s="17">
        <f>'29'!$BJ$6</f>
        <v>0</v>
      </c>
      <c r="L116" s="17">
        <f>'29'!$BK$6</f>
        <v>0</v>
      </c>
      <c r="M116" s="17">
        <f>'29'!$BL$6</f>
        <v>0</v>
      </c>
      <c r="N116" s="224">
        <v>58</v>
      </c>
      <c r="O116" s="17">
        <f>'29'!$CC$6</f>
        <v>0</v>
      </c>
      <c r="P116" s="59"/>
    </row>
    <row r="117" spans="1:16" x14ac:dyDescent="0.35">
      <c r="A117" s="225"/>
      <c r="B117" s="242"/>
      <c r="C117" s="58">
        <v>109.25</v>
      </c>
      <c r="D117" s="230"/>
      <c r="E117" s="225"/>
      <c r="F117" s="225"/>
      <c r="G117" s="225"/>
      <c r="H117" s="17">
        <f>'29'!$E$12+'29'!$Q$12</f>
        <v>0</v>
      </c>
      <c r="I117" s="17">
        <f>'29'!$F$12+'29'!$R$12</f>
        <v>0</v>
      </c>
      <c r="J117" s="17">
        <f>'29'!$G$12+'29'!$S$12</f>
        <v>0</v>
      </c>
      <c r="K117" s="17">
        <f>'29'!$BJ$12</f>
        <v>0</v>
      </c>
      <c r="L117" s="17">
        <f>'29'!$BK$12</f>
        <v>0</v>
      </c>
      <c r="M117" s="17">
        <f>'29'!$BL$12</f>
        <v>0</v>
      </c>
      <c r="N117" s="225"/>
      <c r="O117" s="17">
        <f>'29'!$CC$12</f>
        <v>0</v>
      </c>
      <c r="P117" s="59"/>
    </row>
    <row r="118" spans="1:16" x14ac:dyDescent="0.35">
      <c r="A118" s="225"/>
      <c r="B118" s="242"/>
      <c r="C118" s="58">
        <v>109.5</v>
      </c>
      <c r="D118" s="230"/>
      <c r="E118" s="225"/>
      <c r="F118" s="225"/>
      <c r="G118" s="225"/>
      <c r="H118" s="17">
        <f>'29'!$E$18+'29'!$Q$18</f>
        <v>0</v>
      </c>
      <c r="I118" s="17">
        <f>'29'!$F$18+'29'!$R$18</f>
        <v>0</v>
      </c>
      <c r="J118" s="17">
        <f>'29'!$G$18+'29'!$S$18</f>
        <v>0</v>
      </c>
      <c r="K118" s="17">
        <f>'29'!$BJ$18</f>
        <v>0</v>
      </c>
      <c r="L118" s="17">
        <f>'29'!$BK$18</f>
        <v>0</v>
      </c>
      <c r="M118" s="17">
        <f>'29'!$BL$18</f>
        <v>0</v>
      </c>
      <c r="N118" s="225"/>
      <c r="O118" s="17">
        <f>'29'!$CC$18</f>
        <v>0</v>
      </c>
      <c r="P118" s="59"/>
    </row>
    <row r="119" spans="1:16" x14ac:dyDescent="0.35">
      <c r="A119" s="228"/>
      <c r="B119" s="242"/>
      <c r="C119" s="58">
        <v>109.75</v>
      </c>
      <c r="D119" s="231"/>
      <c r="E119" s="228"/>
      <c r="F119" s="228"/>
      <c r="G119" s="228"/>
      <c r="H119" s="17">
        <f>'29'!$E$24+'29'!$Q$24</f>
        <v>0</v>
      </c>
      <c r="I119" s="17">
        <f>'29'!$F$24+'29'!$R$24</f>
        <v>0</v>
      </c>
      <c r="J119" s="17">
        <f>'29'!$G$24+'29'!$S$24</f>
        <v>0</v>
      </c>
      <c r="K119" s="17">
        <f>'29'!$BJ$24</f>
        <v>0</v>
      </c>
      <c r="L119" s="17">
        <f>'29'!$BK$24</f>
        <v>0</v>
      </c>
      <c r="M119" s="17">
        <f>'29'!$BL$24</f>
        <v>0</v>
      </c>
      <c r="N119" s="228"/>
      <c r="O119" s="17">
        <f>'29'!$CC$24</f>
        <v>0</v>
      </c>
      <c r="P119" s="59"/>
    </row>
    <row r="120" spans="1:16" x14ac:dyDescent="0.35">
      <c r="A120" s="224" t="s">
        <v>142</v>
      </c>
      <c r="B120" s="242">
        <v>46203</v>
      </c>
      <c r="C120" s="58">
        <v>109</v>
      </c>
      <c r="D120" s="229" t="s">
        <v>193</v>
      </c>
      <c r="E120" s="224" t="s">
        <v>194</v>
      </c>
      <c r="F120" s="224" t="s">
        <v>226</v>
      </c>
      <c r="G120" s="224" t="s">
        <v>195</v>
      </c>
      <c r="H120" s="17">
        <f>'30'!$E$6+'30'!$Q$6</f>
        <v>0</v>
      </c>
      <c r="I120" s="17">
        <f>'30'!$F$6+'30'!$R$6</f>
        <v>0</v>
      </c>
      <c r="J120" s="17">
        <f>'30'!$G$6+'30'!$S$6</f>
        <v>0</v>
      </c>
      <c r="K120" s="17">
        <f>'30'!$BJ$6</f>
        <v>0</v>
      </c>
      <c r="L120" s="17">
        <f>'30'!$BK$6</f>
        <v>0</v>
      </c>
      <c r="M120" s="17">
        <f>'30'!$BL$6</f>
        <v>0</v>
      </c>
      <c r="N120" s="224">
        <v>58</v>
      </c>
      <c r="O120" s="17">
        <f>'30'!$CC$6</f>
        <v>0</v>
      </c>
      <c r="P120" s="59"/>
    </row>
    <row r="121" spans="1:16" x14ac:dyDescent="0.35">
      <c r="A121" s="225"/>
      <c r="B121" s="242"/>
      <c r="C121" s="58">
        <v>109.25</v>
      </c>
      <c r="D121" s="230"/>
      <c r="E121" s="225"/>
      <c r="F121" s="225"/>
      <c r="G121" s="225"/>
      <c r="H121" s="17">
        <f>'30'!$E$12+'30'!$Q$12</f>
        <v>0</v>
      </c>
      <c r="I121" s="17">
        <f>'30'!$F$12+'30'!$R$12</f>
        <v>0</v>
      </c>
      <c r="J121" s="17">
        <f>'30'!$G$12+'30'!$S$12</f>
        <v>0</v>
      </c>
      <c r="K121" s="17">
        <f>'30'!$BJ$12</f>
        <v>0</v>
      </c>
      <c r="L121" s="17">
        <f>'30'!$BK$12</f>
        <v>0</v>
      </c>
      <c r="M121" s="17">
        <f>'30'!$BL$12</f>
        <v>0</v>
      </c>
      <c r="N121" s="225"/>
      <c r="O121" s="17">
        <f>'30'!$CC$12</f>
        <v>0</v>
      </c>
      <c r="P121" s="59"/>
    </row>
    <row r="122" spans="1:16" x14ac:dyDescent="0.35">
      <c r="A122" s="225"/>
      <c r="B122" s="242"/>
      <c r="C122" s="58">
        <v>109.5</v>
      </c>
      <c r="D122" s="230"/>
      <c r="E122" s="225"/>
      <c r="F122" s="225"/>
      <c r="G122" s="225"/>
      <c r="H122" s="17">
        <f>'30'!$E$18+'30'!$Q$18</f>
        <v>0</v>
      </c>
      <c r="I122" s="17">
        <f>'30'!$F$18+'30'!$R$18</f>
        <v>0</v>
      </c>
      <c r="J122" s="17">
        <f>'30'!$G$18+'30'!$S$18</f>
        <v>0</v>
      </c>
      <c r="K122" s="17">
        <f>'30'!$BJ$18</f>
        <v>0</v>
      </c>
      <c r="L122" s="17">
        <f>'30'!$BK$18</f>
        <v>0</v>
      </c>
      <c r="M122" s="17">
        <f>'30'!$BL$18</f>
        <v>0</v>
      </c>
      <c r="N122" s="225"/>
      <c r="O122" s="17">
        <f>'30'!$CC$18</f>
        <v>0</v>
      </c>
      <c r="P122" s="59"/>
    </row>
    <row r="123" spans="1:16" x14ac:dyDescent="0.35">
      <c r="A123" s="228"/>
      <c r="B123" s="242"/>
      <c r="C123" s="58">
        <v>109.75</v>
      </c>
      <c r="D123" s="231"/>
      <c r="E123" s="228"/>
      <c r="F123" s="228"/>
      <c r="G123" s="228"/>
      <c r="H123" s="17">
        <f>'30'!$E$24+'30'!$Q$24</f>
        <v>0</v>
      </c>
      <c r="I123" s="17">
        <f>'30'!$F$24+'30'!$R$24</f>
        <v>0</v>
      </c>
      <c r="J123" s="17">
        <f>'30'!$G$24+'30'!$S$24</f>
        <v>0</v>
      </c>
      <c r="K123" s="17">
        <f>'30'!$BJ$24</f>
        <v>0</v>
      </c>
      <c r="L123" s="17">
        <f>'30'!$BK$24</f>
        <v>0</v>
      </c>
      <c r="M123" s="17">
        <f>'30'!$BL$24</f>
        <v>0</v>
      </c>
      <c r="N123" s="228"/>
      <c r="O123" s="17">
        <f>'30'!$CC$24</f>
        <v>0</v>
      </c>
      <c r="P123" s="59"/>
    </row>
  </sheetData>
  <mergeCells count="225">
    <mergeCell ref="A116:A119"/>
    <mergeCell ref="B116:B119"/>
    <mergeCell ref="D116:D119"/>
    <mergeCell ref="E116:E119"/>
    <mergeCell ref="F116:F119"/>
    <mergeCell ref="G116:G119"/>
    <mergeCell ref="N116:N119"/>
    <mergeCell ref="A120:A123"/>
    <mergeCell ref="B120:B123"/>
    <mergeCell ref="D120:D123"/>
    <mergeCell ref="E120:E123"/>
    <mergeCell ref="F120:F123"/>
    <mergeCell ref="G120:G123"/>
    <mergeCell ref="N120:N123"/>
    <mergeCell ref="A1:G1"/>
    <mergeCell ref="A2:A3"/>
    <mergeCell ref="B2:B3"/>
    <mergeCell ref="C2:C3"/>
    <mergeCell ref="D2:D3"/>
    <mergeCell ref="E2:E3"/>
    <mergeCell ref="F2:F3"/>
    <mergeCell ref="G2:G3"/>
    <mergeCell ref="E4:E7"/>
    <mergeCell ref="F4:F7"/>
    <mergeCell ref="G4:G7"/>
    <mergeCell ref="N4:N7"/>
    <mergeCell ref="A8:A11"/>
    <mergeCell ref="B8:B11"/>
    <mergeCell ref="D12:D15"/>
    <mergeCell ref="E12:E15"/>
    <mergeCell ref="F12:F15"/>
    <mergeCell ref="O2:O3"/>
    <mergeCell ref="P2:P3"/>
    <mergeCell ref="A4:A7"/>
    <mergeCell ref="B4:B7"/>
    <mergeCell ref="D4:D7"/>
    <mergeCell ref="H2:J2"/>
    <mergeCell ref="K2:K3"/>
    <mergeCell ref="L2:L3"/>
    <mergeCell ref="M2:M3"/>
    <mergeCell ref="N2:N3"/>
    <mergeCell ref="G12:G15"/>
    <mergeCell ref="N12:N15"/>
    <mergeCell ref="D8:D11"/>
    <mergeCell ref="E8:E11"/>
    <mergeCell ref="F8:F11"/>
    <mergeCell ref="G8:G11"/>
    <mergeCell ref="N8:N11"/>
    <mergeCell ref="D20:D23"/>
    <mergeCell ref="E20:E23"/>
    <mergeCell ref="F20:F23"/>
    <mergeCell ref="G20:G23"/>
    <mergeCell ref="N20:N23"/>
    <mergeCell ref="D16:D19"/>
    <mergeCell ref="E16:E19"/>
    <mergeCell ref="F16:F19"/>
    <mergeCell ref="G16:G19"/>
    <mergeCell ref="N16:N19"/>
    <mergeCell ref="D28:D31"/>
    <mergeCell ref="E28:E31"/>
    <mergeCell ref="F28:F31"/>
    <mergeCell ref="G28:G31"/>
    <mergeCell ref="N28:N31"/>
    <mergeCell ref="B28:B31"/>
    <mergeCell ref="A28:A31"/>
    <mergeCell ref="D24:D27"/>
    <mergeCell ref="E24:E27"/>
    <mergeCell ref="F24:F27"/>
    <mergeCell ref="G24:G27"/>
    <mergeCell ref="N24:N27"/>
    <mergeCell ref="A24:A27"/>
    <mergeCell ref="B24:B27"/>
    <mergeCell ref="D36:D39"/>
    <mergeCell ref="E36:E39"/>
    <mergeCell ref="F36:F39"/>
    <mergeCell ref="G36:G39"/>
    <mergeCell ref="N36:N39"/>
    <mergeCell ref="B36:B39"/>
    <mergeCell ref="A36:A39"/>
    <mergeCell ref="D32:D35"/>
    <mergeCell ref="E32:E35"/>
    <mergeCell ref="F32:F35"/>
    <mergeCell ref="G32:G35"/>
    <mergeCell ref="N32:N35"/>
    <mergeCell ref="B32:B35"/>
    <mergeCell ref="A32:A35"/>
    <mergeCell ref="D44:D47"/>
    <mergeCell ref="E44:E47"/>
    <mergeCell ref="F44:F47"/>
    <mergeCell ref="G44:G47"/>
    <mergeCell ref="N44:N47"/>
    <mergeCell ref="A44:A47"/>
    <mergeCell ref="B44:B47"/>
    <mergeCell ref="D40:D43"/>
    <mergeCell ref="E40:E43"/>
    <mergeCell ref="F40:F43"/>
    <mergeCell ref="G40:G43"/>
    <mergeCell ref="N40:N43"/>
    <mergeCell ref="A40:A43"/>
    <mergeCell ref="B40:B43"/>
    <mergeCell ref="D52:D55"/>
    <mergeCell ref="E52:E55"/>
    <mergeCell ref="F52:F55"/>
    <mergeCell ref="G52:G55"/>
    <mergeCell ref="N52:N55"/>
    <mergeCell ref="A52:A55"/>
    <mergeCell ref="B52:B55"/>
    <mergeCell ref="D48:D51"/>
    <mergeCell ref="E48:E51"/>
    <mergeCell ref="F48:F51"/>
    <mergeCell ref="G48:G51"/>
    <mergeCell ref="N48:N51"/>
    <mergeCell ref="A48:A51"/>
    <mergeCell ref="B48:B51"/>
    <mergeCell ref="D60:D63"/>
    <mergeCell ref="E60:E63"/>
    <mergeCell ref="F60:F63"/>
    <mergeCell ref="G60:G63"/>
    <mergeCell ref="N60:N63"/>
    <mergeCell ref="A60:A63"/>
    <mergeCell ref="B60:B63"/>
    <mergeCell ref="D56:D59"/>
    <mergeCell ref="E56:E59"/>
    <mergeCell ref="F56:F59"/>
    <mergeCell ref="G56:G59"/>
    <mergeCell ref="N56:N59"/>
    <mergeCell ref="A56:A59"/>
    <mergeCell ref="B56:B59"/>
    <mergeCell ref="D68:D71"/>
    <mergeCell ref="E68:E71"/>
    <mergeCell ref="F68:F71"/>
    <mergeCell ref="G68:G71"/>
    <mergeCell ref="N68:N71"/>
    <mergeCell ref="A68:A71"/>
    <mergeCell ref="B68:B71"/>
    <mergeCell ref="D64:D67"/>
    <mergeCell ref="E64:E67"/>
    <mergeCell ref="F64:F67"/>
    <mergeCell ref="G64:G67"/>
    <mergeCell ref="N64:N67"/>
    <mergeCell ref="A64:A67"/>
    <mergeCell ref="B64:B67"/>
    <mergeCell ref="D76:D79"/>
    <mergeCell ref="E76:E79"/>
    <mergeCell ref="F76:F79"/>
    <mergeCell ref="G76:G79"/>
    <mergeCell ref="N76:N79"/>
    <mergeCell ref="A76:A79"/>
    <mergeCell ref="B76:B79"/>
    <mergeCell ref="D72:D75"/>
    <mergeCell ref="E72:E75"/>
    <mergeCell ref="F72:F75"/>
    <mergeCell ref="G72:G75"/>
    <mergeCell ref="N72:N75"/>
    <mergeCell ref="A72:A75"/>
    <mergeCell ref="B72:B75"/>
    <mergeCell ref="D80:D83"/>
    <mergeCell ref="E80:E83"/>
    <mergeCell ref="F80:F83"/>
    <mergeCell ref="G80:G83"/>
    <mergeCell ref="N80:N83"/>
    <mergeCell ref="A80:A83"/>
    <mergeCell ref="B80:B83"/>
    <mergeCell ref="D84:D87"/>
    <mergeCell ref="E84:E87"/>
    <mergeCell ref="F84:F87"/>
    <mergeCell ref="D88:D91"/>
    <mergeCell ref="E88:E91"/>
    <mergeCell ref="F88:F91"/>
    <mergeCell ref="G88:G91"/>
    <mergeCell ref="N88:N91"/>
    <mergeCell ref="A88:A91"/>
    <mergeCell ref="B88:B91"/>
    <mergeCell ref="F92:F95"/>
    <mergeCell ref="G84:G87"/>
    <mergeCell ref="N84:N87"/>
    <mergeCell ref="A84:A87"/>
    <mergeCell ref="B84:B87"/>
    <mergeCell ref="D96:D99"/>
    <mergeCell ref="E96:E99"/>
    <mergeCell ref="F96:F99"/>
    <mergeCell ref="G96:G99"/>
    <mergeCell ref="N96:N99"/>
    <mergeCell ref="A96:A99"/>
    <mergeCell ref="B96:B99"/>
    <mergeCell ref="G92:G95"/>
    <mergeCell ref="N92:N95"/>
    <mergeCell ref="A92:A95"/>
    <mergeCell ref="B92:B95"/>
    <mergeCell ref="B108:B111"/>
    <mergeCell ref="D104:D107"/>
    <mergeCell ref="E104:E107"/>
    <mergeCell ref="F104:F107"/>
    <mergeCell ref="G104:G107"/>
    <mergeCell ref="N104:N107"/>
    <mergeCell ref="A104:A107"/>
    <mergeCell ref="B104:B107"/>
    <mergeCell ref="G100:G103"/>
    <mergeCell ref="N100:N103"/>
    <mergeCell ref="A100:A103"/>
    <mergeCell ref="B100:B103"/>
    <mergeCell ref="D112:D115"/>
    <mergeCell ref="E112:E115"/>
    <mergeCell ref="F112:F115"/>
    <mergeCell ref="G112:G115"/>
    <mergeCell ref="N112:N115"/>
    <mergeCell ref="A112:A115"/>
    <mergeCell ref="B112:B115"/>
    <mergeCell ref="B12:B15"/>
    <mergeCell ref="A12:A15"/>
    <mergeCell ref="A16:A19"/>
    <mergeCell ref="B16:B19"/>
    <mergeCell ref="A20:A23"/>
    <mergeCell ref="B20:B23"/>
    <mergeCell ref="D108:D111"/>
    <mergeCell ref="E108:E111"/>
    <mergeCell ref="F108:F111"/>
    <mergeCell ref="D100:D103"/>
    <mergeCell ref="E100:E103"/>
    <mergeCell ref="F100:F103"/>
    <mergeCell ref="D92:D95"/>
    <mergeCell ref="E92:E95"/>
    <mergeCell ref="G108:G111"/>
    <mergeCell ref="N108:N111"/>
    <mergeCell ref="A108:A11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123"/>
  <sheetViews>
    <sheetView workbookViewId="0">
      <pane xSplit="3" ySplit="3" topLeftCell="D113" activePane="bottomRight" state="frozen"/>
      <selection pane="topRight" activeCell="D1" sqref="D1"/>
      <selection pane="bottomLeft" activeCell="A4" sqref="A4"/>
      <selection pane="bottomRight" activeCell="D116" sqref="D116:D119"/>
    </sheetView>
  </sheetViews>
  <sheetFormatPr defaultColWidth="8.81640625" defaultRowHeight="14.5" x14ac:dyDescent="0.35"/>
  <cols>
    <col min="1" max="1" width="7.81640625" style="22" customWidth="1"/>
    <col min="2" max="2" width="13.453125" style="22" customWidth="1"/>
    <col min="3" max="3" width="17.453125" style="22" customWidth="1"/>
    <col min="4" max="4" width="18.54296875" style="22" customWidth="1"/>
    <col min="5" max="5" width="17" style="22" customWidth="1"/>
    <col min="6" max="6" width="20.26953125" style="22" customWidth="1"/>
    <col min="7" max="7" width="12.453125" style="22" customWidth="1"/>
    <col min="8" max="8" width="16.1796875" style="22" customWidth="1"/>
    <col min="9" max="9" width="7.81640625" style="22" customWidth="1"/>
    <col min="10" max="10" width="8" style="22" customWidth="1"/>
    <col min="11" max="14" width="7.81640625" style="22" customWidth="1"/>
    <col min="15" max="15" width="8.1796875" style="22" customWidth="1"/>
    <col min="16" max="16" width="6.81640625" style="22" customWidth="1"/>
    <col min="17" max="19" width="7.81640625" style="22" customWidth="1"/>
    <col min="20" max="20" width="8.453125" style="22" customWidth="1"/>
    <col min="21" max="21" width="11" style="22" customWidth="1"/>
    <col min="22" max="22" width="13" style="22" customWidth="1"/>
    <col min="23" max="23" width="8.81640625" style="22"/>
    <col min="24" max="24" width="18.81640625" style="22" customWidth="1"/>
    <col min="25" max="25" width="11" style="22" customWidth="1"/>
    <col min="26" max="27" width="8.81640625" style="22"/>
    <col min="28" max="28" width="15.1796875" style="22" bestFit="1" customWidth="1"/>
    <col min="29" max="29" width="16.54296875" style="22" bestFit="1" customWidth="1"/>
    <col min="30" max="30" width="25.81640625" style="22" bestFit="1" customWidth="1"/>
    <col min="31" max="16384" width="8.81640625" style="22"/>
  </cols>
  <sheetData>
    <row r="1" spans="1:25" ht="18.75" x14ac:dyDescent="0.3">
      <c r="A1" s="239" t="s">
        <v>201</v>
      </c>
      <c r="B1" s="240"/>
      <c r="C1" s="240"/>
      <c r="D1" s="240"/>
      <c r="E1" s="240"/>
      <c r="F1" s="240"/>
      <c r="G1" s="240"/>
      <c r="H1" s="241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5" x14ac:dyDescent="0.35">
      <c r="A2" s="232" t="s">
        <v>151</v>
      </c>
      <c r="B2" s="232" t="s">
        <v>34</v>
      </c>
      <c r="C2" s="232" t="s">
        <v>12</v>
      </c>
      <c r="D2" s="232" t="s">
        <v>150</v>
      </c>
      <c r="E2" s="232" t="s">
        <v>149</v>
      </c>
      <c r="F2" s="232" t="s">
        <v>148</v>
      </c>
      <c r="G2" s="232" t="s">
        <v>209</v>
      </c>
      <c r="H2" s="232" t="s">
        <v>147</v>
      </c>
      <c r="I2" s="236" t="s">
        <v>146</v>
      </c>
      <c r="J2" s="237"/>
      <c r="K2" s="238"/>
      <c r="L2" s="236" t="s">
        <v>204</v>
      </c>
      <c r="M2" s="237"/>
      <c r="N2" s="238"/>
      <c r="O2" s="236" t="s">
        <v>211</v>
      </c>
      <c r="P2" s="237"/>
      <c r="Q2" s="238"/>
      <c r="R2" s="236" t="s">
        <v>208</v>
      </c>
      <c r="S2" s="237"/>
      <c r="T2" s="238"/>
      <c r="U2" s="234" t="s">
        <v>210</v>
      </c>
      <c r="V2" s="234" t="s">
        <v>212</v>
      </c>
      <c r="W2" s="234" t="s">
        <v>143</v>
      </c>
      <c r="X2" s="232" t="s">
        <v>39</v>
      </c>
      <c r="Y2" s="232" t="s">
        <v>38</v>
      </c>
    </row>
    <row r="3" spans="1:25" x14ac:dyDescent="0.35">
      <c r="A3" s="233"/>
      <c r="B3" s="233"/>
      <c r="C3" s="233"/>
      <c r="D3" s="233"/>
      <c r="E3" s="233"/>
      <c r="F3" s="233"/>
      <c r="G3" s="233"/>
      <c r="H3" s="233"/>
      <c r="I3" s="57" t="s">
        <v>43</v>
      </c>
      <c r="J3" s="57" t="s">
        <v>42</v>
      </c>
      <c r="K3" s="57" t="s">
        <v>41</v>
      </c>
      <c r="L3" s="60" t="s">
        <v>205</v>
      </c>
      <c r="M3" s="60" t="s">
        <v>206</v>
      </c>
      <c r="N3" s="60" t="s">
        <v>207</v>
      </c>
      <c r="O3" s="60" t="s">
        <v>205</v>
      </c>
      <c r="P3" s="60" t="s">
        <v>206</v>
      </c>
      <c r="Q3" s="60" t="s">
        <v>207</v>
      </c>
      <c r="R3" s="60" t="s">
        <v>205</v>
      </c>
      <c r="S3" s="60" t="s">
        <v>206</v>
      </c>
      <c r="T3" s="60" t="s">
        <v>207</v>
      </c>
      <c r="U3" s="235"/>
      <c r="V3" s="235"/>
      <c r="W3" s="235"/>
      <c r="X3" s="233"/>
      <c r="Y3" s="233"/>
    </row>
    <row r="4" spans="1:25" x14ac:dyDescent="0.35">
      <c r="A4" s="224" t="s">
        <v>142</v>
      </c>
      <c r="B4" s="226">
        <v>46174</v>
      </c>
      <c r="C4" s="58">
        <v>0</v>
      </c>
      <c r="D4" s="229" t="s">
        <v>202</v>
      </c>
      <c r="E4" s="224" t="s">
        <v>194</v>
      </c>
      <c r="F4" s="224" t="s">
        <v>218</v>
      </c>
      <c r="G4" s="224">
        <v>200</v>
      </c>
      <c r="H4" s="224" t="s">
        <v>217</v>
      </c>
      <c r="I4" s="17">
        <f>'1'!$E6+'1'!$N6</f>
        <v>0</v>
      </c>
      <c r="J4" s="17">
        <f>'1'!$F$6+'1'!$R$6</f>
        <v>0</v>
      </c>
      <c r="K4" s="17">
        <f>'1'!$G$6+'1'!$S$6</f>
        <v>0</v>
      </c>
      <c r="L4" s="17">
        <f>'1'!$AP6</f>
        <v>0</v>
      </c>
      <c r="M4" s="17">
        <f>'1'!$AQ6</f>
        <v>0</v>
      </c>
      <c r="N4" s="17">
        <f>'1'!$AR6</f>
        <v>0</v>
      </c>
      <c r="O4" s="61">
        <f>'1'!$AJ6</f>
        <v>0</v>
      </c>
      <c r="P4" s="61">
        <f>'1'!$AK6</f>
        <v>0</v>
      </c>
      <c r="Q4" s="61">
        <f>'1'!$AL6</f>
        <v>0</v>
      </c>
      <c r="R4" s="62">
        <f>'1'!$AM6</f>
        <v>0</v>
      </c>
      <c r="S4" s="62">
        <f>'1'!$AN6</f>
        <v>0</v>
      </c>
      <c r="T4" s="62">
        <f>'1'!$AO6</f>
        <v>0</v>
      </c>
      <c r="U4" s="63">
        <f>'1'!$AI6</f>
        <v>0</v>
      </c>
      <c r="V4" s="17">
        <f>'1'!$AH6</f>
        <v>0</v>
      </c>
      <c r="W4" s="224">
        <v>4</v>
      </c>
      <c r="X4" s="17">
        <f>'1'!CC6</f>
        <v>0</v>
      </c>
      <c r="Y4" s="59" t="s">
        <v>227</v>
      </c>
    </row>
    <row r="5" spans="1:25" x14ac:dyDescent="0.35">
      <c r="A5" s="225"/>
      <c r="B5" s="227"/>
      <c r="C5" s="58">
        <v>0.25</v>
      </c>
      <c r="D5" s="230"/>
      <c r="E5" s="225"/>
      <c r="F5" s="225"/>
      <c r="G5" s="225"/>
      <c r="H5" s="225"/>
      <c r="I5" s="17">
        <f>'1'!$E12+'1'!$N12</f>
        <v>0</v>
      </c>
      <c r="J5" s="17">
        <f>'1'!$F$12+'1'!$R$12</f>
        <v>0</v>
      </c>
      <c r="K5" s="17">
        <f>'1'!$G$12+'1'!$S$12</f>
        <v>0</v>
      </c>
      <c r="L5" s="17">
        <f>'1'!$AP12</f>
        <v>0</v>
      </c>
      <c r="M5" s="17">
        <f>'1'!$AQ12</f>
        <v>0</v>
      </c>
      <c r="N5" s="17">
        <f>'1'!$AR12</f>
        <v>0</v>
      </c>
      <c r="O5" s="61">
        <f>'1'!$AJ12</f>
        <v>0</v>
      </c>
      <c r="P5" s="61">
        <f>'1'!$AK12</f>
        <v>0</v>
      </c>
      <c r="Q5" s="61">
        <f>'1'!$AL12</f>
        <v>0</v>
      </c>
      <c r="R5" s="62">
        <f>'1'!$AM12</f>
        <v>0</v>
      </c>
      <c r="S5" s="62">
        <f>'1'!$AN12</f>
        <v>0</v>
      </c>
      <c r="T5" s="62">
        <f>'1'!$AO12</f>
        <v>0</v>
      </c>
      <c r="U5" s="63">
        <f>'1'!$AI12</f>
        <v>0</v>
      </c>
      <c r="V5" s="17">
        <f>'1'!$AH12</f>
        <v>0</v>
      </c>
      <c r="W5" s="225"/>
      <c r="X5" s="17">
        <f>'1'!CC$12</f>
        <v>0</v>
      </c>
      <c r="Y5" s="59" t="s">
        <v>227</v>
      </c>
    </row>
    <row r="6" spans="1:25" x14ac:dyDescent="0.35">
      <c r="A6" s="225"/>
      <c r="B6" s="227"/>
      <c r="C6" s="58">
        <v>0.5</v>
      </c>
      <c r="D6" s="230"/>
      <c r="E6" s="225"/>
      <c r="F6" s="225"/>
      <c r="G6" s="225"/>
      <c r="H6" s="225"/>
      <c r="I6" s="17">
        <f>'1'!$E$18+'1'!$Q$18</f>
        <v>0</v>
      </c>
      <c r="J6" s="17">
        <f>'1'!$F$18+'1'!$R$18</f>
        <v>0</v>
      </c>
      <c r="K6" s="17">
        <f>'1'!$G$18+'1'!$S$18</f>
        <v>0</v>
      </c>
      <c r="L6" s="17">
        <f>'1'!$AP18</f>
        <v>0</v>
      </c>
      <c r="M6" s="17">
        <f>'1'!$AQ18</f>
        <v>0</v>
      </c>
      <c r="N6" s="17">
        <f>'1'!$AR18</f>
        <v>0</v>
      </c>
      <c r="O6" s="61">
        <f>'1'!$AJ18</f>
        <v>0</v>
      </c>
      <c r="P6" s="61">
        <f>'1'!$AK18</f>
        <v>0</v>
      </c>
      <c r="Q6" s="61">
        <f>'1'!$AL18</f>
        <v>0</v>
      </c>
      <c r="R6" s="62">
        <f>'1'!$AM18</f>
        <v>0</v>
      </c>
      <c r="S6" s="62">
        <f>'1'!$AN18</f>
        <v>0</v>
      </c>
      <c r="T6" s="62">
        <f>'1'!$AO18</f>
        <v>0</v>
      </c>
      <c r="U6" s="63">
        <f>'1'!$AI18</f>
        <v>0</v>
      </c>
      <c r="V6" s="17">
        <f>'1'!$AH18</f>
        <v>0</v>
      </c>
      <c r="W6" s="225"/>
      <c r="X6" s="17">
        <f>'1'!CC$18</f>
        <v>0</v>
      </c>
      <c r="Y6" s="59" t="s">
        <v>227</v>
      </c>
    </row>
    <row r="7" spans="1:25" x14ac:dyDescent="0.35">
      <c r="A7" s="225"/>
      <c r="B7" s="227"/>
      <c r="C7" s="58">
        <v>0.75</v>
      </c>
      <c r="D7" s="231"/>
      <c r="E7" s="228"/>
      <c r="F7" s="228"/>
      <c r="G7" s="228"/>
      <c r="H7" s="228"/>
      <c r="I7" s="17">
        <f>'1'!$E$24+'1'!$Q$24</f>
        <v>0</v>
      </c>
      <c r="J7" s="17">
        <f>'1'!$F$24+'1'!$R$24</f>
        <v>0</v>
      </c>
      <c r="K7" s="17">
        <f>'1'!$G$24+'1'!$S$24</f>
        <v>0</v>
      </c>
      <c r="L7" s="17">
        <f>'1'!$AP24</f>
        <v>0</v>
      </c>
      <c r="M7" s="17">
        <f>'1'!$AQ24</f>
        <v>0</v>
      </c>
      <c r="N7" s="17">
        <f>'1'!$AR24</f>
        <v>0</v>
      </c>
      <c r="O7" s="61">
        <f>'1'!$AJ24</f>
        <v>0</v>
      </c>
      <c r="P7" s="61">
        <f>'1'!$AK24</f>
        <v>0</v>
      </c>
      <c r="Q7" s="61">
        <f>'1'!$AL24</f>
        <v>0</v>
      </c>
      <c r="R7" s="62">
        <f>'1'!$AM24</f>
        <v>0</v>
      </c>
      <c r="S7" s="62">
        <f>'1'!$AN24</f>
        <v>0</v>
      </c>
      <c r="T7" s="62">
        <f>'1'!$AO24</f>
        <v>0</v>
      </c>
      <c r="U7" s="63">
        <f>'1'!$AI24</f>
        <v>0</v>
      </c>
      <c r="V7" s="17">
        <f>'1'!$AH24</f>
        <v>0</v>
      </c>
      <c r="W7" s="228"/>
      <c r="X7" s="17">
        <f>'1'!CC$24</f>
        <v>0</v>
      </c>
      <c r="Y7" s="59" t="s">
        <v>227</v>
      </c>
    </row>
    <row r="8" spans="1:25" x14ac:dyDescent="0.35">
      <c r="A8" s="224" t="s">
        <v>142</v>
      </c>
      <c r="B8" s="226">
        <v>46175</v>
      </c>
      <c r="C8" s="58">
        <v>4</v>
      </c>
      <c r="D8" s="229" t="s">
        <v>202</v>
      </c>
      <c r="E8" s="224" t="s">
        <v>194</v>
      </c>
      <c r="F8" s="224" t="s">
        <v>218</v>
      </c>
      <c r="G8" s="224">
        <v>200</v>
      </c>
      <c r="H8" s="224" t="s">
        <v>217</v>
      </c>
      <c r="I8" s="17">
        <f>'2'!$E6+'2'!$N6</f>
        <v>0</v>
      </c>
      <c r="J8" s="17">
        <f>'2'!$F$6+'2'!$R$6</f>
        <v>0</v>
      </c>
      <c r="K8" s="17">
        <f>'2'!$G$6+'2'!$S$6</f>
        <v>0</v>
      </c>
      <c r="L8" s="17">
        <f>'2'!$AP6</f>
        <v>0</v>
      </c>
      <c r="M8" s="17">
        <f>'2'!$AQ6</f>
        <v>0</v>
      </c>
      <c r="N8" s="17">
        <f>'2'!$AR6</f>
        <v>0</v>
      </c>
      <c r="O8" s="61">
        <f>'2'!$AJ6</f>
        <v>0</v>
      </c>
      <c r="P8" s="61">
        <f>'2'!$AK6</f>
        <v>0</v>
      </c>
      <c r="Q8" s="61">
        <f>'2'!$AL6</f>
        <v>0</v>
      </c>
      <c r="R8" s="62">
        <f>'2'!$AM6</f>
        <v>0</v>
      </c>
      <c r="S8" s="62">
        <f>'2'!$AN6</f>
        <v>0</v>
      </c>
      <c r="T8" s="62">
        <f>'2'!$AO6</f>
        <v>0</v>
      </c>
      <c r="U8" s="63">
        <f>'2'!$AI6</f>
        <v>0</v>
      </c>
      <c r="V8" s="17">
        <f>'2'!$AH6</f>
        <v>0</v>
      </c>
      <c r="W8" s="224">
        <v>4</v>
      </c>
      <c r="X8" s="17">
        <f>'2'!CC6</f>
        <v>0</v>
      </c>
      <c r="Y8" s="59" t="s">
        <v>227</v>
      </c>
    </row>
    <row r="9" spans="1:25" x14ac:dyDescent="0.35">
      <c r="A9" s="225"/>
      <c r="B9" s="227"/>
      <c r="C9" s="58">
        <v>4.25</v>
      </c>
      <c r="D9" s="230"/>
      <c r="E9" s="225"/>
      <c r="F9" s="225"/>
      <c r="G9" s="225"/>
      <c r="H9" s="225"/>
      <c r="I9" s="17">
        <f>'2'!$E20+'2'!$N20</f>
        <v>0</v>
      </c>
      <c r="J9" s="17">
        <f>'2'!$F$12+'2'!$R$12</f>
        <v>0</v>
      </c>
      <c r="K9" s="17">
        <f>'2'!$G$12+'2'!$S$12</f>
        <v>0</v>
      </c>
      <c r="L9" s="17">
        <f>'2'!$AP12</f>
        <v>0</v>
      </c>
      <c r="M9" s="17">
        <f>'2'!$AQ12</f>
        <v>0</v>
      </c>
      <c r="N9" s="17">
        <f>'2'!$AR12</f>
        <v>0</v>
      </c>
      <c r="O9" s="61">
        <f>'2'!$AJ12</f>
        <v>0</v>
      </c>
      <c r="P9" s="61">
        <f>'2'!$AK12</f>
        <v>0</v>
      </c>
      <c r="Q9" s="61">
        <f>'2'!$AL12</f>
        <v>0</v>
      </c>
      <c r="R9" s="62">
        <f>'2'!$AM12</f>
        <v>0</v>
      </c>
      <c r="S9" s="62">
        <f>'2'!$AN12</f>
        <v>0</v>
      </c>
      <c r="T9" s="62">
        <f>'2'!$AO12</f>
        <v>0</v>
      </c>
      <c r="U9" s="63">
        <f>'2'!$AI12</f>
        <v>0</v>
      </c>
      <c r="V9" s="17">
        <f>'2'!$AH12</f>
        <v>0</v>
      </c>
      <c r="W9" s="225"/>
      <c r="X9" s="17">
        <f>'2'!CC$12</f>
        <v>0</v>
      </c>
      <c r="Y9" s="59" t="s">
        <v>227</v>
      </c>
    </row>
    <row r="10" spans="1:25" x14ac:dyDescent="0.35">
      <c r="A10" s="225"/>
      <c r="B10" s="227"/>
      <c r="C10" s="58">
        <v>4.5</v>
      </c>
      <c r="D10" s="230"/>
      <c r="E10" s="225"/>
      <c r="F10" s="225"/>
      <c r="G10" s="225"/>
      <c r="H10" s="225"/>
      <c r="I10" s="17">
        <f>'2'!$E$18+'2'!$Q$18</f>
        <v>0</v>
      </c>
      <c r="J10" s="17">
        <f>'2'!$F$18+'2'!$R$18</f>
        <v>0</v>
      </c>
      <c r="K10" s="17">
        <f>'2'!$G$18+'2'!$S$18</f>
        <v>0</v>
      </c>
      <c r="L10" s="17">
        <f>'2'!$AP18</f>
        <v>0</v>
      </c>
      <c r="M10" s="17">
        <f>'2'!$AQ18</f>
        <v>0</v>
      </c>
      <c r="N10" s="17">
        <f>'2'!$AR18</f>
        <v>0</v>
      </c>
      <c r="O10" s="61">
        <f>'2'!$AJ18</f>
        <v>0</v>
      </c>
      <c r="P10" s="61">
        <f>'2'!$AK18</f>
        <v>0</v>
      </c>
      <c r="Q10" s="61">
        <f>'2'!$AL18</f>
        <v>0</v>
      </c>
      <c r="R10" s="62">
        <f>'2'!$AM18</f>
        <v>0</v>
      </c>
      <c r="S10" s="62">
        <f>'2'!$AN18</f>
        <v>0</v>
      </c>
      <c r="T10" s="62">
        <f>'2'!$AO18</f>
        <v>0</v>
      </c>
      <c r="U10" s="63">
        <f>'2'!$AI18</f>
        <v>0</v>
      </c>
      <c r="V10" s="17">
        <f>'2'!$AH18</f>
        <v>0</v>
      </c>
      <c r="W10" s="225"/>
      <c r="X10" s="17">
        <f>'2'!CC$18</f>
        <v>0</v>
      </c>
      <c r="Y10" s="59" t="s">
        <v>227</v>
      </c>
    </row>
    <row r="11" spans="1:25" x14ac:dyDescent="0.35">
      <c r="A11" s="225"/>
      <c r="B11" s="227"/>
      <c r="C11" s="58">
        <v>4.75</v>
      </c>
      <c r="D11" s="231"/>
      <c r="E11" s="228"/>
      <c r="F11" s="228"/>
      <c r="G11" s="228"/>
      <c r="H11" s="228"/>
      <c r="I11" s="17">
        <f>'2'!$E$24+'2'!$Q$24</f>
        <v>0</v>
      </c>
      <c r="J11" s="17">
        <f>'2'!$F$24+'2'!$R$24</f>
        <v>0</v>
      </c>
      <c r="K11" s="17">
        <f>'2'!$G$24+'2'!$S$24</f>
        <v>0</v>
      </c>
      <c r="L11" s="17">
        <f>'2'!$AP24</f>
        <v>0</v>
      </c>
      <c r="M11" s="17">
        <f>'2'!$AQ24</f>
        <v>0</v>
      </c>
      <c r="N11" s="17">
        <f>'2'!$AR24</f>
        <v>0</v>
      </c>
      <c r="O11" s="61">
        <f>'2'!$AJ24</f>
        <v>0</v>
      </c>
      <c r="P11" s="61">
        <f>'2'!$AK24</f>
        <v>0</v>
      </c>
      <c r="Q11" s="61">
        <f>'2'!$AL24</f>
        <v>0</v>
      </c>
      <c r="R11" s="62">
        <f>'2'!$AM24</f>
        <v>0</v>
      </c>
      <c r="S11" s="62">
        <f>'2'!$AN24</f>
        <v>0</v>
      </c>
      <c r="T11" s="62">
        <f>'2'!$AO24</f>
        <v>0</v>
      </c>
      <c r="U11" s="63">
        <f>'2'!$AI24</f>
        <v>0</v>
      </c>
      <c r="V11" s="17">
        <f>'2'!$AH24</f>
        <v>0</v>
      </c>
      <c r="W11" s="228"/>
      <c r="X11" s="17">
        <f>'2'!CC$24</f>
        <v>0</v>
      </c>
      <c r="Y11" s="59" t="s">
        <v>227</v>
      </c>
    </row>
    <row r="12" spans="1:25" x14ac:dyDescent="0.35">
      <c r="A12" s="224" t="s">
        <v>142</v>
      </c>
      <c r="B12" s="226">
        <v>46176</v>
      </c>
      <c r="C12" s="58">
        <v>8</v>
      </c>
      <c r="D12" s="229" t="s">
        <v>202</v>
      </c>
      <c r="E12" s="224" t="s">
        <v>194</v>
      </c>
      <c r="F12" s="224" t="s">
        <v>218</v>
      </c>
      <c r="G12" s="224">
        <v>200</v>
      </c>
      <c r="H12" s="224" t="s">
        <v>217</v>
      </c>
      <c r="I12" s="17">
        <f>'3'!$E6+'3'!$N6</f>
        <v>0</v>
      </c>
      <c r="J12" s="17">
        <f>'3'!$F$6+'3'!$R$6</f>
        <v>0</v>
      </c>
      <c r="K12" s="17">
        <f>'3'!$G$6+'3'!$S$6</f>
        <v>0</v>
      </c>
      <c r="L12" s="17">
        <f>'3'!$AP6</f>
        <v>0</v>
      </c>
      <c r="M12" s="17">
        <f>'3'!$AQ6</f>
        <v>0</v>
      </c>
      <c r="N12" s="17">
        <f>'3'!$AR6</f>
        <v>0</v>
      </c>
      <c r="O12" s="61">
        <f>'3'!$AJ6</f>
        <v>0</v>
      </c>
      <c r="P12" s="61">
        <f>'3'!$AK6</f>
        <v>0</v>
      </c>
      <c r="Q12" s="61">
        <f>'3'!$AL6</f>
        <v>0</v>
      </c>
      <c r="R12" s="62">
        <f>'3'!$AM6</f>
        <v>0</v>
      </c>
      <c r="S12" s="62">
        <f>'3'!$AN6</f>
        <v>0</v>
      </c>
      <c r="T12" s="62">
        <f>'3'!$AO6</f>
        <v>0</v>
      </c>
      <c r="U12" s="63">
        <f>'3'!$AI6</f>
        <v>0</v>
      </c>
      <c r="V12" s="17">
        <f>'3'!$AH6</f>
        <v>0</v>
      </c>
      <c r="W12" s="224">
        <v>4</v>
      </c>
      <c r="X12" s="17">
        <f>'3'!CC6</f>
        <v>0</v>
      </c>
      <c r="Y12" s="59" t="s">
        <v>227</v>
      </c>
    </row>
    <row r="13" spans="1:25" x14ac:dyDescent="0.35">
      <c r="A13" s="225"/>
      <c r="B13" s="227"/>
      <c r="C13" s="58">
        <v>8.25</v>
      </c>
      <c r="D13" s="230"/>
      <c r="E13" s="225"/>
      <c r="F13" s="225"/>
      <c r="G13" s="225"/>
      <c r="H13" s="225"/>
      <c r="I13" s="17">
        <f>'3'!$E12+'3'!$N12</f>
        <v>0</v>
      </c>
      <c r="J13" s="17">
        <f>'3'!$F$12+'3'!$R$12</f>
        <v>0</v>
      </c>
      <c r="K13" s="17">
        <f>'3'!$G$12+'3'!$S$12</f>
        <v>0</v>
      </c>
      <c r="L13" s="17">
        <f>'3'!$AP12</f>
        <v>0</v>
      </c>
      <c r="M13" s="17">
        <f>'3'!$AQ12</f>
        <v>0</v>
      </c>
      <c r="N13" s="17">
        <f>'3'!$AR12</f>
        <v>0</v>
      </c>
      <c r="O13" s="61">
        <f>'3'!$AJ12</f>
        <v>0</v>
      </c>
      <c r="P13" s="61">
        <f>'3'!$AK12</f>
        <v>0</v>
      </c>
      <c r="Q13" s="61">
        <f>'3'!$AL12</f>
        <v>0</v>
      </c>
      <c r="R13" s="62">
        <f>'3'!$AM12</f>
        <v>0</v>
      </c>
      <c r="S13" s="62">
        <f>'3'!$AN12</f>
        <v>0</v>
      </c>
      <c r="T13" s="62">
        <f>'3'!$AO12</f>
        <v>0</v>
      </c>
      <c r="U13" s="63">
        <f>'3'!$AI12</f>
        <v>0</v>
      </c>
      <c r="V13" s="17">
        <f>'3'!$AH12</f>
        <v>0</v>
      </c>
      <c r="W13" s="225"/>
      <c r="X13" s="17">
        <f>'3'!CC$12</f>
        <v>0</v>
      </c>
      <c r="Y13" s="59" t="s">
        <v>227</v>
      </c>
    </row>
    <row r="14" spans="1:25" x14ac:dyDescent="0.35">
      <c r="A14" s="225"/>
      <c r="B14" s="227"/>
      <c r="C14" s="58">
        <v>8.5</v>
      </c>
      <c r="D14" s="230"/>
      <c r="E14" s="225"/>
      <c r="F14" s="225"/>
      <c r="G14" s="225"/>
      <c r="H14" s="225"/>
      <c r="I14" s="17">
        <f>'3'!$E$18+'3'!$Q$18</f>
        <v>0</v>
      </c>
      <c r="J14" s="17">
        <f>'3'!$F$18+'3'!$R$18</f>
        <v>0</v>
      </c>
      <c r="K14" s="17">
        <f>'3'!$G$18+'3'!$S$18</f>
        <v>0</v>
      </c>
      <c r="L14" s="17">
        <f>'3'!$AP18</f>
        <v>0</v>
      </c>
      <c r="M14" s="17">
        <f>'3'!$AQ18</f>
        <v>0</v>
      </c>
      <c r="N14" s="17">
        <f>'3'!$AR18</f>
        <v>0</v>
      </c>
      <c r="O14" s="61">
        <f>'3'!$AJ18</f>
        <v>0</v>
      </c>
      <c r="P14" s="61">
        <f>'3'!$AK18</f>
        <v>0</v>
      </c>
      <c r="Q14" s="61">
        <f>'3'!$AL18</f>
        <v>0</v>
      </c>
      <c r="R14" s="62">
        <f>'3'!$AM18</f>
        <v>0</v>
      </c>
      <c r="S14" s="62">
        <f>'3'!$AN18</f>
        <v>0</v>
      </c>
      <c r="T14" s="62">
        <f>'3'!$AO18</f>
        <v>0</v>
      </c>
      <c r="U14" s="63">
        <f>'3'!$AI18</f>
        <v>0</v>
      </c>
      <c r="V14" s="17">
        <f>'3'!$AH18</f>
        <v>0</v>
      </c>
      <c r="W14" s="225"/>
      <c r="X14" s="17">
        <f>'3'!CC$18</f>
        <v>0</v>
      </c>
      <c r="Y14" s="59" t="s">
        <v>227</v>
      </c>
    </row>
    <row r="15" spans="1:25" x14ac:dyDescent="0.35">
      <c r="A15" s="225"/>
      <c r="B15" s="227"/>
      <c r="C15" s="58">
        <v>8.75</v>
      </c>
      <c r="D15" s="231"/>
      <c r="E15" s="228"/>
      <c r="F15" s="228"/>
      <c r="G15" s="228"/>
      <c r="H15" s="228"/>
      <c r="I15" s="17">
        <f>'3'!$E$24+'3'!$Q$24</f>
        <v>0</v>
      </c>
      <c r="J15" s="17">
        <f>'3'!$F$24+'3'!$R$24</f>
        <v>0</v>
      </c>
      <c r="K15" s="17">
        <f>'3'!$G$24+'3'!$S$24</f>
        <v>0</v>
      </c>
      <c r="L15" s="17">
        <f>'3'!$AP24</f>
        <v>0</v>
      </c>
      <c r="M15" s="17">
        <f>'3'!$AQ24</f>
        <v>0</v>
      </c>
      <c r="N15" s="17">
        <f>'3'!$AR24</f>
        <v>0</v>
      </c>
      <c r="O15" s="61">
        <f>'3'!$AJ24</f>
        <v>0</v>
      </c>
      <c r="P15" s="61">
        <f>'3'!$AK24</f>
        <v>0</v>
      </c>
      <c r="Q15" s="61">
        <f>'3'!$AL24</f>
        <v>0</v>
      </c>
      <c r="R15" s="62">
        <f>'3'!$AM24</f>
        <v>0</v>
      </c>
      <c r="S15" s="62">
        <f>'3'!$AN24</f>
        <v>0</v>
      </c>
      <c r="T15" s="62">
        <f>'3'!$AO24</f>
        <v>0</v>
      </c>
      <c r="U15" s="63">
        <f>'3'!$AI24</f>
        <v>0</v>
      </c>
      <c r="V15" s="17">
        <f>'3'!$AH24</f>
        <v>0</v>
      </c>
      <c r="W15" s="228"/>
      <c r="X15" s="17">
        <f>'3'!CC$24</f>
        <v>0</v>
      </c>
      <c r="Y15" s="59" t="s">
        <v>227</v>
      </c>
    </row>
    <row r="16" spans="1:25" x14ac:dyDescent="0.35">
      <c r="A16" s="224" t="s">
        <v>142</v>
      </c>
      <c r="B16" s="226">
        <v>46177</v>
      </c>
      <c r="C16" s="58">
        <v>12</v>
      </c>
      <c r="D16" s="229" t="s">
        <v>202</v>
      </c>
      <c r="E16" s="224" t="s">
        <v>194</v>
      </c>
      <c r="F16" s="224" t="s">
        <v>218</v>
      </c>
      <c r="G16" s="224">
        <v>200</v>
      </c>
      <c r="H16" s="224" t="s">
        <v>217</v>
      </c>
      <c r="I16" s="17">
        <f>'4'!$E6+'4'!$N6</f>
        <v>0</v>
      </c>
      <c r="J16" s="17">
        <f>'4'!$F$6+'4'!$R$6</f>
        <v>0</v>
      </c>
      <c r="K16" s="17">
        <f>'4'!$G$6+'4'!$S$6</f>
        <v>0</v>
      </c>
      <c r="L16" s="17">
        <f>'4'!$AP6</f>
        <v>0</v>
      </c>
      <c r="M16" s="17">
        <f>'4'!$AQ6</f>
        <v>0</v>
      </c>
      <c r="N16" s="17">
        <f>'4'!$AR6</f>
        <v>0</v>
      </c>
      <c r="O16" s="61">
        <f>'4'!$AJ6</f>
        <v>0</v>
      </c>
      <c r="P16" s="61">
        <f>'4'!$AK6</f>
        <v>0</v>
      </c>
      <c r="Q16" s="61">
        <f>'4'!$AL6</f>
        <v>0</v>
      </c>
      <c r="R16" s="62">
        <f>'4'!$AM6</f>
        <v>0</v>
      </c>
      <c r="S16" s="62">
        <f>'4'!$AN6</f>
        <v>0</v>
      </c>
      <c r="T16" s="62">
        <f>'4'!$AO6</f>
        <v>0</v>
      </c>
      <c r="U16" s="63">
        <f>'4'!$AI6</f>
        <v>0</v>
      </c>
      <c r="V16" s="17">
        <f>'4'!$AH6</f>
        <v>0</v>
      </c>
      <c r="W16" s="224">
        <v>4</v>
      </c>
      <c r="X16" s="17">
        <f>'4'!CC6</f>
        <v>0</v>
      </c>
      <c r="Y16" s="59" t="s">
        <v>227</v>
      </c>
    </row>
    <row r="17" spans="1:25" x14ac:dyDescent="0.35">
      <c r="A17" s="225"/>
      <c r="B17" s="227"/>
      <c r="C17" s="58">
        <v>12.25</v>
      </c>
      <c r="D17" s="230"/>
      <c r="E17" s="225"/>
      <c r="F17" s="225"/>
      <c r="G17" s="225"/>
      <c r="H17" s="225"/>
      <c r="I17" s="17">
        <f>'4'!$E12+'4'!$N12</f>
        <v>0</v>
      </c>
      <c r="J17" s="17">
        <f>'4'!$F$12+'4'!$R$12</f>
        <v>0</v>
      </c>
      <c r="K17" s="17">
        <f>'4'!$G$12+'4'!$S$12</f>
        <v>0</v>
      </c>
      <c r="L17" s="17">
        <f>'4'!$AP12</f>
        <v>0</v>
      </c>
      <c r="M17" s="17">
        <f>'4'!$AQ12</f>
        <v>0</v>
      </c>
      <c r="N17" s="17">
        <f>'4'!$AR12</f>
        <v>0</v>
      </c>
      <c r="O17" s="61">
        <f>'4'!$AJ12</f>
        <v>0</v>
      </c>
      <c r="P17" s="61">
        <f>'4'!$AK12</f>
        <v>0</v>
      </c>
      <c r="Q17" s="61">
        <f>'4'!$AL12</f>
        <v>0</v>
      </c>
      <c r="R17" s="62">
        <f>'4'!$AM12</f>
        <v>0</v>
      </c>
      <c r="S17" s="62">
        <f>'4'!$AN12</f>
        <v>0</v>
      </c>
      <c r="T17" s="62">
        <f>'4'!$AO12</f>
        <v>0</v>
      </c>
      <c r="U17" s="63">
        <f>'4'!$AI12</f>
        <v>0</v>
      </c>
      <c r="V17" s="17">
        <f>'4'!$AH12</f>
        <v>0</v>
      </c>
      <c r="W17" s="225"/>
      <c r="X17" s="17">
        <f>'4'!CC$12</f>
        <v>0</v>
      </c>
      <c r="Y17" s="59" t="s">
        <v>227</v>
      </c>
    </row>
    <row r="18" spans="1:25" x14ac:dyDescent="0.35">
      <c r="A18" s="225"/>
      <c r="B18" s="227"/>
      <c r="C18" s="58">
        <v>12.5</v>
      </c>
      <c r="D18" s="230"/>
      <c r="E18" s="225"/>
      <c r="F18" s="225"/>
      <c r="G18" s="225"/>
      <c r="H18" s="225"/>
      <c r="I18" s="17">
        <f>'4'!$E$18+'4'!$Q$18</f>
        <v>0</v>
      </c>
      <c r="J18" s="17">
        <f>'4'!$F$18+'4'!$R$18</f>
        <v>0</v>
      </c>
      <c r="K18" s="17">
        <f>'4'!$G$18+'4'!$S$18</f>
        <v>0</v>
      </c>
      <c r="L18" s="17">
        <f>'4'!$AP18</f>
        <v>0</v>
      </c>
      <c r="M18" s="17">
        <f>'4'!$AQ18</f>
        <v>0</v>
      </c>
      <c r="N18" s="17">
        <f>'4'!$AR18</f>
        <v>0</v>
      </c>
      <c r="O18" s="61">
        <f>'4'!$AJ18</f>
        <v>0</v>
      </c>
      <c r="P18" s="61">
        <f>'4'!$AK18</f>
        <v>0</v>
      </c>
      <c r="Q18" s="61">
        <f>'4'!$AL18</f>
        <v>0</v>
      </c>
      <c r="R18" s="62">
        <f>'4'!$AM18</f>
        <v>0</v>
      </c>
      <c r="S18" s="62">
        <f>'4'!$AN18</f>
        <v>0</v>
      </c>
      <c r="T18" s="62">
        <f>'4'!$AO18</f>
        <v>0</v>
      </c>
      <c r="U18" s="63">
        <f>'4'!$AI18</f>
        <v>0</v>
      </c>
      <c r="V18" s="17">
        <f>'4'!$AH18</f>
        <v>0</v>
      </c>
      <c r="W18" s="225"/>
      <c r="X18" s="17">
        <f>'4'!CC$18</f>
        <v>0</v>
      </c>
      <c r="Y18" s="59" t="s">
        <v>227</v>
      </c>
    </row>
    <row r="19" spans="1:25" x14ac:dyDescent="0.35">
      <c r="A19" s="225"/>
      <c r="B19" s="227"/>
      <c r="C19" s="58">
        <v>12.75</v>
      </c>
      <c r="D19" s="231"/>
      <c r="E19" s="228"/>
      <c r="F19" s="228"/>
      <c r="G19" s="228"/>
      <c r="H19" s="228"/>
      <c r="I19" s="17">
        <f>'4'!$E$24+'4'!$Q$24</f>
        <v>0</v>
      </c>
      <c r="J19" s="17">
        <f>'4'!$F$24+'4'!$R$24</f>
        <v>0</v>
      </c>
      <c r="K19" s="17">
        <f>'4'!$G$24+'4'!$S$24</f>
        <v>0</v>
      </c>
      <c r="L19" s="17">
        <f>'4'!$AP24</f>
        <v>0</v>
      </c>
      <c r="M19" s="17">
        <f>'4'!$AQ24</f>
        <v>0</v>
      </c>
      <c r="N19" s="17">
        <f>'4'!$AR24</f>
        <v>0</v>
      </c>
      <c r="O19" s="61">
        <f>'4'!$AJ24</f>
        <v>0</v>
      </c>
      <c r="P19" s="61">
        <f>'4'!$AK24</f>
        <v>0</v>
      </c>
      <c r="Q19" s="61">
        <f>'4'!$AL24</f>
        <v>0</v>
      </c>
      <c r="R19" s="62">
        <f>'4'!$AM24</f>
        <v>0</v>
      </c>
      <c r="S19" s="62">
        <f>'4'!$AN24</f>
        <v>0</v>
      </c>
      <c r="T19" s="62">
        <f>'4'!$AO24</f>
        <v>0</v>
      </c>
      <c r="U19" s="63">
        <f>'4'!$AI24</f>
        <v>0</v>
      </c>
      <c r="V19" s="17">
        <f>'4'!$AH24</f>
        <v>0</v>
      </c>
      <c r="W19" s="228"/>
      <c r="X19" s="17">
        <f>'4'!CC$24</f>
        <v>0</v>
      </c>
      <c r="Y19" s="59" t="s">
        <v>227</v>
      </c>
    </row>
    <row r="20" spans="1:25" x14ac:dyDescent="0.35">
      <c r="A20" s="224" t="s">
        <v>142</v>
      </c>
      <c r="B20" s="226">
        <v>46178</v>
      </c>
      <c r="C20" s="58">
        <v>16</v>
      </c>
      <c r="D20" s="229" t="s">
        <v>202</v>
      </c>
      <c r="E20" s="224" t="s">
        <v>194</v>
      </c>
      <c r="F20" s="224" t="s">
        <v>218</v>
      </c>
      <c r="G20" s="224">
        <v>200</v>
      </c>
      <c r="H20" s="224" t="s">
        <v>217</v>
      </c>
      <c r="I20" s="17">
        <f>'5'!$E12+'5'!$N12</f>
        <v>0</v>
      </c>
      <c r="J20" s="17">
        <f>'5'!$F$6+'5'!$R$6</f>
        <v>0</v>
      </c>
      <c r="K20" s="17">
        <f>'5'!$G$6+'5'!$S$6</f>
        <v>0</v>
      </c>
      <c r="L20" s="17">
        <f>'5'!$AP6</f>
        <v>0</v>
      </c>
      <c r="M20" s="17">
        <f>'5'!$AQ6</f>
        <v>0</v>
      </c>
      <c r="N20" s="17">
        <f>'5'!$AR6</f>
        <v>0</v>
      </c>
      <c r="O20" s="61">
        <f>'5'!$AJ6</f>
        <v>0</v>
      </c>
      <c r="P20" s="61">
        <f>'5'!$AK6</f>
        <v>0</v>
      </c>
      <c r="Q20" s="61">
        <f>'5'!$AL6</f>
        <v>0</v>
      </c>
      <c r="R20" s="62">
        <f>'5'!$AM6</f>
        <v>0</v>
      </c>
      <c r="S20" s="62">
        <f>'5'!$AN6</f>
        <v>0</v>
      </c>
      <c r="T20" s="62">
        <f>'5'!$AO6</f>
        <v>0</v>
      </c>
      <c r="U20" s="63">
        <f>'5'!$AI6</f>
        <v>0</v>
      </c>
      <c r="V20" s="17">
        <f>'5'!$AH6</f>
        <v>0</v>
      </c>
      <c r="W20" s="224">
        <v>4</v>
      </c>
      <c r="X20" s="17">
        <f>'5'!CC6</f>
        <v>0</v>
      </c>
      <c r="Y20" s="59" t="s">
        <v>227</v>
      </c>
    </row>
    <row r="21" spans="1:25" x14ac:dyDescent="0.35">
      <c r="A21" s="225"/>
      <c r="B21" s="227"/>
      <c r="C21" s="58">
        <v>16.25</v>
      </c>
      <c r="D21" s="230"/>
      <c r="E21" s="225"/>
      <c r="F21" s="225"/>
      <c r="G21" s="225"/>
      <c r="H21" s="225"/>
      <c r="I21" s="17">
        <f>'5'!$E12+'5'!$N12</f>
        <v>0</v>
      </c>
      <c r="J21" s="17">
        <f>'5'!$F$12+'5'!$R$12</f>
        <v>0</v>
      </c>
      <c r="K21" s="17">
        <f>'5'!$G$12+'5'!$S$12</f>
        <v>0</v>
      </c>
      <c r="L21" s="17">
        <f>'5'!$AP12</f>
        <v>0</v>
      </c>
      <c r="M21" s="17">
        <f>'5'!$AQ12</f>
        <v>0</v>
      </c>
      <c r="N21" s="17">
        <f>'5'!$AR12</f>
        <v>0</v>
      </c>
      <c r="O21" s="61">
        <f>'5'!$AJ12</f>
        <v>0</v>
      </c>
      <c r="P21" s="61">
        <f>'5'!$AK12</f>
        <v>0</v>
      </c>
      <c r="Q21" s="61">
        <f>'5'!$AL12</f>
        <v>0</v>
      </c>
      <c r="R21" s="62">
        <f>'5'!$AM12</f>
        <v>0</v>
      </c>
      <c r="S21" s="62">
        <f>'5'!$AN12</f>
        <v>0</v>
      </c>
      <c r="T21" s="62">
        <f>'5'!$AO12</f>
        <v>0</v>
      </c>
      <c r="U21" s="63">
        <f>'5'!$AI12</f>
        <v>0</v>
      </c>
      <c r="V21" s="17">
        <f>'5'!$AH12</f>
        <v>0</v>
      </c>
      <c r="W21" s="225"/>
      <c r="X21" s="17">
        <f>'5'!CC$12</f>
        <v>0</v>
      </c>
      <c r="Y21" s="59" t="s">
        <v>227</v>
      </c>
    </row>
    <row r="22" spans="1:25" x14ac:dyDescent="0.35">
      <c r="A22" s="225"/>
      <c r="B22" s="227"/>
      <c r="C22" s="58">
        <v>16.5</v>
      </c>
      <c r="D22" s="230"/>
      <c r="E22" s="225"/>
      <c r="F22" s="225"/>
      <c r="G22" s="225"/>
      <c r="H22" s="225"/>
      <c r="I22" s="17">
        <f>'5'!$E$18+'5'!$Q$18</f>
        <v>0</v>
      </c>
      <c r="J22" s="17">
        <f>'5'!$F$18+'5'!$R$18</f>
        <v>0</v>
      </c>
      <c r="K22" s="17">
        <f>'5'!$G$18+'5'!$S$18</f>
        <v>0</v>
      </c>
      <c r="L22" s="17">
        <f>'5'!$AP18</f>
        <v>0</v>
      </c>
      <c r="M22" s="17">
        <f>'5'!$AQ18</f>
        <v>0</v>
      </c>
      <c r="N22" s="17">
        <f>'5'!$AR18</f>
        <v>0</v>
      </c>
      <c r="O22" s="61">
        <f>'5'!$AJ18</f>
        <v>0</v>
      </c>
      <c r="P22" s="61">
        <f>'5'!$AK18</f>
        <v>0</v>
      </c>
      <c r="Q22" s="61">
        <f>'5'!$AL18</f>
        <v>0</v>
      </c>
      <c r="R22" s="62">
        <f>'5'!$AM18</f>
        <v>0</v>
      </c>
      <c r="S22" s="62">
        <f>'5'!$AN18</f>
        <v>0</v>
      </c>
      <c r="T22" s="62">
        <f>'5'!$AO18</f>
        <v>0</v>
      </c>
      <c r="U22" s="63">
        <f>'5'!$AI18</f>
        <v>0</v>
      </c>
      <c r="V22" s="17">
        <f>'5'!$AH18</f>
        <v>0</v>
      </c>
      <c r="W22" s="225"/>
      <c r="X22" s="17">
        <f>'5'!CC$18</f>
        <v>0</v>
      </c>
      <c r="Y22" s="59" t="s">
        <v>227</v>
      </c>
    </row>
    <row r="23" spans="1:25" x14ac:dyDescent="0.35">
      <c r="A23" s="225"/>
      <c r="B23" s="227"/>
      <c r="C23" s="58">
        <v>16.75</v>
      </c>
      <c r="D23" s="231"/>
      <c r="E23" s="228"/>
      <c r="F23" s="228"/>
      <c r="G23" s="228"/>
      <c r="H23" s="228"/>
      <c r="I23" s="17">
        <f>'5'!$E$24+'5'!$Q$24</f>
        <v>0</v>
      </c>
      <c r="J23" s="17">
        <f>'5'!$F$24+'5'!$R$24</f>
        <v>0</v>
      </c>
      <c r="K23" s="17">
        <f>'5'!$G$24+'5'!$S$24</f>
        <v>0</v>
      </c>
      <c r="L23" s="17">
        <f>'5'!$AP24</f>
        <v>0</v>
      </c>
      <c r="M23" s="17">
        <f>'5'!$AQ24</f>
        <v>0</v>
      </c>
      <c r="N23" s="17">
        <f>'5'!$AR24</f>
        <v>0</v>
      </c>
      <c r="O23" s="61">
        <f>'5'!$AJ24</f>
        <v>0</v>
      </c>
      <c r="P23" s="61">
        <f>'5'!$AK24</f>
        <v>0</v>
      </c>
      <c r="Q23" s="61">
        <f>'5'!$AL24</f>
        <v>0</v>
      </c>
      <c r="R23" s="62">
        <f>'5'!$AM24</f>
        <v>0</v>
      </c>
      <c r="S23" s="62">
        <f>'5'!$AN24</f>
        <v>0</v>
      </c>
      <c r="T23" s="62">
        <f>'5'!$AO24</f>
        <v>0</v>
      </c>
      <c r="U23" s="63">
        <f>'5'!$AI24</f>
        <v>0</v>
      </c>
      <c r="V23" s="17">
        <f>'5'!$AH24</f>
        <v>0</v>
      </c>
      <c r="W23" s="228"/>
      <c r="X23" s="17">
        <f>'5'!CC$24</f>
        <v>0</v>
      </c>
      <c r="Y23" s="59" t="s">
        <v>227</v>
      </c>
    </row>
    <row r="24" spans="1:25" x14ac:dyDescent="0.35">
      <c r="A24" s="224" t="s">
        <v>142</v>
      </c>
      <c r="B24" s="226">
        <v>46179</v>
      </c>
      <c r="C24" s="58">
        <v>20</v>
      </c>
      <c r="D24" s="229" t="s">
        <v>202</v>
      </c>
      <c r="E24" s="224" t="s">
        <v>194</v>
      </c>
      <c r="F24" s="224" t="s">
        <v>218</v>
      </c>
      <c r="G24" s="224">
        <v>200</v>
      </c>
      <c r="H24" s="224" t="s">
        <v>217</v>
      </c>
      <c r="I24" s="17">
        <f>'6'!$E12+'6'!$N12</f>
        <v>0</v>
      </c>
      <c r="J24" s="17">
        <f>'6'!$F$6+'6'!$R$6</f>
        <v>0</v>
      </c>
      <c r="K24" s="17">
        <f>'6'!$G$6+'6'!$S$6</f>
        <v>0</v>
      </c>
      <c r="L24" s="17">
        <f>'6'!$AP6</f>
        <v>0</v>
      </c>
      <c r="M24" s="17">
        <f>'6'!$AQ6</f>
        <v>0</v>
      </c>
      <c r="N24" s="17">
        <f>'6'!$AR6</f>
        <v>0</v>
      </c>
      <c r="O24" s="61">
        <f>'6'!$AJ6</f>
        <v>0</v>
      </c>
      <c r="P24" s="61">
        <f>'6'!$AK6</f>
        <v>0</v>
      </c>
      <c r="Q24" s="61">
        <f>'6'!$AL6</f>
        <v>0</v>
      </c>
      <c r="R24" s="62">
        <f>'6'!$AM6</f>
        <v>0</v>
      </c>
      <c r="S24" s="62">
        <f>'6'!$AN6</f>
        <v>0</v>
      </c>
      <c r="T24" s="62">
        <f>'6'!$AO6</f>
        <v>0</v>
      </c>
      <c r="U24" s="63">
        <f>'6'!$AI6</f>
        <v>0</v>
      </c>
      <c r="V24" s="17">
        <f>'6'!$AH6</f>
        <v>0</v>
      </c>
      <c r="W24" s="224">
        <v>4</v>
      </c>
      <c r="X24" s="17">
        <f>'6'!CC6</f>
        <v>0</v>
      </c>
      <c r="Y24" s="59" t="s">
        <v>227</v>
      </c>
    </row>
    <row r="25" spans="1:25" x14ac:dyDescent="0.35">
      <c r="A25" s="225"/>
      <c r="B25" s="227"/>
      <c r="C25" s="58">
        <v>20.25</v>
      </c>
      <c r="D25" s="230"/>
      <c r="E25" s="225"/>
      <c r="F25" s="225"/>
      <c r="G25" s="225"/>
      <c r="H25" s="225"/>
      <c r="I25" s="17">
        <f>'6'!$E12+'6'!$N12</f>
        <v>0</v>
      </c>
      <c r="J25" s="17">
        <f>'6'!$F$12+'6'!$R$12</f>
        <v>0</v>
      </c>
      <c r="K25" s="17">
        <f>'6'!$G$12+'6'!$S$12</f>
        <v>0</v>
      </c>
      <c r="L25" s="17">
        <f>'6'!$AP12</f>
        <v>0</v>
      </c>
      <c r="M25" s="17">
        <f>'6'!$AQ12</f>
        <v>0</v>
      </c>
      <c r="N25" s="17">
        <f>'6'!$AR12</f>
        <v>0</v>
      </c>
      <c r="O25" s="61">
        <f>'6'!$AJ12</f>
        <v>0</v>
      </c>
      <c r="P25" s="61">
        <f>'6'!$AK12</f>
        <v>0</v>
      </c>
      <c r="Q25" s="61">
        <f>'6'!$AL12</f>
        <v>0</v>
      </c>
      <c r="R25" s="62">
        <f>'6'!$AM12</f>
        <v>0</v>
      </c>
      <c r="S25" s="62">
        <f>'6'!$AN12</f>
        <v>0</v>
      </c>
      <c r="T25" s="62">
        <f>'6'!$AO12</f>
        <v>0</v>
      </c>
      <c r="U25" s="63">
        <f>'6'!$AI12</f>
        <v>0</v>
      </c>
      <c r="V25" s="17">
        <f>'6'!$AH12</f>
        <v>0</v>
      </c>
      <c r="W25" s="225"/>
      <c r="X25" s="17">
        <f>'6'!CC$12</f>
        <v>0</v>
      </c>
      <c r="Y25" s="59" t="s">
        <v>227</v>
      </c>
    </row>
    <row r="26" spans="1:25" x14ac:dyDescent="0.35">
      <c r="A26" s="225"/>
      <c r="B26" s="227"/>
      <c r="C26" s="58">
        <v>20.5</v>
      </c>
      <c r="D26" s="230"/>
      <c r="E26" s="225"/>
      <c r="F26" s="225"/>
      <c r="G26" s="225"/>
      <c r="H26" s="225"/>
      <c r="I26" s="17">
        <f>'6'!$E$18+'6'!$Q$18</f>
        <v>0</v>
      </c>
      <c r="J26" s="17">
        <f>'6'!$F$18+'6'!$R$18</f>
        <v>0</v>
      </c>
      <c r="K26" s="17">
        <f>'6'!$G$18+'6'!$S$18</f>
        <v>0</v>
      </c>
      <c r="L26" s="17">
        <f>'6'!$AP18</f>
        <v>0</v>
      </c>
      <c r="M26" s="17">
        <f>'6'!$AQ18</f>
        <v>0</v>
      </c>
      <c r="N26" s="17">
        <f>'6'!$AR18</f>
        <v>0</v>
      </c>
      <c r="O26" s="61">
        <f>'6'!$AJ18</f>
        <v>0</v>
      </c>
      <c r="P26" s="61">
        <f>'6'!$AK18</f>
        <v>0</v>
      </c>
      <c r="Q26" s="61">
        <f>'6'!$AL18</f>
        <v>0</v>
      </c>
      <c r="R26" s="62">
        <f>'6'!$AM18</f>
        <v>0</v>
      </c>
      <c r="S26" s="62">
        <f>'6'!$AN18</f>
        <v>0</v>
      </c>
      <c r="T26" s="62">
        <f>'6'!$AO18</f>
        <v>0</v>
      </c>
      <c r="U26" s="63">
        <f>'6'!$AI18</f>
        <v>0</v>
      </c>
      <c r="V26" s="17">
        <f>'6'!$AH18</f>
        <v>0</v>
      </c>
      <c r="W26" s="225"/>
      <c r="X26" s="17">
        <f>'6'!CC$18</f>
        <v>0</v>
      </c>
      <c r="Y26" s="59" t="s">
        <v>227</v>
      </c>
    </row>
    <row r="27" spans="1:25" x14ac:dyDescent="0.35">
      <c r="A27" s="225"/>
      <c r="B27" s="227"/>
      <c r="C27" s="58">
        <v>20.75</v>
      </c>
      <c r="D27" s="231"/>
      <c r="E27" s="228"/>
      <c r="F27" s="228"/>
      <c r="G27" s="228"/>
      <c r="H27" s="228"/>
      <c r="I27" s="17">
        <f>'6'!$E$24+'6'!$Q$24</f>
        <v>0</v>
      </c>
      <c r="J27" s="17">
        <f>'6'!$F$24+'6'!$R$24</f>
        <v>0</v>
      </c>
      <c r="K27" s="17">
        <f>'6'!$G$24+'6'!$S$24</f>
        <v>0</v>
      </c>
      <c r="L27" s="17">
        <f>'6'!$AP24</f>
        <v>0</v>
      </c>
      <c r="M27" s="17">
        <f>'6'!$AQ24</f>
        <v>0</v>
      </c>
      <c r="N27" s="17">
        <f>'6'!$AR24</f>
        <v>0</v>
      </c>
      <c r="O27" s="61">
        <f>'6'!$AJ24</f>
        <v>0</v>
      </c>
      <c r="P27" s="61">
        <f>'6'!$AK24</f>
        <v>0</v>
      </c>
      <c r="Q27" s="61">
        <f>'6'!$AL24</f>
        <v>0</v>
      </c>
      <c r="R27" s="62">
        <f>'6'!$AM24</f>
        <v>0</v>
      </c>
      <c r="S27" s="62">
        <f>'6'!$AN24</f>
        <v>0</v>
      </c>
      <c r="T27" s="62">
        <f>'6'!$AO24</f>
        <v>0</v>
      </c>
      <c r="U27" s="63">
        <f>'6'!$AI24</f>
        <v>0</v>
      </c>
      <c r="V27" s="17">
        <f>'6'!$AH24</f>
        <v>0</v>
      </c>
      <c r="W27" s="228"/>
      <c r="X27" s="17">
        <f>'6'!CC$24</f>
        <v>0</v>
      </c>
      <c r="Y27" s="59" t="s">
        <v>227</v>
      </c>
    </row>
    <row r="28" spans="1:25" x14ac:dyDescent="0.35">
      <c r="A28" s="224" t="s">
        <v>142</v>
      </c>
      <c r="B28" s="226">
        <v>46180</v>
      </c>
      <c r="C28" s="58">
        <v>24</v>
      </c>
      <c r="D28" s="229" t="s">
        <v>202</v>
      </c>
      <c r="E28" s="224" t="s">
        <v>194</v>
      </c>
      <c r="F28" s="224" t="s">
        <v>218</v>
      </c>
      <c r="G28" s="224">
        <v>200</v>
      </c>
      <c r="H28" s="224" t="s">
        <v>217</v>
      </c>
      <c r="I28" s="17">
        <f>'7'!$E6+'7'!$N6</f>
        <v>0</v>
      </c>
      <c r="J28" s="17">
        <f>'7'!$F$6+'7'!$R$6</f>
        <v>0</v>
      </c>
      <c r="K28" s="17">
        <f>'7'!$G$6+'7'!$S$6</f>
        <v>0</v>
      </c>
      <c r="L28" s="17">
        <f>'7'!$AP6</f>
        <v>0</v>
      </c>
      <c r="M28" s="17">
        <f>'7'!$AQ6</f>
        <v>0</v>
      </c>
      <c r="N28" s="17">
        <f>'7'!$AR6</f>
        <v>0</v>
      </c>
      <c r="O28" s="61">
        <f>'7'!$AJ6</f>
        <v>0</v>
      </c>
      <c r="P28" s="61">
        <f>'7'!$AK6</f>
        <v>0</v>
      </c>
      <c r="Q28" s="61">
        <f>'7'!$AL6</f>
        <v>0</v>
      </c>
      <c r="R28" s="62">
        <f>'7'!$AM6</f>
        <v>0</v>
      </c>
      <c r="S28" s="62">
        <f>'7'!$AN6</f>
        <v>0</v>
      </c>
      <c r="T28" s="62">
        <f>'7'!$AO6</f>
        <v>0</v>
      </c>
      <c r="U28" s="63">
        <f>'7'!$AI6</f>
        <v>0</v>
      </c>
      <c r="V28" s="17">
        <f>'7'!$AH6</f>
        <v>0</v>
      </c>
      <c r="W28" s="224">
        <v>4</v>
      </c>
      <c r="X28" s="17">
        <f>'7'!CC6</f>
        <v>0</v>
      </c>
      <c r="Y28" s="59" t="s">
        <v>227</v>
      </c>
    </row>
    <row r="29" spans="1:25" x14ac:dyDescent="0.35">
      <c r="A29" s="225"/>
      <c r="B29" s="227"/>
      <c r="C29" s="58">
        <v>24.25</v>
      </c>
      <c r="D29" s="230"/>
      <c r="E29" s="225"/>
      <c r="F29" s="225"/>
      <c r="G29" s="225"/>
      <c r="H29" s="225"/>
      <c r="I29" s="17">
        <f>'7'!$E12+'7'!$N12</f>
        <v>0</v>
      </c>
      <c r="J29" s="17">
        <f>'7'!$F$12+'7'!$R$12</f>
        <v>0</v>
      </c>
      <c r="K29" s="17">
        <f>'7'!$G$12+'7'!$S$12</f>
        <v>0</v>
      </c>
      <c r="L29" s="17">
        <f>'7'!$AP12</f>
        <v>0</v>
      </c>
      <c r="M29" s="17">
        <f>'7'!$AQ12</f>
        <v>0</v>
      </c>
      <c r="N29" s="17">
        <f>'7'!$AR12</f>
        <v>0</v>
      </c>
      <c r="O29" s="61">
        <f>'7'!$AJ12</f>
        <v>0</v>
      </c>
      <c r="P29" s="61">
        <f>'7'!$AK12</f>
        <v>0</v>
      </c>
      <c r="Q29" s="61">
        <f>'7'!$AL12</f>
        <v>0</v>
      </c>
      <c r="R29" s="62">
        <f>'7'!$AM12</f>
        <v>0</v>
      </c>
      <c r="S29" s="62">
        <f>'7'!$AN12</f>
        <v>0</v>
      </c>
      <c r="T29" s="62">
        <f>'7'!$AO12</f>
        <v>0</v>
      </c>
      <c r="U29" s="63">
        <f>'7'!$AI12</f>
        <v>0</v>
      </c>
      <c r="V29" s="17">
        <f>'7'!$AH12</f>
        <v>0</v>
      </c>
      <c r="W29" s="225"/>
      <c r="X29" s="17">
        <f>'7'!CC$12</f>
        <v>0</v>
      </c>
      <c r="Y29" s="59" t="s">
        <v>227</v>
      </c>
    </row>
    <row r="30" spans="1:25" x14ac:dyDescent="0.35">
      <c r="A30" s="225"/>
      <c r="B30" s="227"/>
      <c r="C30" s="58">
        <v>24.5</v>
      </c>
      <c r="D30" s="230"/>
      <c r="E30" s="225"/>
      <c r="F30" s="225"/>
      <c r="G30" s="225"/>
      <c r="H30" s="225"/>
      <c r="I30" s="17">
        <f>'7'!$E$18+'7'!$Q$18</f>
        <v>0</v>
      </c>
      <c r="J30" s="17">
        <f>'7'!$F$18+'7'!$R$18</f>
        <v>0</v>
      </c>
      <c r="K30" s="17">
        <f>'7'!$G$18+'7'!$S$18</f>
        <v>0</v>
      </c>
      <c r="L30" s="17">
        <f>'7'!$AP18</f>
        <v>0</v>
      </c>
      <c r="M30" s="17">
        <f>'7'!$AQ18</f>
        <v>0</v>
      </c>
      <c r="N30" s="17">
        <f>'7'!$AR18</f>
        <v>0</v>
      </c>
      <c r="O30" s="61">
        <f>'7'!$AJ18</f>
        <v>0</v>
      </c>
      <c r="P30" s="61">
        <f>'7'!$AK18</f>
        <v>0</v>
      </c>
      <c r="Q30" s="61">
        <f>'7'!$AL18</f>
        <v>0</v>
      </c>
      <c r="R30" s="62">
        <f>'7'!$AM18</f>
        <v>0</v>
      </c>
      <c r="S30" s="62">
        <f>'7'!$AN18</f>
        <v>0</v>
      </c>
      <c r="T30" s="62">
        <f>'7'!$AO18</f>
        <v>0</v>
      </c>
      <c r="U30" s="63">
        <f>'7'!$AI18</f>
        <v>0</v>
      </c>
      <c r="V30" s="17">
        <f>'7'!$AH18</f>
        <v>0</v>
      </c>
      <c r="W30" s="225"/>
      <c r="X30" s="17">
        <f>'7'!CC$18</f>
        <v>0</v>
      </c>
      <c r="Y30" s="59" t="s">
        <v>227</v>
      </c>
    </row>
    <row r="31" spans="1:25" x14ac:dyDescent="0.35">
      <c r="A31" s="225"/>
      <c r="B31" s="227"/>
      <c r="C31" s="58">
        <v>24.75</v>
      </c>
      <c r="D31" s="231"/>
      <c r="E31" s="228"/>
      <c r="F31" s="228"/>
      <c r="G31" s="228"/>
      <c r="H31" s="228"/>
      <c r="I31" s="17">
        <f>'7'!$E$24+'7'!$Q$24</f>
        <v>0</v>
      </c>
      <c r="J31" s="17">
        <f>'7'!$F$24+'7'!$R$24</f>
        <v>0</v>
      </c>
      <c r="K31" s="17">
        <f>'7'!$G$24+'7'!$S$24</f>
        <v>0</v>
      </c>
      <c r="L31" s="17">
        <f>'7'!$AP24</f>
        <v>0</v>
      </c>
      <c r="M31" s="17">
        <f>'7'!$AQ24</f>
        <v>0</v>
      </c>
      <c r="N31" s="17">
        <f>'7'!$AR24</f>
        <v>0</v>
      </c>
      <c r="O31" s="61">
        <f>'7'!$AJ24</f>
        <v>0</v>
      </c>
      <c r="P31" s="61">
        <f>'7'!$AK24</f>
        <v>0</v>
      </c>
      <c r="Q31" s="61">
        <f>'7'!$AL24</f>
        <v>0</v>
      </c>
      <c r="R31" s="62">
        <f>'7'!$AM24</f>
        <v>0</v>
      </c>
      <c r="S31" s="62">
        <f>'7'!$AN24</f>
        <v>0</v>
      </c>
      <c r="T31" s="62">
        <f>'7'!$AO24</f>
        <v>0</v>
      </c>
      <c r="U31" s="63">
        <f>'7'!$AI24</f>
        <v>0</v>
      </c>
      <c r="V31" s="17">
        <f>'7'!$AH24</f>
        <v>0</v>
      </c>
      <c r="W31" s="228"/>
      <c r="X31" s="17">
        <f>'7'!CC$24</f>
        <v>0</v>
      </c>
      <c r="Y31" s="59" t="s">
        <v>227</v>
      </c>
    </row>
    <row r="32" spans="1:25" x14ac:dyDescent="0.35">
      <c r="A32" s="224" t="s">
        <v>142</v>
      </c>
      <c r="B32" s="226">
        <v>46181</v>
      </c>
      <c r="C32" s="58">
        <v>28</v>
      </c>
      <c r="D32" s="229" t="s">
        <v>202</v>
      </c>
      <c r="E32" s="224" t="s">
        <v>194</v>
      </c>
      <c r="F32" s="224" t="s">
        <v>218</v>
      </c>
      <c r="G32" s="224">
        <v>200</v>
      </c>
      <c r="H32" s="224" t="s">
        <v>217</v>
      </c>
      <c r="I32" s="17">
        <f>'8'!$E6+'8'!$N6</f>
        <v>0</v>
      </c>
      <c r="J32" s="17">
        <f>'8'!$F$6+'8'!$R$6</f>
        <v>0</v>
      </c>
      <c r="K32" s="17">
        <f>'8'!$G$6+'8'!$S$6</f>
        <v>0</v>
      </c>
      <c r="L32" s="17">
        <f>'8'!$AP6</f>
        <v>0</v>
      </c>
      <c r="M32" s="17">
        <f>'8'!$AQ6</f>
        <v>0</v>
      </c>
      <c r="N32" s="17">
        <f>'8'!$AR6</f>
        <v>0</v>
      </c>
      <c r="O32" s="61">
        <f>'8'!$AJ6</f>
        <v>0</v>
      </c>
      <c r="P32" s="61">
        <f>'8'!$AK6</f>
        <v>0</v>
      </c>
      <c r="Q32" s="61">
        <f>'8'!$AL6</f>
        <v>0</v>
      </c>
      <c r="R32" s="62">
        <f>'8'!$AM6</f>
        <v>0</v>
      </c>
      <c r="S32" s="62">
        <f>'8'!$AN6</f>
        <v>0</v>
      </c>
      <c r="T32" s="62">
        <f>'8'!$AO6</f>
        <v>0</v>
      </c>
      <c r="U32" s="63">
        <f>'8'!$AI6</f>
        <v>0</v>
      </c>
      <c r="V32" s="17">
        <f>'8'!$AH6</f>
        <v>0</v>
      </c>
      <c r="W32" s="224">
        <v>4</v>
      </c>
      <c r="X32" s="17">
        <f>'8'!CC6</f>
        <v>0</v>
      </c>
      <c r="Y32" s="59" t="s">
        <v>227</v>
      </c>
    </row>
    <row r="33" spans="1:25" x14ac:dyDescent="0.35">
      <c r="A33" s="225"/>
      <c r="B33" s="227"/>
      <c r="C33" s="58">
        <v>28.25</v>
      </c>
      <c r="D33" s="230"/>
      <c r="E33" s="225"/>
      <c r="F33" s="225"/>
      <c r="G33" s="225"/>
      <c r="H33" s="225"/>
      <c r="I33" s="17">
        <f>'8'!$E12+'8'!$N12</f>
        <v>0</v>
      </c>
      <c r="J33" s="17">
        <f>'8'!$F$12+'8'!$R$12</f>
        <v>0</v>
      </c>
      <c r="K33" s="17">
        <f>'8'!$G$12+'8'!$S$12</f>
        <v>0</v>
      </c>
      <c r="L33" s="17">
        <f>'8'!$AP12</f>
        <v>0</v>
      </c>
      <c r="M33" s="17">
        <f>'8'!$AQ12</f>
        <v>0</v>
      </c>
      <c r="N33" s="17">
        <f>'8'!$AR12</f>
        <v>0</v>
      </c>
      <c r="O33" s="61">
        <f>'8'!$AJ12</f>
        <v>0</v>
      </c>
      <c r="P33" s="61">
        <f>'8'!$AK12</f>
        <v>0</v>
      </c>
      <c r="Q33" s="61">
        <f>'8'!$AL12</f>
        <v>0</v>
      </c>
      <c r="R33" s="62">
        <f>'8'!$AM12</f>
        <v>0</v>
      </c>
      <c r="S33" s="62">
        <f>'8'!$AN12</f>
        <v>0</v>
      </c>
      <c r="T33" s="62">
        <f>'8'!$AO12</f>
        <v>0</v>
      </c>
      <c r="U33" s="63">
        <f>'8'!$AI12</f>
        <v>0</v>
      </c>
      <c r="V33" s="17">
        <f>'8'!$AH12</f>
        <v>0</v>
      </c>
      <c r="W33" s="225"/>
      <c r="X33" s="17">
        <f>'8'!CC$12</f>
        <v>0</v>
      </c>
      <c r="Y33" s="59" t="s">
        <v>227</v>
      </c>
    </row>
    <row r="34" spans="1:25" x14ac:dyDescent="0.35">
      <c r="A34" s="225"/>
      <c r="B34" s="227"/>
      <c r="C34" s="58">
        <v>28.5</v>
      </c>
      <c r="D34" s="230"/>
      <c r="E34" s="225"/>
      <c r="F34" s="225"/>
      <c r="G34" s="225"/>
      <c r="H34" s="225"/>
      <c r="I34" s="17">
        <f>'8'!$E$18+'8'!$Q$18</f>
        <v>0</v>
      </c>
      <c r="J34" s="17">
        <f>'8'!$F$18+'8'!$R$18</f>
        <v>0</v>
      </c>
      <c r="K34" s="17">
        <f>'8'!$G$18+'8'!$S$18</f>
        <v>0</v>
      </c>
      <c r="L34" s="17">
        <f>'8'!$AP18</f>
        <v>0</v>
      </c>
      <c r="M34" s="17">
        <f>'8'!$AQ18</f>
        <v>0</v>
      </c>
      <c r="N34" s="17">
        <f>'8'!$AR18</f>
        <v>0</v>
      </c>
      <c r="O34" s="61">
        <f>'8'!$AJ18</f>
        <v>0</v>
      </c>
      <c r="P34" s="61">
        <f>'8'!$AK18</f>
        <v>0</v>
      </c>
      <c r="Q34" s="61">
        <f>'8'!$AL18</f>
        <v>0</v>
      </c>
      <c r="R34" s="62">
        <f>'8'!$AM18</f>
        <v>0</v>
      </c>
      <c r="S34" s="62">
        <f>'8'!$AN18</f>
        <v>0</v>
      </c>
      <c r="T34" s="62">
        <f>'8'!$AO18</f>
        <v>0</v>
      </c>
      <c r="U34" s="63">
        <f>'8'!$AI18</f>
        <v>0</v>
      </c>
      <c r="V34" s="17">
        <f>'8'!$AH18</f>
        <v>0</v>
      </c>
      <c r="W34" s="225"/>
      <c r="X34" s="17">
        <f>'8'!CC$18</f>
        <v>0</v>
      </c>
      <c r="Y34" s="59" t="s">
        <v>227</v>
      </c>
    </row>
    <row r="35" spans="1:25" x14ac:dyDescent="0.35">
      <c r="A35" s="225"/>
      <c r="B35" s="227"/>
      <c r="C35" s="58">
        <v>28.75</v>
      </c>
      <c r="D35" s="231"/>
      <c r="E35" s="228"/>
      <c r="F35" s="228"/>
      <c r="G35" s="228"/>
      <c r="H35" s="228"/>
      <c r="I35" s="17">
        <f>'8'!$E$24+'8'!$Q$24</f>
        <v>0</v>
      </c>
      <c r="J35" s="17">
        <f>'8'!$F$24+'8'!$R$24</f>
        <v>0</v>
      </c>
      <c r="K35" s="17">
        <f>'8'!$G$24+'8'!$S$24</f>
        <v>0</v>
      </c>
      <c r="L35" s="17">
        <f>'8'!$AP24</f>
        <v>0</v>
      </c>
      <c r="M35" s="17">
        <f>'8'!$AQ24</f>
        <v>0</v>
      </c>
      <c r="N35" s="17">
        <f>'8'!$AR24</f>
        <v>0</v>
      </c>
      <c r="O35" s="61">
        <f>'8'!$AJ24</f>
        <v>0</v>
      </c>
      <c r="P35" s="61">
        <f>'8'!$AK24</f>
        <v>0</v>
      </c>
      <c r="Q35" s="61">
        <f>'8'!$AL24</f>
        <v>0</v>
      </c>
      <c r="R35" s="62">
        <f>'8'!$AM24</f>
        <v>0</v>
      </c>
      <c r="S35" s="62">
        <f>'8'!$AN24</f>
        <v>0</v>
      </c>
      <c r="T35" s="62">
        <f>'8'!$AO24</f>
        <v>0</v>
      </c>
      <c r="U35" s="63">
        <f>'8'!$AI24</f>
        <v>0</v>
      </c>
      <c r="V35" s="17">
        <f>'8'!$AH24</f>
        <v>0</v>
      </c>
      <c r="W35" s="228"/>
      <c r="X35" s="17">
        <f>'8'!CC$24</f>
        <v>0</v>
      </c>
      <c r="Y35" s="59" t="s">
        <v>227</v>
      </c>
    </row>
    <row r="36" spans="1:25" x14ac:dyDescent="0.35">
      <c r="A36" s="224" t="s">
        <v>142</v>
      </c>
      <c r="B36" s="226">
        <v>46182</v>
      </c>
      <c r="C36" s="58">
        <v>32</v>
      </c>
      <c r="D36" s="229" t="s">
        <v>202</v>
      </c>
      <c r="E36" s="224" t="s">
        <v>194</v>
      </c>
      <c r="F36" s="224" t="s">
        <v>218</v>
      </c>
      <c r="G36" s="224">
        <v>200</v>
      </c>
      <c r="H36" s="224" t="s">
        <v>217</v>
      </c>
      <c r="I36" s="17">
        <f>'9'!$E6+'9'!$N6</f>
        <v>404</v>
      </c>
      <c r="J36" s="17">
        <f>'9'!$F$6+'9'!$R$6</f>
        <v>404</v>
      </c>
      <c r="K36" s="17">
        <f>'9'!$G$6+'9'!$S$6</f>
        <v>405</v>
      </c>
      <c r="L36" s="17">
        <f>'9'!$AP6</f>
        <v>0</v>
      </c>
      <c r="M36" s="17">
        <f>'9'!$AQ6</f>
        <v>0</v>
      </c>
      <c r="N36" s="17">
        <f>'9'!$AR6</f>
        <v>0</v>
      </c>
      <c r="O36" s="61">
        <f>'9'!$AJ6</f>
        <v>0</v>
      </c>
      <c r="P36" s="61">
        <f>'9'!$AK6</f>
        <v>0</v>
      </c>
      <c r="Q36" s="61">
        <f>'9'!$AL6</f>
        <v>0</v>
      </c>
      <c r="R36" s="62">
        <f>'9'!$AM6</f>
        <v>0</v>
      </c>
      <c r="S36" s="62">
        <f>'9'!$AN6</f>
        <v>0</v>
      </c>
      <c r="T36" s="62">
        <f>'9'!$AO6</f>
        <v>0</v>
      </c>
      <c r="U36" s="63">
        <f>'9'!$AI6</f>
        <v>0</v>
      </c>
      <c r="V36" s="17">
        <f>'9'!$AH6</f>
        <v>0</v>
      </c>
      <c r="W36" s="224">
        <v>4</v>
      </c>
      <c r="X36" s="17">
        <f>'9'!CC6</f>
        <v>0</v>
      </c>
      <c r="Y36" s="59" t="s">
        <v>227</v>
      </c>
    </row>
    <row r="37" spans="1:25" x14ac:dyDescent="0.35">
      <c r="A37" s="225"/>
      <c r="B37" s="227"/>
      <c r="C37" s="58">
        <v>32.25</v>
      </c>
      <c r="D37" s="230"/>
      <c r="E37" s="225"/>
      <c r="F37" s="225"/>
      <c r="G37" s="225"/>
      <c r="H37" s="225"/>
      <c r="I37" s="17">
        <f>'9'!$E12+'9'!$N12</f>
        <v>408</v>
      </c>
      <c r="J37" s="17">
        <f>'9'!$F$12+'9'!$R$12</f>
        <v>408</v>
      </c>
      <c r="K37" s="17">
        <f>'9'!$G$12+'9'!$S$12</f>
        <v>408</v>
      </c>
      <c r="L37" s="17">
        <f>'9'!$AP12</f>
        <v>0</v>
      </c>
      <c r="M37" s="17">
        <f>'9'!$AQ12</f>
        <v>0</v>
      </c>
      <c r="N37" s="17">
        <f>'9'!$AR12</f>
        <v>0</v>
      </c>
      <c r="O37" s="61">
        <f>'9'!$AJ12</f>
        <v>0</v>
      </c>
      <c r="P37" s="61">
        <f>'9'!$AK12</f>
        <v>0</v>
      </c>
      <c r="Q37" s="61">
        <f>'9'!$AL12</f>
        <v>0</v>
      </c>
      <c r="R37" s="62">
        <f>'9'!$AM12</f>
        <v>0</v>
      </c>
      <c r="S37" s="62">
        <f>'9'!$AN12</f>
        <v>0</v>
      </c>
      <c r="T37" s="62">
        <f>'9'!$AO12</f>
        <v>0</v>
      </c>
      <c r="U37" s="63">
        <f>'9'!$AI12</f>
        <v>0</v>
      </c>
      <c r="V37" s="17">
        <f>'9'!$AH12</f>
        <v>0</v>
      </c>
      <c r="W37" s="225"/>
      <c r="X37" s="17">
        <f>'9'!CC$12</f>
        <v>0</v>
      </c>
      <c r="Y37" s="59" t="s">
        <v>227</v>
      </c>
    </row>
    <row r="38" spans="1:25" x14ac:dyDescent="0.35">
      <c r="A38" s="225"/>
      <c r="B38" s="227"/>
      <c r="C38" s="58">
        <v>32.5</v>
      </c>
      <c r="D38" s="230"/>
      <c r="E38" s="225"/>
      <c r="F38" s="225"/>
      <c r="G38" s="225"/>
      <c r="H38" s="225"/>
      <c r="I38" s="17">
        <f>'9'!$E$18+'9'!$Q$18</f>
        <v>410</v>
      </c>
      <c r="J38" s="17">
        <f>'9'!$F$18+'9'!$R$18</f>
        <v>411</v>
      </c>
      <c r="K38" s="17">
        <f>'9'!$G$18+'9'!$S$18</f>
        <v>412</v>
      </c>
      <c r="L38" s="17">
        <f>'9'!$AP18</f>
        <v>0</v>
      </c>
      <c r="M38" s="17">
        <f>'9'!$AQ18</f>
        <v>0</v>
      </c>
      <c r="N38" s="17">
        <f>'9'!$AR18</f>
        <v>0</v>
      </c>
      <c r="O38" s="61">
        <f>'9'!$AJ18</f>
        <v>0</v>
      </c>
      <c r="P38" s="61">
        <f>'9'!$AK18</f>
        <v>0</v>
      </c>
      <c r="Q38" s="61">
        <f>'9'!$AL18</f>
        <v>0</v>
      </c>
      <c r="R38" s="62">
        <f>'9'!$AM18</f>
        <v>0</v>
      </c>
      <c r="S38" s="62">
        <f>'9'!$AN18</f>
        <v>0</v>
      </c>
      <c r="T38" s="62">
        <f>'9'!$AO18</f>
        <v>0</v>
      </c>
      <c r="U38" s="63">
        <f>'9'!$AI18</f>
        <v>0</v>
      </c>
      <c r="V38" s="17">
        <f>'9'!$AH18</f>
        <v>0</v>
      </c>
      <c r="W38" s="225"/>
      <c r="X38" s="17">
        <f>'9'!CC$18</f>
        <v>0</v>
      </c>
      <c r="Y38" s="59" t="s">
        <v>227</v>
      </c>
    </row>
    <row r="39" spans="1:25" x14ac:dyDescent="0.35">
      <c r="A39" s="225"/>
      <c r="B39" s="227"/>
      <c r="C39" s="58">
        <v>32.75</v>
      </c>
      <c r="D39" s="231"/>
      <c r="E39" s="228"/>
      <c r="F39" s="228"/>
      <c r="G39" s="228"/>
      <c r="H39" s="228"/>
      <c r="I39" s="17">
        <f>'9'!$E$24+'9'!$Q$24</f>
        <v>408</v>
      </c>
      <c r="J39" s="17">
        <f>'9'!$F$24+'9'!$R$24</f>
        <v>409</v>
      </c>
      <c r="K39" s="17">
        <f>'9'!$G$24+'9'!$S$24</f>
        <v>409</v>
      </c>
      <c r="L39" s="17">
        <f>'9'!$AP24</f>
        <v>0</v>
      </c>
      <c r="M39" s="17">
        <f>'9'!$AQ24</f>
        <v>0</v>
      </c>
      <c r="N39" s="17">
        <f>'9'!$AR24</f>
        <v>0</v>
      </c>
      <c r="O39" s="61">
        <f>'9'!$AJ24</f>
        <v>0</v>
      </c>
      <c r="P39" s="61">
        <f>'9'!$AK24</f>
        <v>0</v>
      </c>
      <c r="Q39" s="61">
        <f>'9'!$AL24</f>
        <v>0</v>
      </c>
      <c r="R39" s="62">
        <f>'9'!$AM24</f>
        <v>0</v>
      </c>
      <c r="S39" s="62">
        <f>'9'!$AN24</f>
        <v>0</v>
      </c>
      <c r="T39" s="62">
        <f>'9'!$AO24</f>
        <v>0</v>
      </c>
      <c r="U39" s="63">
        <f>'9'!$AI24</f>
        <v>0</v>
      </c>
      <c r="V39" s="17">
        <f>'9'!$AH24</f>
        <v>0</v>
      </c>
      <c r="W39" s="228"/>
      <c r="X39" s="17">
        <f>'9'!CC$24</f>
        <v>0</v>
      </c>
      <c r="Y39" s="59" t="s">
        <v>227</v>
      </c>
    </row>
    <row r="40" spans="1:25" x14ac:dyDescent="0.35">
      <c r="A40" s="224" t="s">
        <v>142</v>
      </c>
      <c r="B40" s="226">
        <v>46183</v>
      </c>
      <c r="C40" s="58">
        <v>36</v>
      </c>
      <c r="D40" s="229" t="s">
        <v>202</v>
      </c>
      <c r="E40" s="224" t="s">
        <v>194</v>
      </c>
      <c r="F40" s="224" t="s">
        <v>218</v>
      </c>
      <c r="G40" s="224">
        <v>200</v>
      </c>
      <c r="H40" s="224" t="s">
        <v>217</v>
      </c>
      <c r="I40" s="17">
        <f>'10'!$E6+'10'!$N6</f>
        <v>0</v>
      </c>
      <c r="J40" s="17">
        <f>'10'!$F$6+'10'!$R$6</f>
        <v>0</v>
      </c>
      <c r="K40" s="17">
        <f>'10'!$G$6+'10'!$S$6</f>
        <v>0</v>
      </c>
      <c r="L40" s="17">
        <f>'10'!$AP6</f>
        <v>0</v>
      </c>
      <c r="M40" s="17">
        <f>'10'!$AQ6</f>
        <v>0</v>
      </c>
      <c r="N40" s="17">
        <f>'10'!$AR6</f>
        <v>0</v>
      </c>
      <c r="O40" s="61">
        <f>'10'!$AJ6</f>
        <v>0</v>
      </c>
      <c r="P40" s="61">
        <f>'10'!$AK6</f>
        <v>0</v>
      </c>
      <c r="Q40" s="61">
        <f>'10'!$AL6</f>
        <v>0</v>
      </c>
      <c r="R40" s="62">
        <f>'10'!$AM6</f>
        <v>0</v>
      </c>
      <c r="S40" s="62">
        <f>'10'!$AN6</f>
        <v>0</v>
      </c>
      <c r="T40" s="62">
        <f>'10'!$AO6</f>
        <v>0</v>
      </c>
      <c r="U40" s="63">
        <f>'10'!$AI6</f>
        <v>0</v>
      </c>
      <c r="V40" s="17">
        <f>'10'!$AH6</f>
        <v>0</v>
      </c>
      <c r="W40" s="224">
        <v>4</v>
      </c>
      <c r="X40" s="17">
        <f>'10'!CC6</f>
        <v>0</v>
      </c>
      <c r="Y40" s="59" t="s">
        <v>227</v>
      </c>
    </row>
    <row r="41" spans="1:25" x14ac:dyDescent="0.35">
      <c r="A41" s="225"/>
      <c r="B41" s="227"/>
      <c r="C41" s="58">
        <v>36.25</v>
      </c>
      <c r="D41" s="230"/>
      <c r="E41" s="225"/>
      <c r="F41" s="225"/>
      <c r="G41" s="225"/>
      <c r="H41" s="225"/>
      <c r="I41" s="17">
        <f>'10'!$E12+'10'!$N12</f>
        <v>0</v>
      </c>
      <c r="J41" s="17">
        <f>'10'!$F$12+'10'!$R$12</f>
        <v>0</v>
      </c>
      <c r="K41" s="17">
        <f>'10'!$G$12+'10'!$S$12</f>
        <v>0</v>
      </c>
      <c r="L41" s="17">
        <f>'10'!$AP12</f>
        <v>0</v>
      </c>
      <c r="M41" s="17">
        <f>'10'!$AQ12</f>
        <v>0</v>
      </c>
      <c r="N41" s="17">
        <f>'10'!$AR12</f>
        <v>0</v>
      </c>
      <c r="O41" s="61">
        <f>'10'!$AJ12</f>
        <v>0</v>
      </c>
      <c r="P41" s="61">
        <f>'10'!$AK12</f>
        <v>0</v>
      </c>
      <c r="Q41" s="61">
        <f>'10'!$AL12</f>
        <v>0</v>
      </c>
      <c r="R41" s="62">
        <f>'10'!$AM12</f>
        <v>0</v>
      </c>
      <c r="S41" s="62">
        <f>'10'!$AN12</f>
        <v>0</v>
      </c>
      <c r="T41" s="62">
        <f>'10'!$AO12</f>
        <v>0</v>
      </c>
      <c r="U41" s="63">
        <f>'10'!$AI12</f>
        <v>0</v>
      </c>
      <c r="V41" s="17">
        <f>'10'!$AH12</f>
        <v>0</v>
      </c>
      <c r="W41" s="225"/>
      <c r="X41" s="17">
        <f>'10'!CC$12</f>
        <v>0</v>
      </c>
      <c r="Y41" s="59" t="s">
        <v>227</v>
      </c>
    </row>
    <row r="42" spans="1:25" x14ac:dyDescent="0.35">
      <c r="A42" s="225"/>
      <c r="B42" s="227"/>
      <c r="C42" s="58">
        <v>36.5</v>
      </c>
      <c r="D42" s="230"/>
      <c r="E42" s="225"/>
      <c r="F42" s="225"/>
      <c r="G42" s="225"/>
      <c r="H42" s="225"/>
      <c r="I42" s="17">
        <f>'10'!$E$18+'10'!$Q$18</f>
        <v>0</v>
      </c>
      <c r="J42" s="17">
        <f>'10'!$F$18+'10'!$R$18</f>
        <v>0</v>
      </c>
      <c r="K42" s="17">
        <f>'10'!$G$18+'10'!$S$18</f>
        <v>0</v>
      </c>
      <c r="L42" s="17">
        <f>'10'!$AP18</f>
        <v>0</v>
      </c>
      <c r="M42" s="17">
        <f>'10'!$AQ18</f>
        <v>0</v>
      </c>
      <c r="N42" s="17">
        <f>'10'!$AR18</f>
        <v>0</v>
      </c>
      <c r="O42" s="61">
        <f>'10'!$AJ18</f>
        <v>0</v>
      </c>
      <c r="P42" s="61">
        <f>'10'!$AK18</f>
        <v>0</v>
      </c>
      <c r="Q42" s="61">
        <f>'10'!$AL18</f>
        <v>0</v>
      </c>
      <c r="R42" s="62">
        <f>'10'!$AM18</f>
        <v>0</v>
      </c>
      <c r="S42" s="62">
        <f>'10'!$AN18</f>
        <v>0</v>
      </c>
      <c r="T42" s="62">
        <f>'10'!$AO18</f>
        <v>0</v>
      </c>
      <c r="U42" s="63">
        <f>'10'!$AI18</f>
        <v>0</v>
      </c>
      <c r="V42" s="17">
        <f>'10'!$AH18</f>
        <v>0</v>
      </c>
      <c r="W42" s="225"/>
      <c r="X42" s="17">
        <f>'10'!CC$18</f>
        <v>0</v>
      </c>
      <c r="Y42" s="59" t="s">
        <v>227</v>
      </c>
    </row>
    <row r="43" spans="1:25" x14ac:dyDescent="0.35">
      <c r="A43" s="225"/>
      <c r="B43" s="227"/>
      <c r="C43" s="58">
        <v>36.75</v>
      </c>
      <c r="D43" s="231"/>
      <c r="E43" s="228"/>
      <c r="F43" s="228"/>
      <c r="G43" s="228"/>
      <c r="H43" s="228"/>
      <c r="I43" s="17">
        <f>'10'!$E$24+'10'!$Q$24</f>
        <v>0</v>
      </c>
      <c r="J43" s="17">
        <f>'10'!$F$24+'10'!$R$24</f>
        <v>0</v>
      </c>
      <c r="K43" s="17">
        <f>'10'!$G$24+'10'!$S$24</f>
        <v>0</v>
      </c>
      <c r="L43" s="17">
        <f>'10'!$AP24</f>
        <v>0</v>
      </c>
      <c r="M43" s="17">
        <f>'10'!$AQ24</f>
        <v>0</v>
      </c>
      <c r="N43" s="17">
        <f>'10'!$AR24</f>
        <v>0</v>
      </c>
      <c r="O43" s="61">
        <f>'10'!$AJ24</f>
        <v>0</v>
      </c>
      <c r="P43" s="61">
        <f>'10'!$AK24</f>
        <v>0</v>
      </c>
      <c r="Q43" s="61">
        <f>'10'!$AL24</f>
        <v>0</v>
      </c>
      <c r="R43" s="62">
        <f>'10'!$AM24</f>
        <v>0</v>
      </c>
      <c r="S43" s="62">
        <f>'10'!$AN24</f>
        <v>0</v>
      </c>
      <c r="T43" s="62">
        <f>'10'!$AO24</f>
        <v>0</v>
      </c>
      <c r="U43" s="63">
        <f>'10'!$AI24</f>
        <v>0</v>
      </c>
      <c r="V43" s="17">
        <f>'10'!$AH24</f>
        <v>0</v>
      </c>
      <c r="W43" s="228"/>
      <c r="X43" s="17">
        <f>'10'!CC$24</f>
        <v>0</v>
      </c>
      <c r="Y43" s="59" t="s">
        <v>227</v>
      </c>
    </row>
    <row r="44" spans="1:25" x14ac:dyDescent="0.35">
      <c r="A44" s="224" t="s">
        <v>142</v>
      </c>
      <c r="B44" s="226">
        <v>46184</v>
      </c>
      <c r="C44" s="58">
        <v>40</v>
      </c>
      <c r="D44" s="229" t="s">
        <v>202</v>
      </c>
      <c r="E44" s="224" t="s">
        <v>194</v>
      </c>
      <c r="F44" s="224" t="s">
        <v>218</v>
      </c>
      <c r="G44" s="224">
        <v>200</v>
      </c>
      <c r="H44" s="224" t="s">
        <v>217</v>
      </c>
      <c r="I44" s="17">
        <f>'11'!$E6+'11'!$N6</f>
        <v>0</v>
      </c>
      <c r="J44" s="17">
        <f>'11'!$F$6+'11'!$R$6</f>
        <v>0</v>
      </c>
      <c r="K44" s="17">
        <f>'11'!$G$6+'11'!$S$6</f>
        <v>0</v>
      </c>
      <c r="L44" s="17">
        <f>'11'!$AP6</f>
        <v>0</v>
      </c>
      <c r="M44" s="17">
        <f>'11'!$AQ6</f>
        <v>0</v>
      </c>
      <c r="N44" s="17">
        <f>'11'!$AR6</f>
        <v>0</v>
      </c>
      <c r="O44" s="61">
        <f>'11'!$AJ6</f>
        <v>0</v>
      </c>
      <c r="P44" s="61">
        <f>'11'!$AK6</f>
        <v>0</v>
      </c>
      <c r="Q44" s="61">
        <f>'11'!$AL6</f>
        <v>0</v>
      </c>
      <c r="R44" s="62">
        <f>'11'!$AM6</f>
        <v>0</v>
      </c>
      <c r="S44" s="62">
        <f>'11'!$AN6</f>
        <v>0</v>
      </c>
      <c r="T44" s="62">
        <f>'11'!$AO6</f>
        <v>0</v>
      </c>
      <c r="U44" s="63">
        <f>'11'!$AI6</f>
        <v>0</v>
      </c>
      <c r="V44" s="17">
        <f>'11'!$AH6</f>
        <v>0</v>
      </c>
      <c r="W44" s="224">
        <v>4</v>
      </c>
      <c r="X44" s="17">
        <f>'11'!CC6</f>
        <v>0</v>
      </c>
      <c r="Y44" s="59" t="s">
        <v>227</v>
      </c>
    </row>
    <row r="45" spans="1:25" x14ac:dyDescent="0.35">
      <c r="A45" s="225"/>
      <c r="B45" s="227"/>
      <c r="C45" s="58">
        <v>40.25</v>
      </c>
      <c r="D45" s="230"/>
      <c r="E45" s="225"/>
      <c r="F45" s="225"/>
      <c r="G45" s="225"/>
      <c r="H45" s="225"/>
      <c r="I45" s="17">
        <f>'11'!$E12+'11'!$N12</f>
        <v>0</v>
      </c>
      <c r="J45" s="17">
        <f>'11'!$F$12+'11'!$R$12</f>
        <v>0</v>
      </c>
      <c r="K45" s="17">
        <f>'11'!$G$12+'11'!$S$12</f>
        <v>0</v>
      </c>
      <c r="L45" s="17">
        <f>'11'!$AP12</f>
        <v>0</v>
      </c>
      <c r="M45" s="17">
        <f>'11'!$AQ12</f>
        <v>0</v>
      </c>
      <c r="N45" s="17">
        <f>'11'!$AR12</f>
        <v>0</v>
      </c>
      <c r="O45" s="61">
        <f>'11'!$AJ12</f>
        <v>0</v>
      </c>
      <c r="P45" s="61">
        <f>'11'!$AK12</f>
        <v>0</v>
      </c>
      <c r="Q45" s="61">
        <f>'11'!$AL12</f>
        <v>0</v>
      </c>
      <c r="R45" s="62">
        <f>'11'!$AM12</f>
        <v>0</v>
      </c>
      <c r="S45" s="62">
        <f>'11'!$AN12</f>
        <v>0</v>
      </c>
      <c r="T45" s="62">
        <f>'11'!$AO12</f>
        <v>0</v>
      </c>
      <c r="U45" s="63">
        <f>'11'!$AI12</f>
        <v>0</v>
      </c>
      <c r="V45" s="17">
        <f>'11'!$AH12</f>
        <v>0</v>
      </c>
      <c r="W45" s="225"/>
      <c r="X45" s="17">
        <f>'11'!CC$12</f>
        <v>0</v>
      </c>
      <c r="Y45" s="59" t="s">
        <v>227</v>
      </c>
    </row>
    <row r="46" spans="1:25" x14ac:dyDescent="0.35">
      <c r="A46" s="225"/>
      <c r="B46" s="227"/>
      <c r="C46" s="58">
        <v>40.5</v>
      </c>
      <c r="D46" s="230"/>
      <c r="E46" s="225"/>
      <c r="F46" s="225"/>
      <c r="G46" s="225"/>
      <c r="H46" s="225"/>
      <c r="I46" s="17">
        <f>'11'!$E$18+'11'!$Q$18</f>
        <v>0</v>
      </c>
      <c r="J46" s="17">
        <f>'11'!$F$18+'11'!$R$18</f>
        <v>0</v>
      </c>
      <c r="K46" s="17">
        <f>'11'!$G$18+'11'!$S$18</f>
        <v>0</v>
      </c>
      <c r="L46" s="17">
        <f>'11'!$AP18</f>
        <v>0</v>
      </c>
      <c r="M46" s="17">
        <f>'11'!$AQ18</f>
        <v>0</v>
      </c>
      <c r="N46" s="17">
        <f>'11'!$AR18</f>
        <v>0</v>
      </c>
      <c r="O46" s="61">
        <f>'11'!$AJ18</f>
        <v>0</v>
      </c>
      <c r="P46" s="61">
        <f>'11'!$AK18</f>
        <v>0</v>
      </c>
      <c r="Q46" s="61">
        <f>'11'!$AL18</f>
        <v>0</v>
      </c>
      <c r="R46" s="62">
        <f>'11'!$AM18</f>
        <v>0</v>
      </c>
      <c r="S46" s="62">
        <f>'11'!$AN18</f>
        <v>0</v>
      </c>
      <c r="T46" s="62">
        <f>'11'!$AO18</f>
        <v>0</v>
      </c>
      <c r="U46" s="63">
        <f>'11'!$AI18</f>
        <v>0</v>
      </c>
      <c r="V46" s="17">
        <f>'11'!$AH18</f>
        <v>0</v>
      </c>
      <c r="W46" s="225"/>
      <c r="X46" s="17">
        <f>'11'!CC$18</f>
        <v>0</v>
      </c>
      <c r="Y46" s="59" t="s">
        <v>227</v>
      </c>
    </row>
    <row r="47" spans="1:25" x14ac:dyDescent="0.35">
      <c r="A47" s="225"/>
      <c r="B47" s="227"/>
      <c r="C47" s="58">
        <v>40.75</v>
      </c>
      <c r="D47" s="231"/>
      <c r="E47" s="228"/>
      <c r="F47" s="228"/>
      <c r="G47" s="228"/>
      <c r="H47" s="228"/>
      <c r="I47" s="17">
        <f>'11'!$E$24+'11'!$Q$24</f>
        <v>0</v>
      </c>
      <c r="J47" s="17">
        <f>'11'!$F$24+'11'!$R$24</f>
        <v>0</v>
      </c>
      <c r="K47" s="17">
        <f>'11'!$G$24+'11'!$S$24</f>
        <v>0</v>
      </c>
      <c r="L47" s="17">
        <f>'11'!$AP24</f>
        <v>0</v>
      </c>
      <c r="M47" s="17">
        <f>'11'!$AQ24</f>
        <v>0</v>
      </c>
      <c r="N47" s="17">
        <f>'11'!$AR24</f>
        <v>0</v>
      </c>
      <c r="O47" s="61">
        <f>'11'!$AJ24</f>
        <v>0</v>
      </c>
      <c r="P47" s="61">
        <f>'11'!$AK24</f>
        <v>0</v>
      </c>
      <c r="Q47" s="61">
        <f>'11'!$AL24</f>
        <v>0</v>
      </c>
      <c r="R47" s="62">
        <f>'11'!$AM24</f>
        <v>0</v>
      </c>
      <c r="S47" s="62">
        <f>'11'!$AN24</f>
        <v>0</v>
      </c>
      <c r="T47" s="62">
        <f>'11'!$AO24</f>
        <v>0</v>
      </c>
      <c r="U47" s="63">
        <f>'11'!$AI24</f>
        <v>0</v>
      </c>
      <c r="V47" s="17">
        <f>'11'!$AH24</f>
        <v>0</v>
      </c>
      <c r="W47" s="228"/>
      <c r="X47" s="17">
        <f>'11'!CC$24</f>
        <v>0</v>
      </c>
      <c r="Y47" s="59" t="s">
        <v>227</v>
      </c>
    </row>
    <row r="48" spans="1:25" x14ac:dyDescent="0.35">
      <c r="A48" s="224" t="s">
        <v>142</v>
      </c>
      <c r="B48" s="226">
        <v>46185</v>
      </c>
      <c r="C48" s="58">
        <v>44</v>
      </c>
      <c r="D48" s="229" t="s">
        <v>202</v>
      </c>
      <c r="E48" s="224" t="s">
        <v>194</v>
      </c>
      <c r="F48" s="224" t="s">
        <v>218</v>
      </c>
      <c r="G48" s="224">
        <v>200</v>
      </c>
      <c r="H48" s="224" t="s">
        <v>217</v>
      </c>
      <c r="I48" s="17">
        <f>'12'!$E6+'12'!$N6</f>
        <v>0</v>
      </c>
      <c r="J48" s="17">
        <f>'12'!$F$6+'12'!$R$6</f>
        <v>0</v>
      </c>
      <c r="K48" s="17">
        <f>'12'!$G$6+'12'!$S$6</f>
        <v>0</v>
      </c>
      <c r="L48" s="17">
        <f>'12'!$AP6</f>
        <v>0</v>
      </c>
      <c r="M48" s="17">
        <f>'12'!$AQ6</f>
        <v>0</v>
      </c>
      <c r="N48" s="17">
        <f>'12'!$AR6</f>
        <v>0</v>
      </c>
      <c r="O48" s="61">
        <f>'12'!$AJ6</f>
        <v>0</v>
      </c>
      <c r="P48" s="61">
        <f>'12'!$AK6</f>
        <v>0</v>
      </c>
      <c r="Q48" s="61">
        <f>'12'!$AL6</f>
        <v>0</v>
      </c>
      <c r="R48" s="62">
        <f>'12'!$AM6</f>
        <v>0</v>
      </c>
      <c r="S48" s="62">
        <f>'12'!$AN6</f>
        <v>0</v>
      </c>
      <c r="T48" s="62">
        <f>'12'!$AO6</f>
        <v>0</v>
      </c>
      <c r="U48" s="63">
        <f>'12'!$AI6</f>
        <v>0</v>
      </c>
      <c r="V48" s="17">
        <f>'12'!$AH6</f>
        <v>0</v>
      </c>
      <c r="W48" s="224">
        <v>4</v>
      </c>
      <c r="X48" s="17">
        <f>'12'!CC6</f>
        <v>0</v>
      </c>
      <c r="Y48" s="59" t="s">
        <v>227</v>
      </c>
    </row>
    <row r="49" spans="1:25" x14ac:dyDescent="0.35">
      <c r="A49" s="225"/>
      <c r="B49" s="227"/>
      <c r="C49" s="58">
        <v>44.25</v>
      </c>
      <c r="D49" s="230"/>
      <c r="E49" s="225"/>
      <c r="F49" s="225"/>
      <c r="G49" s="225"/>
      <c r="H49" s="225"/>
      <c r="I49" s="17">
        <f>'12'!$E12+'12'!$N12</f>
        <v>0</v>
      </c>
      <c r="J49" s="17">
        <f>'12'!$F$12+'12'!$R$12</f>
        <v>0</v>
      </c>
      <c r="K49" s="17">
        <f>'12'!$G$12+'12'!$S$12</f>
        <v>0</v>
      </c>
      <c r="L49" s="17">
        <f>'12'!$AP12</f>
        <v>0</v>
      </c>
      <c r="M49" s="17">
        <f>'12'!$AQ12</f>
        <v>0</v>
      </c>
      <c r="N49" s="17">
        <f>'12'!$AR12</f>
        <v>0</v>
      </c>
      <c r="O49" s="61">
        <f>'12'!$AJ12</f>
        <v>0</v>
      </c>
      <c r="P49" s="61">
        <f>'12'!$AK12</f>
        <v>0</v>
      </c>
      <c r="Q49" s="61">
        <f>'12'!$AL12</f>
        <v>0</v>
      </c>
      <c r="R49" s="62">
        <f>'12'!$AM12</f>
        <v>0</v>
      </c>
      <c r="S49" s="62">
        <f>'12'!$AN12</f>
        <v>0</v>
      </c>
      <c r="T49" s="62">
        <f>'12'!$AO12</f>
        <v>0</v>
      </c>
      <c r="U49" s="63">
        <f>'12'!$AI12</f>
        <v>0</v>
      </c>
      <c r="V49" s="17">
        <f>'12'!$AH12</f>
        <v>0</v>
      </c>
      <c r="W49" s="225"/>
      <c r="X49" s="17">
        <f>'12'!CC$12</f>
        <v>0</v>
      </c>
      <c r="Y49" s="59" t="s">
        <v>227</v>
      </c>
    </row>
    <row r="50" spans="1:25" x14ac:dyDescent="0.35">
      <c r="A50" s="225"/>
      <c r="B50" s="227"/>
      <c r="C50" s="58">
        <v>44.5</v>
      </c>
      <c r="D50" s="230"/>
      <c r="E50" s="225"/>
      <c r="F50" s="225"/>
      <c r="G50" s="225"/>
      <c r="H50" s="225"/>
      <c r="I50" s="17">
        <f>'12'!$E$18+'12'!$Q$18</f>
        <v>0</v>
      </c>
      <c r="J50" s="17">
        <f>'12'!$F$18+'12'!$R$18</f>
        <v>0</v>
      </c>
      <c r="K50" s="17">
        <f>'12'!$G$18+'12'!$S$18</f>
        <v>0</v>
      </c>
      <c r="L50" s="17">
        <f>'12'!$AP18</f>
        <v>0</v>
      </c>
      <c r="M50" s="17">
        <f>'12'!$AQ18</f>
        <v>0</v>
      </c>
      <c r="N50" s="17">
        <f>'12'!$AR18</f>
        <v>0</v>
      </c>
      <c r="O50" s="61">
        <f>'12'!$AJ18</f>
        <v>0</v>
      </c>
      <c r="P50" s="61">
        <f>'12'!$AK18</f>
        <v>0</v>
      </c>
      <c r="Q50" s="61">
        <f>'12'!$AL18</f>
        <v>0</v>
      </c>
      <c r="R50" s="62">
        <f>'12'!$AM18</f>
        <v>0</v>
      </c>
      <c r="S50" s="62">
        <f>'12'!$AN18</f>
        <v>0</v>
      </c>
      <c r="T50" s="62">
        <f>'12'!$AO18</f>
        <v>0</v>
      </c>
      <c r="U50" s="63">
        <f>'12'!$AI18</f>
        <v>0</v>
      </c>
      <c r="V50" s="17">
        <f>'12'!$AH18</f>
        <v>0</v>
      </c>
      <c r="W50" s="225"/>
      <c r="X50" s="17">
        <f>'12'!CC$18</f>
        <v>0</v>
      </c>
      <c r="Y50" s="59" t="s">
        <v>227</v>
      </c>
    </row>
    <row r="51" spans="1:25" x14ac:dyDescent="0.35">
      <c r="A51" s="225"/>
      <c r="B51" s="227"/>
      <c r="C51" s="58">
        <v>44.75</v>
      </c>
      <c r="D51" s="231"/>
      <c r="E51" s="228"/>
      <c r="F51" s="228"/>
      <c r="G51" s="228"/>
      <c r="H51" s="228"/>
      <c r="I51" s="17">
        <f>'12'!$E$24+'12'!$Q$24</f>
        <v>0</v>
      </c>
      <c r="J51" s="17">
        <f>'12'!$F$24+'12'!$R$24</f>
        <v>0</v>
      </c>
      <c r="K51" s="17">
        <f>'12'!$G$24+'12'!$S$24</f>
        <v>0</v>
      </c>
      <c r="L51" s="17">
        <f>'12'!$AP24</f>
        <v>0</v>
      </c>
      <c r="M51" s="17">
        <f>'12'!$AQ24</f>
        <v>0</v>
      </c>
      <c r="N51" s="17">
        <f>'12'!$AR24</f>
        <v>0</v>
      </c>
      <c r="O51" s="61">
        <f>'12'!$AJ24</f>
        <v>0</v>
      </c>
      <c r="P51" s="61">
        <f>'12'!$AK24</f>
        <v>0</v>
      </c>
      <c r="Q51" s="61">
        <f>'12'!$AL24</f>
        <v>0</v>
      </c>
      <c r="R51" s="62">
        <f>'12'!$AM24</f>
        <v>0</v>
      </c>
      <c r="S51" s="62">
        <f>'12'!$AN24</f>
        <v>0</v>
      </c>
      <c r="T51" s="62">
        <f>'12'!$AO24</f>
        <v>0</v>
      </c>
      <c r="U51" s="63">
        <f>'12'!$AI24</f>
        <v>0</v>
      </c>
      <c r="V51" s="17">
        <f>'12'!$AH24</f>
        <v>0</v>
      </c>
      <c r="W51" s="228"/>
      <c r="X51" s="17">
        <f>'12'!CC$24</f>
        <v>0</v>
      </c>
      <c r="Y51" s="59" t="s">
        <v>227</v>
      </c>
    </row>
    <row r="52" spans="1:25" x14ac:dyDescent="0.35">
      <c r="A52" s="224" t="s">
        <v>142</v>
      </c>
      <c r="B52" s="226">
        <v>46186</v>
      </c>
      <c r="C52" s="58">
        <v>48</v>
      </c>
      <c r="D52" s="229" t="s">
        <v>202</v>
      </c>
      <c r="E52" s="224" t="s">
        <v>194</v>
      </c>
      <c r="F52" s="224" t="s">
        <v>218</v>
      </c>
      <c r="G52" s="224">
        <v>200</v>
      </c>
      <c r="H52" s="224" t="s">
        <v>217</v>
      </c>
      <c r="I52" s="17">
        <f>'13'!$E6+'13'!$N6</f>
        <v>0</v>
      </c>
      <c r="J52" s="17">
        <f>'13'!$F$6+'13'!$R$6</f>
        <v>0</v>
      </c>
      <c r="K52" s="17">
        <f>'13'!$G$6+'13'!$S$6</f>
        <v>0</v>
      </c>
      <c r="L52" s="17">
        <f>'13'!$AP6</f>
        <v>0</v>
      </c>
      <c r="M52" s="17">
        <f>'13'!$AQ6</f>
        <v>0</v>
      </c>
      <c r="N52" s="17">
        <f>'13'!$AR6</f>
        <v>0</v>
      </c>
      <c r="O52" s="61">
        <f>'13'!$AJ6</f>
        <v>0</v>
      </c>
      <c r="P52" s="61">
        <f>'13'!$AK6</f>
        <v>0</v>
      </c>
      <c r="Q52" s="61">
        <f>'13'!$AL6</f>
        <v>0</v>
      </c>
      <c r="R52" s="62">
        <f>'13'!$AM6</f>
        <v>0</v>
      </c>
      <c r="S52" s="62">
        <f>'13'!$AN6</f>
        <v>0</v>
      </c>
      <c r="T52" s="62">
        <f>'13'!$AO6</f>
        <v>0</v>
      </c>
      <c r="U52" s="63">
        <f>'13'!$AI6</f>
        <v>0</v>
      </c>
      <c r="V52" s="17">
        <f>'13'!$AH6</f>
        <v>0</v>
      </c>
      <c r="W52" s="224">
        <v>4</v>
      </c>
      <c r="X52" s="17">
        <f>'13'!CC6</f>
        <v>0</v>
      </c>
      <c r="Y52" s="59" t="s">
        <v>227</v>
      </c>
    </row>
    <row r="53" spans="1:25" x14ac:dyDescent="0.35">
      <c r="A53" s="225"/>
      <c r="B53" s="227"/>
      <c r="C53" s="58">
        <v>48.25</v>
      </c>
      <c r="D53" s="230"/>
      <c r="E53" s="225"/>
      <c r="F53" s="225"/>
      <c r="G53" s="225"/>
      <c r="H53" s="225"/>
      <c r="I53" s="17">
        <f>'13'!$E12+'13'!$N12</f>
        <v>0</v>
      </c>
      <c r="J53" s="17">
        <f>'13'!$F$12+'13'!$R$12</f>
        <v>0</v>
      </c>
      <c r="K53" s="17">
        <f>'13'!$G$12+'13'!$S$12</f>
        <v>0</v>
      </c>
      <c r="L53" s="17">
        <f>'13'!$AP12</f>
        <v>0</v>
      </c>
      <c r="M53" s="17">
        <f>'13'!$AQ12</f>
        <v>0</v>
      </c>
      <c r="N53" s="17">
        <f>'13'!$AR12</f>
        <v>0</v>
      </c>
      <c r="O53" s="61">
        <f>'13'!$AJ12</f>
        <v>0</v>
      </c>
      <c r="P53" s="61">
        <f>'13'!$AK12</f>
        <v>0</v>
      </c>
      <c r="Q53" s="61">
        <f>'13'!$AL12</f>
        <v>0</v>
      </c>
      <c r="R53" s="62">
        <f>'13'!$AM12</f>
        <v>0</v>
      </c>
      <c r="S53" s="62">
        <f>'13'!$AN12</f>
        <v>0</v>
      </c>
      <c r="T53" s="62">
        <f>'13'!$AO12</f>
        <v>0</v>
      </c>
      <c r="U53" s="63">
        <f>'13'!$AI12</f>
        <v>0</v>
      </c>
      <c r="V53" s="17">
        <f>'13'!$AH12</f>
        <v>0</v>
      </c>
      <c r="W53" s="225"/>
      <c r="X53" s="17">
        <f>'13'!CC$12</f>
        <v>0</v>
      </c>
      <c r="Y53" s="59" t="s">
        <v>227</v>
      </c>
    </row>
    <row r="54" spans="1:25" x14ac:dyDescent="0.35">
      <c r="A54" s="225"/>
      <c r="B54" s="227"/>
      <c r="C54" s="58">
        <v>48.5</v>
      </c>
      <c r="D54" s="230"/>
      <c r="E54" s="225"/>
      <c r="F54" s="225"/>
      <c r="G54" s="225"/>
      <c r="H54" s="225"/>
      <c r="I54" s="17">
        <f>'13'!$E$18+'13'!$Q$18</f>
        <v>0</v>
      </c>
      <c r="J54" s="17">
        <f>'13'!$F$18+'13'!$R$18</f>
        <v>0</v>
      </c>
      <c r="K54" s="17">
        <f>'13'!$G$18+'13'!$S$18</f>
        <v>0</v>
      </c>
      <c r="L54" s="17">
        <f>'13'!$AP18</f>
        <v>0</v>
      </c>
      <c r="M54" s="17">
        <f>'13'!$AQ18</f>
        <v>0</v>
      </c>
      <c r="N54" s="17">
        <f>'13'!$AR18</f>
        <v>0</v>
      </c>
      <c r="O54" s="61">
        <f>'13'!$AJ18</f>
        <v>0</v>
      </c>
      <c r="P54" s="61">
        <f>'13'!$AK18</f>
        <v>0</v>
      </c>
      <c r="Q54" s="61">
        <f>'13'!$AL18</f>
        <v>0</v>
      </c>
      <c r="R54" s="62">
        <f>'13'!$AM18</f>
        <v>0</v>
      </c>
      <c r="S54" s="62">
        <f>'13'!$AN18</f>
        <v>0</v>
      </c>
      <c r="T54" s="62">
        <f>'13'!$AO18</f>
        <v>0</v>
      </c>
      <c r="U54" s="63">
        <f>'13'!$AI18</f>
        <v>0</v>
      </c>
      <c r="V54" s="17">
        <f>'13'!$AH18</f>
        <v>0</v>
      </c>
      <c r="W54" s="225"/>
      <c r="X54" s="17">
        <f>'13'!CC$18</f>
        <v>0</v>
      </c>
      <c r="Y54" s="59" t="s">
        <v>227</v>
      </c>
    </row>
    <row r="55" spans="1:25" x14ac:dyDescent="0.35">
      <c r="A55" s="225"/>
      <c r="B55" s="227"/>
      <c r="C55" s="58">
        <v>48.75</v>
      </c>
      <c r="D55" s="231"/>
      <c r="E55" s="228"/>
      <c r="F55" s="228"/>
      <c r="G55" s="228"/>
      <c r="H55" s="228"/>
      <c r="I55" s="17">
        <f>'13'!$E$24+'13'!$Q$24</f>
        <v>0</v>
      </c>
      <c r="J55" s="17">
        <f>'13'!$F$24+'13'!$R$24</f>
        <v>0</v>
      </c>
      <c r="K55" s="17">
        <f>'13'!$G$24+'13'!$S$24</f>
        <v>0</v>
      </c>
      <c r="L55" s="17">
        <f>'13'!$AP24</f>
        <v>0</v>
      </c>
      <c r="M55" s="17">
        <f>'13'!$AQ24</f>
        <v>0</v>
      </c>
      <c r="N55" s="17">
        <f>'13'!$AR24</f>
        <v>0</v>
      </c>
      <c r="O55" s="61">
        <f>'13'!$AJ24</f>
        <v>0</v>
      </c>
      <c r="P55" s="61">
        <f>'13'!$AK24</f>
        <v>0</v>
      </c>
      <c r="Q55" s="61">
        <f>'13'!$AL24</f>
        <v>0</v>
      </c>
      <c r="R55" s="62">
        <f>'13'!$AM24</f>
        <v>0</v>
      </c>
      <c r="S55" s="62">
        <f>'13'!$AN24</f>
        <v>0</v>
      </c>
      <c r="T55" s="62">
        <f>'13'!$AO24</f>
        <v>0</v>
      </c>
      <c r="U55" s="63">
        <f>'13'!$AI24</f>
        <v>0</v>
      </c>
      <c r="V55" s="17">
        <f>'13'!$AH24</f>
        <v>0</v>
      </c>
      <c r="W55" s="228"/>
      <c r="X55" s="17">
        <f>'13'!CC$24</f>
        <v>0</v>
      </c>
      <c r="Y55" s="59" t="s">
        <v>227</v>
      </c>
    </row>
    <row r="56" spans="1:25" x14ac:dyDescent="0.35">
      <c r="A56" s="224" t="s">
        <v>142</v>
      </c>
      <c r="B56" s="226">
        <v>46187</v>
      </c>
      <c r="C56" s="58">
        <v>52</v>
      </c>
      <c r="D56" s="229" t="s">
        <v>202</v>
      </c>
      <c r="E56" s="224" t="s">
        <v>194</v>
      </c>
      <c r="F56" s="224" t="s">
        <v>218</v>
      </c>
      <c r="G56" s="224">
        <v>200</v>
      </c>
      <c r="H56" s="224" t="s">
        <v>217</v>
      </c>
      <c r="I56" s="17">
        <f>'14'!$E6+'14'!$N6</f>
        <v>0</v>
      </c>
      <c r="J56" s="17">
        <f>'14'!$F$6+'14'!$R$6</f>
        <v>0</v>
      </c>
      <c r="K56" s="17">
        <f>'14'!$G$6+'14'!$S$6</f>
        <v>0</v>
      </c>
      <c r="L56" s="17">
        <f>'14'!$AP6</f>
        <v>0</v>
      </c>
      <c r="M56" s="17">
        <f>'14'!$AQ6</f>
        <v>0</v>
      </c>
      <c r="N56" s="17">
        <f>'14'!$AR6</f>
        <v>0</v>
      </c>
      <c r="O56" s="61">
        <f>'14'!$AJ6</f>
        <v>0</v>
      </c>
      <c r="P56" s="61">
        <f>'14'!$AK6</f>
        <v>0</v>
      </c>
      <c r="Q56" s="61">
        <f>'14'!$AL6</f>
        <v>0</v>
      </c>
      <c r="R56" s="62">
        <f>'14'!$AM6</f>
        <v>0</v>
      </c>
      <c r="S56" s="62">
        <f>'14'!$AN6</f>
        <v>0</v>
      </c>
      <c r="T56" s="62">
        <f>'14'!$AO6</f>
        <v>0</v>
      </c>
      <c r="U56" s="63">
        <f>'14'!$AI6</f>
        <v>0</v>
      </c>
      <c r="V56" s="17">
        <f>'14'!$AH6</f>
        <v>0</v>
      </c>
      <c r="W56" s="224">
        <v>4</v>
      </c>
      <c r="X56" s="17">
        <f>'14'!CC6</f>
        <v>0</v>
      </c>
      <c r="Y56" s="59" t="s">
        <v>227</v>
      </c>
    </row>
    <row r="57" spans="1:25" x14ac:dyDescent="0.35">
      <c r="A57" s="225"/>
      <c r="B57" s="227"/>
      <c r="C57" s="58">
        <v>52.25</v>
      </c>
      <c r="D57" s="230"/>
      <c r="E57" s="225"/>
      <c r="F57" s="225"/>
      <c r="G57" s="225"/>
      <c r="H57" s="225"/>
      <c r="I57" s="17">
        <f>'14'!$E12+'14'!$N12</f>
        <v>0</v>
      </c>
      <c r="J57" s="17">
        <f>'14'!$F$12+'14'!$R$12</f>
        <v>0</v>
      </c>
      <c r="K57" s="17">
        <f>'14'!$G$12+'14'!$S$12</f>
        <v>0</v>
      </c>
      <c r="L57" s="17">
        <f>'14'!$AP12</f>
        <v>0</v>
      </c>
      <c r="M57" s="17">
        <f>'14'!$AQ12</f>
        <v>0</v>
      </c>
      <c r="N57" s="17">
        <f>'14'!$AR12</f>
        <v>0</v>
      </c>
      <c r="O57" s="61">
        <f>'14'!$AJ12</f>
        <v>0</v>
      </c>
      <c r="P57" s="61">
        <f>'14'!$AK12</f>
        <v>0</v>
      </c>
      <c r="Q57" s="61">
        <f>'14'!$AL12</f>
        <v>0</v>
      </c>
      <c r="R57" s="62">
        <f>'14'!$AM12</f>
        <v>0</v>
      </c>
      <c r="S57" s="62">
        <f>'14'!$AN12</f>
        <v>0</v>
      </c>
      <c r="T57" s="62">
        <f>'14'!$AO12</f>
        <v>0</v>
      </c>
      <c r="U57" s="63">
        <f>'14'!$AI12</f>
        <v>0</v>
      </c>
      <c r="V57" s="17">
        <f>'14'!$AH12</f>
        <v>0</v>
      </c>
      <c r="W57" s="225"/>
      <c r="X57" s="17">
        <f>'14'!CC$12</f>
        <v>0</v>
      </c>
      <c r="Y57" s="59" t="s">
        <v>227</v>
      </c>
    </row>
    <row r="58" spans="1:25" x14ac:dyDescent="0.35">
      <c r="A58" s="225"/>
      <c r="B58" s="227"/>
      <c r="C58" s="58">
        <v>52.5</v>
      </c>
      <c r="D58" s="230"/>
      <c r="E58" s="225"/>
      <c r="F58" s="225"/>
      <c r="G58" s="225"/>
      <c r="H58" s="225"/>
      <c r="I58" s="17">
        <f>'14'!$E$18+'14'!$Q$18</f>
        <v>0</v>
      </c>
      <c r="J58" s="17">
        <f>'14'!$F$18+'14'!$R$18</f>
        <v>0</v>
      </c>
      <c r="K58" s="17">
        <f>'14'!$G$18+'14'!$S$18</f>
        <v>0</v>
      </c>
      <c r="L58" s="17">
        <f>'14'!$AP18</f>
        <v>0</v>
      </c>
      <c r="M58" s="17">
        <f>'14'!$AQ18</f>
        <v>0</v>
      </c>
      <c r="N58" s="17">
        <f>'14'!$AR18</f>
        <v>0</v>
      </c>
      <c r="O58" s="61">
        <f>'14'!$AJ18</f>
        <v>0</v>
      </c>
      <c r="P58" s="61">
        <f>'14'!$AK18</f>
        <v>0</v>
      </c>
      <c r="Q58" s="61">
        <f>'14'!$AL18</f>
        <v>0</v>
      </c>
      <c r="R58" s="62">
        <f>'14'!$AM18</f>
        <v>0</v>
      </c>
      <c r="S58" s="62">
        <f>'14'!$AN18</f>
        <v>0</v>
      </c>
      <c r="T58" s="62">
        <f>'14'!$AO18</f>
        <v>0</v>
      </c>
      <c r="U58" s="63">
        <f>'14'!$AI18</f>
        <v>0</v>
      </c>
      <c r="V58" s="17">
        <f>'14'!$AH18</f>
        <v>0</v>
      </c>
      <c r="W58" s="225"/>
      <c r="X58" s="17">
        <f>'14'!CC$18</f>
        <v>0</v>
      </c>
      <c r="Y58" s="59" t="s">
        <v>227</v>
      </c>
    </row>
    <row r="59" spans="1:25" x14ac:dyDescent="0.35">
      <c r="A59" s="225"/>
      <c r="B59" s="227"/>
      <c r="C59" s="58">
        <v>52.75</v>
      </c>
      <c r="D59" s="231"/>
      <c r="E59" s="228"/>
      <c r="F59" s="228"/>
      <c r="G59" s="228"/>
      <c r="H59" s="228"/>
      <c r="I59" s="17">
        <f>'14'!$E$24+'14'!$Q$24</f>
        <v>0</v>
      </c>
      <c r="J59" s="17">
        <f>'14'!$F$24+'14'!$R$24</f>
        <v>0</v>
      </c>
      <c r="K59" s="17">
        <f>'14'!$G$24+'14'!$S$24</f>
        <v>0</v>
      </c>
      <c r="L59" s="17">
        <f>'14'!$AP24</f>
        <v>0</v>
      </c>
      <c r="M59" s="17">
        <f>'14'!$AQ24</f>
        <v>0</v>
      </c>
      <c r="N59" s="17">
        <f>'14'!$AR24</f>
        <v>0</v>
      </c>
      <c r="O59" s="61">
        <f>'14'!$AJ24</f>
        <v>0</v>
      </c>
      <c r="P59" s="61">
        <f>'14'!$AK24</f>
        <v>0</v>
      </c>
      <c r="Q59" s="61">
        <f>'14'!$AL24</f>
        <v>0</v>
      </c>
      <c r="R59" s="62">
        <f>'14'!$AM24</f>
        <v>0</v>
      </c>
      <c r="S59" s="62">
        <f>'14'!$AN24</f>
        <v>0</v>
      </c>
      <c r="T59" s="62">
        <f>'14'!$AO24</f>
        <v>0</v>
      </c>
      <c r="U59" s="63">
        <f>'14'!$AI24</f>
        <v>0</v>
      </c>
      <c r="V59" s="17">
        <f>'14'!$AH24</f>
        <v>0</v>
      </c>
      <c r="W59" s="228"/>
      <c r="X59" s="17">
        <f>'14'!CC$24</f>
        <v>0</v>
      </c>
      <c r="Y59" s="59" t="s">
        <v>227</v>
      </c>
    </row>
    <row r="60" spans="1:25" x14ac:dyDescent="0.35">
      <c r="A60" s="224" t="s">
        <v>142</v>
      </c>
      <c r="B60" s="226">
        <v>46188</v>
      </c>
      <c r="C60" s="58">
        <v>56</v>
      </c>
      <c r="D60" s="229" t="s">
        <v>202</v>
      </c>
      <c r="E60" s="224" t="s">
        <v>194</v>
      </c>
      <c r="F60" s="224" t="s">
        <v>218</v>
      </c>
      <c r="G60" s="224">
        <v>200</v>
      </c>
      <c r="H60" s="224" t="s">
        <v>217</v>
      </c>
      <c r="I60" s="17">
        <f>'15'!$E$6+'15'!$Q$6</f>
        <v>0</v>
      </c>
      <c r="J60" s="17">
        <f>'15'!$F$6+'15'!$R$6</f>
        <v>0</v>
      </c>
      <c r="K60" s="17">
        <f>'15'!$G$6+'15'!$S$6</f>
        <v>0</v>
      </c>
      <c r="L60" s="17">
        <f>'15'!$AP6</f>
        <v>0</v>
      </c>
      <c r="M60" s="17">
        <f>'15'!$AQ6</f>
        <v>0</v>
      </c>
      <c r="N60" s="17">
        <f>'15'!$AR6</f>
        <v>0</v>
      </c>
      <c r="O60" s="61">
        <f>'15'!$AJ6</f>
        <v>0</v>
      </c>
      <c r="P60" s="61">
        <f>'15'!$AK6</f>
        <v>0</v>
      </c>
      <c r="Q60" s="61">
        <f>'15'!$AL6</f>
        <v>0</v>
      </c>
      <c r="R60" s="62">
        <f>'15'!$AM6</f>
        <v>0</v>
      </c>
      <c r="S60" s="62">
        <f>'15'!$AN6</f>
        <v>0</v>
      </c>
      <c r="T60" s="62">
        <f>'15'!$AO6</f>
        <v>0</v>
      </c>
      <c r="U60" s="63">
        <f>'15'!$AI6</f>
        <v>0</v>
      </c>
      <c r="V60" s="17">
        <f>'15'!$AH6</f>
        <v>0</v>
      </c>
      <c r="W60" s="224">
        <v>4</v>
      </c>
      <c r="X60" s="17">
        <f>'15'!$CC$6</f>
        <v>0</v>
      </c>
      <c r="Y60" s="59" t="s">
        <v>227</v>
      </c>
    </row>
    <row r="61" spans="1:25" x14ac:dyDescent="0.35">
      <c r="A61" s="225"/>
      <c r="B61" s="227"/>
      <c r="C61" s="58">
        <v>56.25</v>
      </c>
      <c r="D61" s="230"/>
      <c r="E61" s="225"/>
      <c r="F61" s="225"/>
      <c r="G61" s="225"/>
      <c r="H61" s="225"/>
      <c r="I61" s="17">
        <f>'15'!$E$12+'15'!$Q$12</f>
        <v>0</v>
      </c>
      <c r="J61" s="17">
        <f>'15'!$F$12+'15'!$R$12</f>
        <v>0</v>
      </c>
      <c r="K61" s="17">
        <f>'15'!$G$12+'15'!$S$12</f>
        <v>0</v>
      </c>
      <c r="L61" s="17">
        <f>'15'!$AP12</f>
        <v>0</v>
      </c>
      <c r="M61" s="17">
        <f>'15'!$AQ12</f>
        <v>0</v>
      </c>
      <c r="N61" s="17">
        <f>'15'!$AR12</f>
        <v>0</v>
      </c>
      <c r="O61" s="61">
        <f>'15'!$AJ12</f>
        <v>0</v>
      </c>
      <c r="P61" s="61">
        <f>'15'!$AK12</f>
        <v>0</v>
      </c>
      <c r="Q61" s="61">
        <f>'15'!$AL12</f>
        <v>0</v>
      </c>
      <c r="R61" s="62">
        <f>'15'!$AM12</f>
        <v>0</v>
      </c>
      <c r="S61" s="62">
        <f>'15'!$AN12</f>
        <v>0</v>
      </c>
      <c r="T61" s="62">
        <f>'15'!$AO12</f>
        <v>0</v>
      </c>
      <c r="U61" s="63">
        <f>'15'!$AI12</f>
        <v>0</v>
      </c>
      <c r="V61" s="17">
        <f>'15'!$AH12</f>
        <v>0</v>
      </c>
      <c r="W61" s="225"/>
      <c r="X61" s="17">
        <f>'15'!$CC$12</f>
        <v>0</v>
      </c>
      <c r="Y61" s="59" t="s">
        <v>227</v>
      </c>
    </row>
    <row r="62" spans="1:25" x14ac:dyDescent="0.35">
      <c r="A62" s="225"/>
      <c r="B62" s="227"/>
      <c r="C62" s="58">
        <v>56.5</v>
      </c>
      <c r="D62" s="230"/>
      <c r="E62" s="225"/>
      <c r="F62" s="225"/>
      <c r="G62" s="225"/>
      <c r="H62" s="225"/>
      <c r="I62" s="17">
        <f>'15'!$E$18+'15'!$Q$18</f>
        <v>0</v>
      </c>
      <c r="J62" s="17">
        <f>'15'!$F$18+'15'!$R$18</f>
        <v>0</v>
      </c>
      <c r="K62" s="17">
        <f>'15'!$G$18+'15'!$S$18</f>
        <v>0</v>
      </c>
      <c r="L62" s="17">
        <f>'15'!$AP18</f>
        <v>0</v>
      </c>
      <c r="M62" s="17">
        <f>'15'!$AQ18</f>
        <v>0</v>
      </c>
      <c r="N62" s="17">
        <f>'15'!$AR18</f>
        <v>0</v>
      </c>
      <c r="O62" s="61">
        <f>'15'!$AJ18</f>
        <v>0</v>
      </c>
      <c r="P62" s="61">
        <f>'15'!$AK18</f>
        <v>0</v>
      </c>
      <c r="Q62" s="61">
        <f>'15'!$AL18</f>
        <v>0</v>
      </c>
      <c r="R62" s="62">
        <f>'15'!$AM18</f>
        <v>0</v>
      </c>
      <c r="S62" s="62">
        <f>'15'!$AN18</f>
        <v>0</v>
      </c>
      <c r="T62" s="62">
        <f>'15'!$AO18</f>
        <v>0</v>
      </c>
      <c r="U62" s="63">
        <f>'15'!$AI18</f>
        <v>0</v>
      </c>
      <c r="V62" s="17">
        <f>'15'!$AH18</f>
        <v>0</v>
      </c>
      <c r="W62" s="225"/>
      <c r="X62" s="17">
        <f>'15'!$CC$18</f>
        <v>0</v>
      </c>
      <c r="Y62" s="59" t="s">
        <v>227</v>
      </c>
    </row>
    <row r="63" spans="1:25" x14ac:dyDescent="0.35">
      <c r="A63" s="225"/>
      <c r="B63" s="227"/>
      <c r="C63" s="58">
        <v>56.75</v>
      </c>
      <c r="D63" s="231"/>
      <c r="E63" s="228"/>
      <c r="F63" s="228"/>
      <c r="G63" s="228"/>
      <c r="H63" s="228"/>
      <c r="I63" s="17">
        <f>'15'!$E$24+'15'!$Q$24</f>
        <v>0</v>
      </c>
      <c r="J63" s="17">
        <f>'15'!$F$24+'15'!$R$24</f>
        <v>0</v>
      </c>
      <c r="K63" s="17">
        <f>'15'!$G$24+'15'!$S$24</f>
        <v>0</v>
      </c>
      <c r="L63" s="17">
        <f>'15'!$AP24</f>
        <v>0</v>
      </c>
      <c r="M63" s="17">
        <f>'15'!$AQ24</f>
        <v>0</v>
      </c>
      <c r="N63" s="17">
        <f>'15'!$AR24</f>
        <v>0</v>
      </c>
      <c r="O63" s="61">
        <f>'15'!$AJ24</f>
        <v>0</v>
      </c>
      <c r="P63" s="61">
        <f>'15'!$AK24</f>
        <v>0</v>
      </c>
      <c r="Q63" s="61">
        <f>'15'!$AL24</f>
        <v>0</v>
      </c>
      <c r="R63" s="62">
        <f>'15'!$AM24</f>
        <v>0</v>
      </c>
      <c r="S63" s="62">
        <f>'15'!$AN24</f>
        <v>0</v>
      </c>
      <c r="T63" s="62">
        <f>'15'!$AO24</f>
        <v>0</v>
      </c>
      <c r="U63" s="63">
        <f>'15'!$AI24</f>
        <v>0</v>
      </c>
      <c r="V63" s="17">
        <f>'15'!$AH24</f>
        <v>0</v>
      </c>
      <c r="W63" s="228"/>
      <c r="X63" s="17">
        <f>'15'!$CC$24</f>
        <v>0</v>
      </c>
      <c r="Y63" s="59" t="s">
        <v>227</v>
      </c>
    </row>
    <row r="64" spans="1:25" x14ac:dyDescent="0.35">
      <c r="A64" s="224" t="s">
        <v>142</v>
      </c>
      <c r="B64" s="226">
        <v>46189</v>
      </c>
      <c r="C64" s="58">
        <v>60</v>
      </c>
      <c r="D64" s="229" t="s">
        <v>202</v>
      </c>
      <c r="E64" s="224" t="s">
        <v>194</v>
      </c>
      <c r="F64" s="224" t="s">
        <v>218</v>
      </c>
      <c r="G64" s="224">
        <v>200</v>
      </c>
      <c r="H64" s="224" t="s">
        <v>217</v>
      </c>
      <c r="I64" s="17">
        <f>'16'!$E$6+'16'!$Q$6</f>
        <v>0</v>
      </c>
      <c r="J64" s="17">
        <f>'16'!$F$6+'16'!$R$6</f>
        <v>0</v>
      </c>
      <c r="K64" s="17">
        <f>'16'!$G$6+'16'!$S$6</f>
        <v>0</v>
      </c>
      <c r="L64" s="17">
        <f>'16'!$AP6</f>
        <v>0</v>
      </c>
      <c r="M64" s="17">
        <f>'16'!$AQ6</f>
        <v>0</v>
      </c>
      <c r="N64" s="17">
        <f>'16'!$AR6</f>
        <v>0</v>
      </c>
      <c r="O64" s="61">
        <f>'16'!$AJ6</f>
        <v>0</v>
      </c>
      <c r="P64" s="61">
        <f>'16'!$AK6</f>
        <v>0</v>
      </c>
      <c r="Q64" s="61">
        <f>'16'!$AL6</f>
        <v>0</v>
      </c>
      <c r="R64" s="62">
        <f>'16'!$AM6</f>
        <v>0</v>
      </c>
      <c r="S64" s="62">
        <f>'16'!$AN6</f>
        <v>0</v>
      </c>
      <c r="T64" s="62">
        <f>'16'!$AO6</f>
        <v>0</v>
      </c>
      <c r="U64" s="63">
        <f>'16'!$AI6</f>
        <v>0</v>
      </c>
      <c r="V64" s="17">
        <f>'16'!$AH6</f>
        <v>0</v>
      </c>
      <c r="W64" s="224">
        <v>4</v>
      </c>
      <c r="X64" s="17">
        <f>'16'!$CC$6</f>
        <v>0</v>
      </c>
      <c r="Y64" s="59" t="s">
        <v>227</v>
      </c>
    </row>
    <row r="65" spans="1:25" x14ac:dyDescent="0.35">
      <c r="A65" s="225"/>
      <c r="B65" s="227"/>
      <c r="C65" s="58">
        <v>60.25</v>
      </c>
      <c r="D65" s="230"/>
      <c r="E65" s="225"/>
      <c r="F65" s="225"/>
      <c r="G65" s="225"/>
      <c r="H65" s="225"/>
      <c r="I65" s="17">
        <f>'16'!$E$12+'16'!$N$12</f>
        <v>0</v>
      </c>
      <c r="J65" s="17">
        <f>'16'!$F$12+'16'!$R$12</f>
        <v>0</v>
      </c>
      <c r="K65" s="17">
        <f>'16'!$G$12+'16'!$S$12</f>
        <v>0</v>
      </c>
      <c r="L65" s="17">
        <f>'16'!$AP12</f>
        <v>0</v>
      </c>
      <c r="M65" s="17">
        <f>'16'!$AQ12</f>
        <v>0</v>
      </c>
      <c r="N65" s="17">
        <f>'16'!$AR12</f>
        <v>0</v>
      </c>
      <c r="O65" s="61">
        <f>'16'!$AJ12</f>
        <v>0</v>
      </c>
      <c r="P65" s="61">
        <f>'16'!$AK12</f>
        <v>0</v>
      </c>
      <c r="Q65" s="61">
        <f>'16'!$AL12</f>
        <v>0</v>
      </c>
      <c r="R65" s="62">
        <f>'16'!$AM12</f>
        <v>0</v>
      </c>
      <c r="S65" s="62">
        <f>'16'!$AN12</f>
        <v>0</v>
      </c>
      <c r="T65" s="62">
        <f>'16'!$AO12</f>
        <v>0</v>
      </c>
      <c r="U65" s="63">
        <f>'16'!$AI12</f>
        <v>0</v>
      </c>
      <c r="V65" s="17">
        <f>'16'!$AH12</f>
        <v>0</v>
      </c>
      <c r="W65" s="225"/>
      <c r="X65" s="17">
        <f>'16'!$CC$12</f>
        <v>0</v>
      </c>
      <c r="Y65" s="59" t="s">
        <v>227</v>
      </c>
    </row>
    <row r="66" spans="1:25" x14ac:dyDescent="0.35">
      <c r="A66" s="225"/>
      <c r="B66" s="227"/>
      <c r="C66" s="58">
        <v>60.5</v>
      </c>
      <c r="D66" s="230"/>
      <c r="E66" s="225"/>
      <c r="F66" s="225"/>
      <c r="G66" s="225"/>
      <c r="H66" s="225"/>
      <c r="I66" s="17">
        <f>'16'!$E$18+'16'!$Q$18</f>
        <v>0</v>
      </c>
      <c r="J66" s="17">
        <f>'16'!$F$18+'16'!$R$18</f>
        <v>0</v>
      </c>
      <c r="K66" s="17">
        <f>'16'!$G$18+'16'!$S$18</f>
        <v>0</v>
      </c>
      <c r="L66" s="17">
        <f>'16'!$AP18</f>
        <v>0</v>
      </c>
      <c r="M66" s="17">
        <f>'16'!$AQ18</f>
        <v>0</v>
      </c>
      <c r="N66" s="17">
        <f>'16'!$AR18</f>
        <v>0</v>
      </c>
      <c r="O66" s="61">
        <f>'16'!$AJ18</f>
        <v>0</v>
      </c>
      <c r="P66" s="61">
        <f>'16'!$AK18</f>
        <v>0</v>
      </c>
      <c r="Q66" s="61">
        <f>'16'!$AL18</f>
        <v>0</v>
      </c>
      <c r="R66" s="62">
        <f>'16'!$AM18</f>
        <v>0</v>
      </c>
      <c r="S66" s="62">
        <f>'16'!$AN18</f>
        <v>0</v>
      </c>
      <c r="T66" s="62">
        <f>'16'!$AO18</f>
        <v>0</v>
      </c>
      <c r="U66" s="63">
        <f>'16'!$AI18</f>
        <v>0</v>
      </c>
      <c r="V66" s="17">
        <f>'16'!$AH18</f>
        <v>0</v>
      </c>
      <c r="W66" s="225"/>
      <c r="X66" s="17">
        <f>'16'!$CC$18</f>
        <v>0</v>
      </c>
      <c r="Y66" s="59" t="s">
        <v>227</v>
      </c>
    </row>
    <row r="67" spans="1:25" x14ac:dyDescent="0.35">
      <c r="A67" s="225"/>
      <c r="B67" s="227"/>
      <c r="C67" s="58">
        <v>60.75</v>
      </c>
      <c r="D67" s="231"/>
      <c r="E67" s="228"/>
      <c r="F67" s="228"/>
      <c r="G67" s="228"/>
      <c r="H67" s="228"/>
      <c r="I67" s="17">
        <f>'16'!$E$24+'16'!$Q$24</f>
        <v>0</v>
      </c>
      <c r="J67" s="17">
        <f>'16'!$F$24+'16'!$R$24</f>
        <v>0</v>
      </c>
      <c r="K67" s="17">
        <f>'16'!$G$24+'16'!$S$24</f>
        <v>0</v>
      </c>
      <c r="L67" s="17">
        <f>'16'!$AP24</f>
        <v>0</v>
      </c>
      <c r="M67" s="17">
        <f>'16'!$AQ24</f>
        <v>0</v>
      </c>
      <c r="N67" s="17">
        <f>'16'!$AR24</f>
        <v>0</v>
      </c>
      <c r="O67" s="61">
        <f>'16'!$AJ24</f>
        <v>0</v>
      </c>
      <c r="P67" s="61">
        <f>'16'!$AK24</f>
        <v>0</v>
      </c>
      <c r="Q67" s="61">
        <f>'16'!$AL24</f>
        <v>0</v>
      </c>
      <c r="R67" s="62">
        <f>'16'!$AM24</f>
        <v>0</v>
      </c>
      <c r="S67" s="62">
        <f>'16'!$AN24</f>
        <v>0</v>
      </c>
      <c r="T67" s="62">
        <f>'16'!$AO24</f>
        <v>0</v>
      </c>
      <c r="U67" s="63">
        <f>'16'!$AI24</f>
        <v>0</v>
      </c>
      <c r="V67" s="17">
        <f>'16'!$AH24</f>
        <v>0</v>
      </c>
      <c r="W67" s="228"/>
      <c r="X67" s="17">
        <f>'16'!$CC$24</f>
        <v>0</v>
      </c>
      <c r="Y67" s="59" t="s">
        <v>227</v>
      </c>
    </row>
    <row r="68" spans="1:25" x14ac:dyDescent="0.35">
      <c r="A68" s="224" t="s">
        <v>142</v>
      </c>
      <c r="B68" s="226">
        <v>46190</v>
      </c>
      <c r="C68" s="58">
        <v>64</v>
      </c>
      <c r="D68" s="229" t="s">
        <v>202</v>
      </c>
      <c r="E68" s="224" t="s">
        <v>194</v>
      </c>
      <c r="F68" s="224" t="s">
        <v>218</v>
      </c>
      <c r="G68" s="224">
        <v>200</v>
      </c>
      <c r="H68" s="224" t="s">
        <v>217</v>
      </c>
      <c r="I68" s="17">
        <f>'17'!$E$6+'17'!$N$6</f>
        <v>0</v>
      </c>
      <c r="J68" s="17">
        <f>'17'!$F$6+'17'!$R$6</f>
        <v>0</v>
      </c>
      <c r="K68" s="17">
        <f>'17'!$G$6+'17'!$S$6</f>
        <v>0</v>
      </c>
      <c r="L68" s="17">
        <f>'17'!$AP6</f>
        <v>0</v>
      </c>
      <c r="M68" s="17">
        <f>'17'!$AQ6</f>
        <v>0</v>
      </c>
      <c r="N68" s="17">
        <f>'17'!$AR6</f>
        <v>0</v>
      </c>
      <c r="O68" s="61">
        <f>'17'!$AJ6</f>
        <v>0</v>
      </c>
      <c r="P68" s="61">
        <f>'17'!$AK6</f>
        <v>0</v>
      </c>
      <c r="Q68" s="61">
        <f>'17'!$AL6</f>
        <v>0</v>
      </c>
      <c r="R68" s="62">
        <f>'17'!$AM6</f>
        <v>0</v>
      </c>
      <c r="S68" s="62">
        <f>'17'!$AN6</f>
        <v>0</v>
      </c>
      <c r="T68" s="62">
        <f>'17'!$AO6</f>
        <v>0</v>
      </c>
      <c r="U68" s="63">
        <f>'17'!$AI6</f>
        <v>0</v>
      </c>
      <c r="V68" s="17">
        <f>'17'!$AH6</f>
        <v>0</v>
      </c>
      <c r="W68" s="224">
        <v>4</v>
      </c>
      <c r="X68" s="17">
        <f>'17'!$CC$6</f>
        <v>0</v>
      </c>
      <c r="Y68" s="59" t="s">
        <v>227</v>
      </c>
    </row>
    <row r="69" spans="1:25" x14ac:dyDescent="0.35">
      <c r="A69" s="225"/>
      <c r="B69" s="227"/>
      <c r="C69" s="58">
        <v>64.25</v>
      </c>
      <c r="D69" s="230"/>
      <c r="E69" s="225"/>
      <c r="F69" s="225"/>
      <c r="G69" s="225"/>
      <c r="H69" s="225"/>
      <c r="I69" s="17">
        <f>'17'!$E$12+'17'!$N$12</f>
        <v>0</v>
      </c>
      <c r="J69" s="17">
        <f>'17'!$F$12+'17'!$R$12</f>
        <v>0</v>
      </c>
      <c r="K69" s="17">
        <f>'17'!$G$12+'17'!$S$12</f>
        <v>0</v>
      </c>
      <c r="L69" s="17">
        <f>'17'!$AP12</f>
        <v>0</v>
      </c>
      <c r="M69" s="17">
        <f>'17'!$AQ12</f>
        <v>0</v>
      </c>
      <c r="N69" s="17">
        <f>'17'!$AR12</f>
        <v>0</v>
      </c>
      <c r="O69" s="61">
        <f>'17'!$AJ12</f>
        <v>0</v>
      </c>
      <c r="P69" s="61">
        <f>'17'!$AK12</f>
        <v>0</v>
      </c>
      <c r="Q69" s="61">
        <f>'17'!$AL12</f>
        <v>0</v>
      </c>
      <c r="R69" s="62">
        <f>'17'!$AM12</f>
        <v>0</v>
      </c>
      <c r="S69" s="62">
        <f>'17'!$AN12</f>
        <v>0</v>
      </c>
      <c r="T69" s="62">
        <f>'17'!$AO12</f>
        <v>0</v>
      </c>
      <c r="U69" s="63">
        <f>'17'!$AI12</f>
        <v>0</v>
      </c>
      <c r="V69" s="17">
        <f>'17'!$AH12</f>
        <v>0</v>
      </c>
      <c r="W69" s="225"/>
      <c r="X69" s="17">
        <f>'17'!$CC$12</f>
        <v>0</v>
      </c>
      <c r="Y69" s="59" t="s">
        <v>227</v>
      </c>
    </row>
    <row r="70" spans="1:25" x14ac:dyDescent="0.35">
      <c r="A70" s="225"/>
      <c r="B70" s="227"/>
      <c r="C70" s="58">
        <v>64.5</v>
      </c>
      <c r="D70" s="230"/>
      <c r="E70" s="225"/>
      <c r="F70" s="225"/>
      <c r="G70" s="225"/>
      <c r="H70" s="225"/>
      <c r="I70" s="17">
        <f>'17'!$E$18+'17'!$Q$18</f>
        <v>0</v>
      </c>
      <c r="J70" s="17">
        <f>'17'!$F$18+'17'!$R$18</f>
        <v>0</v>
      </c>
      <c r="K70" s="17">
        <f>'17'!$G$18+'17'!$S$18</f>
        <v>0</v>
      </c>
      <c r="L70" s="17">
        <f>'17'!$AP18</f>
        <v>0</v>
      </c>
      <c r="M70" s="17">
        <f>'17'!$AQ18</f>
        <v>0</v>
      </c>
      <c r="N70" s="17">
        <f>'17'!$AR18</f>
        <v>0</v>
      </c>
      <c r="O70" s="61">
        <f>'17'!$AJ18</f>
        <v>0</v>
      </c>
      <c r="P70" s="61">
        <f>'17'!$AK18</f>
        <v>0</v>
      </c>
      <c r="Q70" s="61">
        <f>'17'!$AL18</f>
        <v>0</v>
      </c>
      <c r="R70" s="62">
        <f>'17'!$AM18</f>
        <v>0</v>
      </c>
      <c r="S70" s="62">
        <f>'17'!$AN18</f>
        <v>0</v>
      </c>
      <c r="T70" s="62">
        <f>'17'!$AO18</f>
        <v>0</v>
      </c>
      <c r="U70" s="63">
        <f>'17'!$AI18</f>
        <v>0</v>
      </c>
      <c r="V70" s="17">
        <f>'17'!$AH18</f>
        <v>0</v>
      </c>
      <c r="W70" s="225"/>
      <c r="X70" s="17">
        <f>'17'!$CC$18</f>
        <v>0</v>
      </c>
      <c r="Y70" s="59" t="s">
        <v>227</v>
      </c>
    </row>
    <row r="71" spans="1:25" x14ac:dyDescent="0.35">
      <c r="A71" s="225"/>
      <c r="B71" s="227"/>
      <c r="C71" s="58">
        <v>64.75</v>
      </c>
      <c r="D71" s="231"/>
      <c r="E71" s="228"/>
      <c r="F71" s="228"/>
      <c r="G71" s="228"/>
      <c r="H71" s="228"/>
      <c r="I71" s="17">
        <f>'17'!$E$24+'17'!$Q$24</f>
        <v>0</v>
      </c>
      <c r="J71" s="17">
        <f>'17'!$F$24+'17'!$R$24</f>
        <v>0</v>
      </c>
      <c r="K71" s="17">
        <f>'17'!$G$24+'17'!$S$24</f>
        <v>0</v>
      </c>
      <c r="L71" s="17">
        <f>'17'!$AP24</f>
        <v>0</v>
      </c>
      <c r="M71" s="17">
        <f>'17'!$AQ24</f>
        <v>0</v>
      </c>
      <c r="N71" s="17">
        <f>'17'!$AR24</f>
        <v>0</v>
      </c>
      <c r="O71" s="61">
        <f>'17'!$AJ24</f>
        <v>0</v>
      </c>
      <c r="P71" s="61">
        <f>'17'!$AK24</f>
        <v>0</v>
      </c>
      <c r="Q71" s="61">
        <f>'17'!$AL24</f>
        <v>0</v>
      </c>
      <c r="R71" s="62">
        <f>'17'!$AM24</f>
        <v>0</v>
      </c>
      <c r="S71" s="62">
        <f>'17'!$AN24</f>
        <v>0</v>
      </c>
      <c r="T71" s="62">
        <f>'17'!$AO24</f>
        <v>0</v>
      </c>
      <c r="U71" s="63">
        <f>'17'!$AI24</f>
        <v>0</v>
      </c>
      <c r="V71" s="17">
        <f>'17'!$AH24</f>
        <v>0</v>
      </c>
      <c r="W71" s="228"/>
      <c r="X71" s="17">
        <f>'17'!$CC$24</f>
        <v>0</v>
      </c>
      <c r="Y71" s="59" t="s">
        <v>227</v>
      </c>
    </row>
    <row r="72" spans="1:25" x14ac:dyDescent="0.35">
      <c r="A72" s="224" t="s">
        <v>142</v>
      </c>
      <c r="B72" s="226">
        <v>46191</v>
      </c>
      <c r="C72" s="58">
        <v>68</v>
      </c>
      <c r="D72" s="229" t="s">
        <v>202</v>
      </c>
      <c r="E72" s="224" t="s">
        <v>194</v>
      </c>
      <c r="F72" s="224" t="s">
        <v>218</v>
      </c>
      <c r="G72" s="224">
        <v>200</v>
      </c>
      <c r="H72" s="224" t="s">
        <v>217</v>
      </c>
      <c r="I72" s="17">
        <f>'18'!$E$6+'18'!$Q$6</f>
        <v>0</v>
      </c>
      <c r="J72" s="17">
        <f>'18'!$F$6+'18'!$R$6</f>
        <v>0</v>
      </c>
      <c r="K72" s="17">
        <f>'18'!$G$6+'18'!$S$6</f>
        <v>0</v>
      </c>
      <c r="L72" s="17">
        <f>'18'!$AP6</f>
        <v>0</v>
      </c>
      <c r="M72" s="17">
        <f>'18'!$AQ6</f>
        <v>0</v>
      </c>
      <c r="N72" s="17">
        <f>'18'!$AR6</f>
        <v>0</v>
      </c>
      <c r="O72" s="61">
        <f>'18'!$AJ6</f>
        <v>0</v>
      </c>
      <c r="P72" s="61">
        <f>'18'!$AK6</f>
        <v>0</v>
      </c>
      <c r="Q72" s="61">
        <f>'18'!$AL6</f>
        <v>0</v>
      </c>
      <c r="R72" s="62">
        <f>'18'!$AM6</f>
        <v>0</v>
      </c>
      <c r="S72" s="62">
        <f>'18'!$AN6</f>
        <v>0</v>
      </c>
      <c r="T72" s="62">
        <f>'18'!$AO6</f>
        <v>0</v>
      </c>
      <c r="U72" s="63">
        <f>'18'!$AI6</f>
        <v>0</v>
      </c>
      <c r="V72" s="17">
        <f>'18'!$AH6</f>
        <v>0</v>
      </c>
      <c r="W72" s="224">
        <v>4</v>
      </c>
      <c r="X72" s="17">
        <f>'18'!$CC$6</f>
        <v>0</v>
      </c>
      <c r="Y72" s="59" t="s">
        <v>227</v>
      </c>
    </row>
    <row r="73" spans="1:25" x14ac:dyDescent="0.35">
      <c r="A73" s="225"/>
      <c r="B73" s="227"/>
      <c r="C73" s="58">
        <v>68.25</v>
      </c>
      <c r="D73" s="230"/>
      <c r="E73" s="225"/>
      <c r="F73" s="225"/>
      <c r="G73" s="225"/>
      <c r="H73" s="225"/>
      <c r="I73" s="17">
        <f>'18'!$E$12+'18'!$Q$12</f>
        <v>0</v>
      </c>
      <c r="J73" s="17">
        <f>'18'!$F$12+'18'!$R$12</f>
        <v>0</v>
      </c>
      <c r="K73" s="17">
        <f>'18'!$G$12+'18'!$S$12</f>
        <v>0</v>
      </c>
      <c r="L73" s="17">
        <f>'18'!$AP12</f>
        <v>0</v>
      </c>
      <c r="M73" s="17">
        <f>'18'!$AQ12</f>
        <v>0</v>
      </c>
      <c r="N73" s="17">
        <f>'18'!$AR12</f>
        <v>0</v>
      </c>
      <c r="O73" s="61">
        <f>'18'!$AJ12</f>
        <v>0</v>
      </c>
      <c r="P73" s="61">
        <f>'18'!$AK12</f>
        <v>0</v>
      </c>
      <c r="Q73" s="61">
        <f>'18'!$AL12</f>
        <v>0</v>
      </c>
      <c r="R73" s="62">
        <f>'18'!$AM12</f>
        <v>0</v>
      </c>
      <c r="S73" s="62">
        <f>'18'!$AN12</f>
        <v>0</v>
      </c>
      <c r="T73" s="62">
        <f>'18'!$AO12</f>
        <v>0</v>
      </c>
      <c r="U73" s="63">
        <f>'18'!$AI12</f>
        <v>0</v>
      </c>
      <c r="V73" s="17">
        <f>'18'!$AH12</f>
        <v>0</v>
      </c>
      <c r="W73" s="225"/>
      <c r="X73" s="17">
        <f>'18'!$CC$12</f>
        <v>0</v>
      </c>
      <c r="Y73" s="59" t="s">
        <v>227</v>
      </c>
    </row>
    <row r="74" spans="1:25" x14ac:dyDescent="0.35">
      <c r="A74" s="225"/>
      <c r="B74" s="227"/>
      <c r="C74" s="58">
        <v>68.5</v>
      </c>
      <c r="D74" s="230"/>
      <c r="E74" s="225"/>
      <c r="F74" s="225"/>
      <c r="G74" s="225"/>
      <c r="H74" s="225"/>
      <c r="I74" s="17">
        <f>'18'!$E$18+'18'!$Q$18</f>
        <v>0</v>
      </c>
      <c r="J74" s="17">
        <f>'18'!$F$18+'18'!$R$18</f>
        <v>0</v>
      </c>
      <c r="K74" s="17">
        <f>'18'!$G$18+'18'!$S$18</f>
        <v>0</v>
      </c>
      <c r="L74" s="17">
        <f>'18'!$AP18</f>
        <v>0</v>
      </c>
      <c r="M74" s="17">
        <f>'18'!$AQ18</f>
        <v>0</v>
      </c>
      <c r="N74" s="17">
        <f>'18'!$AR18</f>
        <v>0</v>
      </c>
      <c r="O74" s="61">
        <f>'18'!$AJ18</f>
        <v>0</v>
      </c>
      <c r="P74" s="61">
        <f>'18'!$AK18</f>
        <v>0</v>
      </c>
      <c r="Q74" s="61">
        <f>'18'!$AL18</f>
        <v>0</v>
      </c>
      <c r="R74" s="62">
        <f>'18'!$AM18</f>
        <v>0</v>
      </c>
      <c r="S74" s="62">
        <f>'18'!$AN18</f>
        <v>0</v>
      </c>
      <c r="T74" s="62">
        <f>'18'!$AO18</f>
        <v>0</v>
      </c>
      <c r="U74" s="63">
        <f>'18'!$AI18</f>
        <v>0</v>
      </c>
      <c r="V74" s="17">
        <f>'18'!$AH18</f>
        <v>0</v>
      </c>
      <c r="W74" s="225"/>
      <c r="X74" s="17">
        <f>'18'!$CC$18</f>
        <v>0</v>
      </c>
      <c r="Y74" s="59" t="s">
        <v>227</v>
      </c>
    </row>
    <row r="75" spans="1:25" x14ac:dyDescent="0.35">
      <c r="A75" s="225"/>
      <c r="B75" s="227"/>
      <c r="C75" s="58">
        <v>68.75</v>
      </c>
      <c r="D75" s="231"/>
      <c r="E75" s="228"/>
      <c r="F75" s="228"/>
      <c r="G75" s="228"/>
      <c r="H75" s="228"/>
      <c r="I75" s="17">
        <f>'18'!$E$24+'18'!$Q$24</f>
        <v>0</v>
      </c>
      <c r="J75" s="17">
        <f>'18'!$F$24+'18'!$R$24</f>
        <v>0</v>
      </c>
      <c r="K75" s="17">
        <f>'18'!$G$24+'18'!$S$24</f>
        <v>0</v>
      </c>
      <c r="L75" s="17">
        <f>'18'!$AP24</f>
        <v>0</v>
      </c>
      <c r="M75" s="17">
        <f>'18'!$AQ24</f>
        <v>0</v>
      </c>
      <c r="N75" s="17">
        <f>'18'!$AR24</f>
        <v>0</v>
      </c>
      <c r="O75" s="61">
        <f>'18'!$AJ24</f>
        <v>0</v>
      </c>
      <c r="P75" s="61">
        <f>'18'!$AK24</f>
        <v>0</v>
      </c>
      <c r="Q75" s="61">
        <f>'18'!$AL24</f>
        <v>0</v>
      </c>
      <c r="R75" s="62">
        <f>'18'!$AM24</f>
        <v>0</v>
      </c>
      <c r="S75" s="62">
        <f>'18'!$AN24</f>
        <v>0</v>
      </c>
      <c r="T75" s="62">
        <f>'18'!$AO24</f>
        <v>0</v>
      </c>
      <c r="U75" s="63">
        <f>'18'!$AI24</f>
        <v>0</v>
      </c>
      <c r="V75" s="17">
        <f>'18'!$AH24</f>
        <v>0</v>
      </c>
      <c r="W75" s="228"/>
      <c r="X75" s="17">
        <f>'18'!$CC$24</f>
        <v>0</v>
      </c>
      <c r="Y75" s="59" t="s">
        <v>227</v>
      </c>
    </row>
    <row r="76" spans="1:25" x14ac:dyDescent="0.35">
      <c r="A76" s="224" t="s">
        <v>142</v>
      </c>
      <c r="B76" s="226">
        <v>46192</v>
      </c>
      <c r="C76" s="58">
        <v>72</v>
      </c>
      <c r="D76" s="229" t="s">
        <v>202</v>
      </c>
      <c r="E76" s="224" t="s">
        <v>194</v>
      </c>
      <c r="F76" s="224" t="s">
        <v>218</v>
      </c>
      <c r="G76" s="224">
        <v>200</v>
      </c>
      <c r="H76" s="224" t="s">
        <v>217</v>
      </c>
      <c r="I76" s="17">
        <f>'19'!$E$6+'19'!$Q$6</f>
        <v>0</v>
      </c>
      <c r="J76" s="17">
        <f>'19'!$F$6+'19'!$R$6</f>
        <v>0</v>
      </c>
      <c r="K76" s="17">
        <f>'19'!$G$6+'19'!$S$6</f>
        <v>0</v>
      </c>
      <c r="L76" s="17">
        <f>'19'!$AP6</f>
        <v>0</v>
      </c>
      <c r="M76" s="17">
        <f>'19'!$AQ6</f>
        <v>0</v>
      </c>
      <c r="N76" s="17">
        <f>'19'!$AR6</f>
        <v>0</v>
      </c>
      <c r="O76" s="61">
        <f>'19'!$AJ6</f>
        <v>0</v>
      </c>
      <c r="P76" s="61">
        <f>'19'!$AK6</f>
        <v>0</v>
      </c>
      <c r="Q76" s="61">
        <f>'19'!$AL6</f>
        <v>0</v>
      </c>
      <c r="R76" s="62">
        <f>'19'!$AM6</f>
        <v>0</v>
      </c>
      <c r="S76" s="62">
        <f>'19'!$AN6</f>
        <v>0</v>
      </c>
      <c r="T76" s="62">
        <f>'19'!$AO6</f>
        <v>0</v>
      </c>
      <c r="U76" s="63">
        <f>'19'!$AI6</f>
        <v>0</v>
      </c>
      <c r="V76" s="17">
        <f>'19'!$AH6</f>
        <v>0</v>
      </c>
      <c r="W76" s="224">
        <v>4</v>
      </c>
      <c r="X76" s="17">
        <f>'19'!$CC$6</f>
        <v>0</v>
      </c>
      <c r="Y76" s="59" t="s">
        <v>227</v>
      </c>
    </row>
    <row r="77" spans="1:25" x14ac:dyDescent="0.35">
      <c r="A77" s="225"/>
      <c r="B77" s="227"/>
      <c r="C77" s="58">
        <v>72.25</v>
      </c>
      <c r="D77" s="230"/>
      <c r="E77" s="225"/>
      <c r="F77" s="225"/>
      <c r="G77" s="225"/>
      <c r="H77" s="225"/>
      <c r="I77" s="17">
        <f>'19'!$E$12+'19'!$Q$12</f>
        <v>0</v>
      </c>
      <c r="J77" s="17">
        <f>'19'!$F$12+'19'!$R$12</f>
        <v>0</v>
      </c>
      <c r="K77" s="17">
        <f>'19'!$G$12+'19'!$S$12</f>
        <v>0</v>
      </c>
      <c r="L77" s="17">
        <f>'19'!$AP12</f>
        <v>0</v>
      </c>
      <c r="M77" s="17">
        <f>'19'!$AQ12</f>
        <v>0</v>
      </c>
      <c r="N77" s="17">
        <f>'19'!$AR12</f>
        <v>0</v>
      </c>
      <c r="O77" s="61">
        <f>'19'!$AJ12</f>
        <v>0</v>
      </c>
      <c r="P77" s="61">
        <f>'19'!$AK12</f>
        <v>0</v>
      </c>
      <c r="Q77" s="61">
        <f>'19'!$AL12</f>
        <v>0</v>
      </c>
      <c r="R77" s="62">
        <f>'19'!$AM12</f>
        <v>0</v>
      </c>
      <c r="S77" s="62">
        <f>'19'!$AN12</f>
        <v>0</v>
      </c>
      <c r="T77" s="62">
        <f>'19'!$AO12</f>
        <v>0</v>
      </c>
      <c r="U77" s="63">
        <f>'19'!$AI12</f>
        <v>0</v>
      </c>
      <c r="V77" s="17">
        <f>'19'!$AH12</f>
        <v>0</v>
      </c>
      <c r="W77" s="225"/>
      <c r="X77" s="17">
        <f>'19'!$CC$12</f>
        <v>0</v>
      </c>
      <c r="Y77" s="59" t="s">
        <v>227</v>
      </c>
    </row>
    <row r="78" spans="1:25" x14ac:dyDescent="0.35">
      <c r="A78" s="225"/>
      <c r="B78" s="227"/>
      <c r="C78" s="58">
        <v>72.5</v>
      </c>
      <c r="D78" s="230"/>
      <c r="E78" s="225"/>
      <c r="F78" s="225"/>
      <c r="G78" s="225"/>
      <c r="H78" s="225"/>
      <c r="I78" s="17">
        <f>'19'!$E$18+'19'!$Q$18</f>
        <v>0</v>
      </c>
      <c r="J78" s="17">
        <f>'19'!$F$18+'19'!$R$18</f>
        <v>0</v>
      </c>
      <c r="K78" s="17">
        <f>'19'!$G$18+'19'!$S$18</f>
        <v>0</v>
      </c>
      <c r="L78" s="17">
        <f>'19'!$AP18</f>
        <v>0</v>
      </c>
      <c r="M78" s="17">
        <f>'19'!$AQ18</f>
        <v>0</v>
      </c>
      <c r="N78" s="17">
        <f>'19'!$AR18</f>
        <v>0</v>
      </c>
      <c r="O78" s="61">
        <f>'19'!$AJ18</f>
        <v>0</v>
      </c>
      <c r="P78" s="61">
        <f>'19'!$AK18</f>
        <v>0</v>
      </c>
      <c r="Q78" s="61">
        <f>'19'!$AL18</f>
        <v>0</v>
      </c>
      <c r="R78" s="62">
        <f>'19'!$AM18</f>
        <v>0</v>
      </c>
      <c r="S78" s="62">
        <f>'19'!$AN18</f>
        <v>0</v>
      </c>
      <c r="T78" s="62">
        <f>'19'!$AO18</f>
        <v>0</v>
      </c>
      <c r="U78" s="63">
        <f>'19'!$AI18</f>
        <v>0</v>
      </c>
      <c r="V78" s="17">
        <f>'19'!$AH18</f>
        <v>0</v>
      </c>
      <c r="W78" s="225"/>
      <c r="X78" s="17">
        <f>'19'!$CC$18</f>
        <v>0</v>
      </c>
      <c r="Y78" s="59" t="s">
        <v>227</v>
      </c>
    </row>
    <row r="79" spans="1:25" x14ac:dyDescent="0.35">
      <c r="A79" s="225"/>
      <c r="B79" s="227"/>
      <c r="C79" s="58">
        <v>72.75</v>
      </c>
      <c r="D79" s="231"/>
      <c r="E79" s="228"/>
      <c r="F79" s="228"/>
      <c r="G79" s="228"/>
      <c r="H79" s="228"/>
      <c r="I79" s="17">
        <f>'19'!$E$24+'19'!$Q$24</f>
        <v>0</v>
      </c>
      <c r="J79" s="17">
        <f>'19'!$F$24+'19'!$R$24</f>
        <v>0</v>
      </c>
      <c r="K79" s="17">
        <f>'19'!$G$24+'19'!$S$24</f>
        <v>0</v>
      </c>
      <c r="L79" s="17">
        <f>'19'!$AP24</f>
        <v>0</v>
      </c>
      <c r="M79" s="17">
        <f>'19'!$AQ24</f>
        <v>0</v>
      </c>
      <c r="N79" s="17">
        <f>'19'!$AR24</f>
        <v>0</v>
      </c>
      <c r="O79" s="61">
        <f>'19'!$AJ24</f>
        <v>0</v>
      </c>
      <c r="P79" s="61">
        <f>'19'!$AK24</f>
        <v>0</v>
      </c>
      <c r="Q79" s="61">
        <f>'19'!$AL24</f>
        <v>0</v>
      </c>
      <c r="R79" s="62">
        <f>'19'!$AM24</f>
        <v>0</v>
      </c>
      <c r="S79" s="62">
        <f>'19'!$AN24</f>
        <v>0</v>
      </c>
      <c r="T79" s="62">
        <f>'19'!$AO24</f>
        <v>0</v>
      </c>
      <c r="U79" s="63">
        <f>'19'!$AI24</f>
        <v>0</v>
      </c>
      <c r="V79" s="17">
        <f>'19'!$AH24</f>
        <v>0</v>
      </c>
      <c r="W79" s="228"/>
      <c r="X79" s="17">
        <f>'19'!$CC$24</f>
        <v>0</v>
      </c>
      <c r="Y79" s="59" t="s">
        <v>227</v>
      </c>
    </row>
    <row r="80" spans="1:25" x14ac:dyDescent="0.35">
      <c r="A80" s="224" t="s">
        <v>142</v>
      </c>
      <c r="B80" s="226">
        <v>46193</v>
      </c>
      <c r="C80" s="58">
        <v>76</v>
      </c>
      <c r="D80" s="229" t="s">
        <v>202</v>
      </c>
      <c r="E80" s="224" t="s">
        <v>194</v>
      </c>
      <c r="F80" s="224" t="s">
        <v>218</v>
      </c>
      <c r="G80" s="224">
        <v>200</v>
      </c>
      <c r="H80" s="224" t="s">
        <v>217</v>
      </c>
      <c r="I80" s="17">
        <f>'20'!$E$6+'20'!$Q$6</f>
        <v>0</v>
      </c>
      <c r="J80" s="17">
        <f>'20'!$F$6+'20'!$R$6</f>
        <v>0</v>
      </c>
      <c r="K80" s="17">
        <f>'20'!$G$6+'20'!$S$6</f>
        <v>0</v>
      </c>
      <c r="L80" s="17">
        <f>'20'!$AP6</f>
        <v>0</v>
      </c>
      <c r="M80" s="17">
        <f>'20'!$AQ6</f>
        <v>0</v>
      </c>
      <c r="N80" s="17">
        <f>'20'!$AR6</f>
        <v>0</v>
      </c>
      <c r="O80" s="61">
        <f>'20'!$AJ6</f>
        <v>0</v>
      </c>
      <c r="P80" s="61">
        <f>'20'!$AK6</f>
        <v>0</v>
      </c>
      <c r="Q80" s="61">
        <f>'20'!$AL6</f>
        <v>0</v>
      </c>
      <c r="R80" s="62">
        <f>'20'!$AM6</f>
        <v>0</v>
      </c>
      <c r="S80" s="62">
        <f>'20'!$AN6</f>
        <v>0</v>
      </c>
      <c r="T80" s="62">
        <f>'20'!$AO6</f>
        <v>0</v>
      </c>
      <c r="U80" s="63">
        <f>'20'!$AI6</f>
        <v>0</v>
      </c>
      <c r="V80" s="17">
        <f>'20'!$AH6</f>
        <v>0</v>
      </c>
      <c r="W80" s="224">
        <v>4</v>
      </c>
      <c r="X80" s="17">
        <f>'20'!$CC$6</f>
        <v>0</v>
      </c>
      <c r="Y80" s="59" t="s">
        <v>227</v>
      </c>
    </row>
    <row r="81" spans="1:25" x14ac:dyDescent="0.35">
      <c r="A81" s="225"/>
      <c r="B81" s="227"/>
      <c r="C81" s="58">
        <v>76.25</v>
      </c>
      <c r="D81" s="230"/>
      <c r="E81" s="225"/>
      <c r="F81" s="225"/>
      <c r="G81" s="225"/>
      <c r="H81" s="225"/>
      <c r="I81" s="17">
        <f>'20'!$E$12+'20'!$Q$12</f>
        <v>0</v>
      </c>
      <c r="J81" s="17">
        <f>'20'!$F$12+'20'!$R$12</f>
        <v>0</v>
      </c>
      <c r="K81" s="17">
        <f>'20'!$G$12+'20'!$S$12</f>
        <v>0</v>
      </c>
      <c r="L81" s="17">
        <f>'20'!$AP12</f>
        <v>0</v>
      </c>
      <c r="M81" s="17">
        <f>'20'!$AQ12</f>
        <v>0</v>
      </c>
      <c r="N81" s="17">
        <f>'20'!$AR12</f>
        <v>0</v>
      </c>
      <c r="O81" s="61">
        <f>'20'!$AJ12</f>
        <v>0</v>
      </c>
      <c r="P81" s="61">
        <f>'20'!$AK12</f>
        <v>0</v>
      </c>
      <c r="Q81" s="61">
        <f>'20'!$AL12</f>
        <v>0</v>
      </c>
      <c r="R81" s="62">
        <f>'20'!$AM12</f>
        <v>0</v>
      </c>
      <c r="S81" s="62">
        <f>'20'!$AN12</f>
        <v>0</v>
      </c>
      <c r="T81" s="62">
        <f>'20'!$AO12</f>
        <v>0</v>
      </c>
      <c r="U81" s="63">
        <f>'20'!$AI12</f>
        <v>0</v>
      </c>
      <c r="V81" s="17">
        <f>'20'!$AH12</f>
        <v>0</v>
      </c>
      <c r="W81" s="225"/>
      <c r="X81" s="17">
        <f>'20'!$CC$12</f>
        <v>0</v>
      </c>
      <c r="Y81" s="59" t="s">
        <v>227</v>
      </c>
    </row>
    <row r="82" spans="1:25" x14ac:dyDescent="0.35">
      <c r="A82" s="225"/>
      <c r="B82" s="227"/>
      <c r="C82" s="58">
        <v>76.5</v>
      </c>
      <c r="D82" s="230"/>
      <c r="E82" s="225"/>
      <c r="F82" s="225"/>
      <c r="G82" s="225"/>
      <c r="H82" s="225"/>
      <c r="I82" s="17">
        <f>'20'!$E$18+'20'!$Q$18</f>
        <v>0</v>
      </c>
      <c r="J82" s="17">
        <f>'20'!$F$18+'20'!$R$18</f>
        <v>0</v>
      </c>
      <c r="K82" s="17">
        <f>'20'!$G$18+'20'!$S$18</f>
        <v>0</v>
      </c>
      <c r="L82" s="17">
        <f>'20'!$AP18</f>
        <v>0</v>
      </c>
      <c r="M82" s="17">
        <f>'20'!$AQ18</f>
        <v>0</v>
      </c>
      <c r="N82" s="17">
        <f>'20'!$AR18</f>
        <v>0</v>
      </c>
      <c r="O82" s="61">
        <f>'20'!$AJ18</f>
        <v>0</v>
      </c>
      <c r="P82" s="61">
        <f>'20'!$AK18</f>
        <v>0</v>
      </c>
      <c r="Q82" s="61">
        <f>'20'!$AL18</f>
        <v>0</v>
      </c>
      <c r="R82" s="62">
        <f>'20'!$AM18</f>
        <v>0</v>
      </c>
      <c r="S82" s="62">
        <f>'20'!$AN18</f>
        <v>0</v>
      </c>
      <c r="T82" s="62">
        <f>'20'!$AO18</f>
        <v>0</v>
      </c>
      <c r="U82" s="63">
        <f>'20'!$AI18</f>
        <v>0</v>
      </c>
      <c r="V82" s="17">
        <f>'20'!$AH18</f>
        <v>0</v>
      </c>
      <c r="W82" s="225"/>
      <c r="X82" s="17">
        <f>'20'!$CC$18</f>
        <v>0</v>
      </c>
      <c r="Y82" s="59" t="s">
        <v>227</v>
      </c>
    </row>
    <row r="83" spans="1:25" x14ac:dyDescent="0.35">
      <c r="A83" s="225"/>
      <c r="B83" s="227"/>
      <c r="C83" s="58">
        <v>76.75</v>
      </c>
      <c r="D83" s="231"/>
      <c r="E83" s="228"/>
      <c r="F83" s="228"/>
      <c r="G83" s="228"/>
      <c r="H83" s="228"/>
      <c r="I83" s="17">
        <f>'20'!$E$24+'20'!$Q$24</f>
        <v>0</v>
      </c>
      <c r="J83" s="17">
        <f>'20'!$F$24+'20'!$R$24</f>
        <v>0</v>
      </c>
      <c r="K83" s="17">
        <f>'20'!$G$24+'20'!$S$24</f>
        <v>0</v>
      </c>
      <c r="L83" s="17">
        <f>'20'!$AP24</f>
        <v>0</v>
      </c>
      <c r="M83" s="17">
        <f>'20'!$AQ24</f>
        <v>0</v>
      </c>
      <c r="N83" s="17">
        <f>'20'!$AR24</f>
        <v>0</v>
      </c>
      <c r="O83" s="61">
        <f>'20'!$AJ24</f>
        <v>0</v>
      </c>
      <c r="P83" s="61">
        <f>'20'!$AK24</f>
        <v>0</v>
      </c>
      <c r="Q83" s="61">
        <f>'20'!$AL24</f>
        <v>0</v>
      </c>
      <c r="R83" s="62">
        <f>'20'!$AM24</f>
        <v>0</v>
      </c>
      <c r="S83" s="62">
        <f>'20'!$AN24</f>
        <v>0</v>
      </c>
      <c r="T83" s="62">
        <f>'20'!$AO24</f>
        <v>0</v>
      </c>
      <c r="U83" s="63">
        <f>'20'!$AI24</f>
        <v>0</v>
      </c>
      <c r="V83" s="17">
        <f>'20'!$AH24</f>
        <v>0</v>
      </c>
      <c r="W83" s="228"/>
      <c r="X83" s="17">
        <f>'20'!$CC$24</f>
        <v>0</v>
      </c>
      <c r="Y83" s="59" t="s">
        <v>227</v>
      </c>
    </row>
    <row r="84" spans="1:25" x14ac:dyDescent="0.35">
      <c r="A84" s="224" t="s">
        <v>142</v>
      </c>
      <c r="B84" s="226">
        <v>46194</v>
      </c>
      <c r="C84" s="58">
        <v>80</v>
      </c>
      <c r="D84" s="229" t="s">
        <v>202</v>
      </c>
      <c r="E84" s="224" t="s">
        <v>194</v>
      </c>
      <c r="F84" s="224" t="s">
        <v>218</v>
      </c>
      <c r="G84" s="224">
        <v>200</v>
      </c>
      <c r="H84" s="224" t="s">
        <v>217</v>
      </c>
      <c r="I84" s="17">
        <f>'21'!$E$6+'21'!$N$6</f>
        <v>0</v>
      </c>
      <c r="J84" s="17">
        <f>'21'!$F$6+'21'!$R$6</f>
        <v>0</v>
      </c>
      <c r="K84" s="17">
        <f>'21'!$G$6+'21'!$S$6</f>
        <v>0</v>
      </c>
      <c r="L84" s="17">
        <f>'21'!$AP6</f>
        <v>0</v>
      </c>
      <c r="M84" s="17">
        <f>'21'!$AQ6</f>
        <v>0</v>
      </c>
      <c r="N84" s="17">
        <f>'21'!$AR6</f>
        <v>0</v>
      </c>
      <c r="O84" s="61">
        <f>'21'!$AJ6</f>
        <v>0</v>
      </c>
      <c r="P84" s="61">
        <f>'21'!$AK6</f>
        <v>0</v>
      </c>
      <c r="Q84" s="61">
        <f>'21'!$AL6</f>
        <v>0</v>
      </c>
      <c r="R84" s="62">
        <f>'21'!$AM6</f>
        <v>0</v>
      </c>
      <c r="S84" s="62">
        <f>'21'!$AN6</f>
        <v>0</v>
      </c>
      <c r="T84" s="62">
        <f>'21'!$AO6</f>
        <v>0</v>
      </c>
      <c r="U84" s="63">
        <f>'21'!$AI6</f>
        <v>0</v>
      </c>
      <c r="V84" s="17">
        <f>'21'!$AH6</f>
        <v>0</v>
      </c>
      <c r="W84" s="224">
        <v>4</v>
      </c>
      <c r="X84" s="17">
        <f>'21'!$CC$6</f>
        <v>0</v>
      </c>
      <c r="Y84" s="59" t="s">
        <v>227</v>
      </c>
    </row>
    <row r="85" spans="1:25" x14ac:dyDescent="0.35">
      <c r="A85" s="225"/>
      <c r="B85" s="227"/>
      <c r="C85" s="58">
        <v>80.25</v>
      </c>
      <c r="D85" s="230"/>
      <c r="E85" s="225"/>
      <c r="F85" s="225"/>
      <c r="G85" s="225"/>
      <c r="H85" s="225"/>
      <c r="I85" s="17">
        <f>'21'!$E$12+'21'!$N$12</f>
        <v>0</v>
      </c>
      <c r="J85" s="17">
        <f>'21'!$F$12+'21'!$R$12</f>
        <v>0</v>
      </c>
      <c r="K85" s="17">
        <f>'21'!$G$12+'21'!$S$12</f>
        <v>0</v>
      </c>
      <c r="L85" s="17">
        <f>'21'!$AP12</f>
        <v>0</v>
      </c>
      <c r="M85" s="17">
        <f>'21'!$AQ12</f>
        <v>0</v>
      </c>
      <c r="N85" s="17">
        <f>'21'!$AR12</f>
        <v>0</v>
      </c>
      <c r="O85" s="61">
        <f>'21'!$AJ12</f>
        <v>0</v>
      </c>
      <c r="P85" s="61">
        <f>'21'!$AK12</f>
        <v>0</v>
      </c>
      <c r="Q85" s="61">
        <f>'21'!$AL12</f>
        <v>0</v>
      </c>
      <c r="R85" s="62">
        <f>'21'!$AM12</f>
        <v>0</v>
      </c>
      <c r="S85" s="62">
        <f>'21'!$AN12</f>
        <v>0</v>
      </c>
      <c r="T85" s="62">
        <f>'21'!$AO12</f>
        <v>0</v>
      </c>
      <c r="U85" s="63">
        <f>'21'!$AI12</f>
        <v>0</v>
      </c>
      <c r="V85" s="17">
        <f>'21'!$AH12</f>
        <v>0</v>
      </c>
      <c r="W85" s="225"/>
      <c r="X85" s="17">
        <f>'21'!$CC$12</f>
        <v>0</v>
      </c>
      <c r="Y85" s="59" t="s">
        <v>227</v>
      </c>
    </row>
    <row r="86" spans="1:25" x14ac:dyDescent="0.35">
      <c r="A86" s="225"/>
      <c r="B86" s="227"/>
      <c r="C86" s="58">
        <v>80.5</v>
      </c>
      <c r="D86" s="230"/>
      <c r="E86" s="225"/>
      <c r="F86" s="225"/>
      <c r="G86" s="225"/>
      <c r="H86" s="225"/>
      <c r="I86" s="17">
        <f>'21'!$E$18+'21'!$Q$18</f>
        <v>0</v>
      </c>
      <c r="J86" s="17">
        <f>'21'!$F$18+'21'!$R$18</f>
        <v>0</v>
      </c>
      <c r="K86" s="17">
        <f>'21'!$G$18+'21'!$S$18</f>
        <v>0</v>
      </c>
      <c r="L86" s="17">
        <f>'21'!$AP18</f>
        <v>0</v>
      </c>
      <c r="M86" s="17">
        <f>'21'!$AQ18</f>
        <v>0</v>
      </c>
      <c r="N86" s="17">
        <f>'21'!$AR18</f>
        <v>0</v>
      </c>
      <c r="O86" s="61">
        <f>'21'!$AJ18</f>
        <v>0</v>
      </c>
      <c r="P86" s="61">
        <f>'21'!$AK18</f>
        <v>0</v>
      </c>
      <c r="Q86" s="61">
        <f>'21'!$AL18</f>
        <v>0</v>
      </c>
      <c r="R86" s="62">
        <f>'21'!$AM18</f>
        <v>0</v>
      </c>
      <c r="S86" s="62">
        <f>'21'!$AN18</f>
        <v>0</v>
      </c>
      <c r="T86" s="62">
        <f>'21'!$AO18</f>
        <v>0</v>
      </c>
      <c r="U86" s="63">
        <f>'21'!$AI18</f>
        <v>0</v>
      </c>
      <c r="V86" s="17">
        <f>'21'!$AH18</f>
        <v>0</v>
      </c>
      <c r="W86" s="225"/>
      <c r="X86" s="17">
        <f>'21'!$CC$18</f>
        <v>0</v>
      </c>
      <c r="Y86" s="59" t="s">
        <v>227</v>
      </c>
    </row>
    <row r="87" spans="1:25" x14ac:dyDescent="0.35">
      <c r="A87" s="225"/>
      <c r="B87" s="227"/>
      <c r="C87" s="58">
        <v>80.75</v>
      </c>
      <c r="D87" s="231"/>
      <c r="E87" s="228"/>
      <c r="F87" s="228"/>
      <c r="G87" s="228"/>
      <c r="H87" s="228"/>
      <c r="I87" s="17">
        <f>'21'!$E$24+'21'!$Q$24</f>
        <v>0</v>
      </c>
      <c r="J87" s="17">
        <f>'21'!$F$24+'21'!$R$24</f>
        <v>0</v>
      </c>
      <c r="K87" s="17">
        <f>'21'!$G$24+'21'!$S$24</f>
        <v>0</v>
      </c>
      <c r="L87" s="17">
        <f>'21'!$AP24</f>
        <v>0</v>
      </c>
      <c r="M87" s="17">
        <f>'21'!$AQ24</f>
        <v>0</v>
      </c>
      <c r="N87" s="17">
        <f>'21'!$AR24</f>
        <v>0</v>
      </c>
      <c r="O87" s="61">
        <f>'21'!$AJ24</f>
        <v>0</v>
      </c>
      <c r="P87" s="61">
        <f>'21'!$AK24</f>
        <v>0</v>
      </c>
      <c r="Q87" s="61">
        <f>'21'!$AL24</f>
        <v>0</v>
      </c>
      <c r="R87" s="62">
        <f>'21'!$AM24</f>
        <v>0</v>
      </c>
      <c r="S87" s="62">
        <f>'21'!$AN24</f>
        <v>0</v>
      </c>
      <c r="T87" s="62">
        <f>'21'!$AO24</f>
        <v>0</v>
      </c>
      <c r="U87" s="63">
        <f>'21'!$AI24</f>
        <v>0</v>
      </c>
      <c r="V87" s="17">
        <f>'21'!$AH24</f>
        <v>0</v>
      </c>
      <c r="W87" s="228"/>
      <c r="X87" s="17">
        <f>'21'!$CC$24</f>
        <v>0</v>
      </c>
      <c r="Y87" s="59" t="s">
        <v>227</v>
      </c>
    </row>
    <row r="88" spans="1:25" x14ac:dyDescent="0.35">
      <c r="A88" s="224" t="s">
        <v>142</v>
      </c>
      <c r="B88" s="226">
        <v>46195</v>
      </c>
      <c r="C88" s="58">
        <v>84</v>
      </c>
      <c r="D88" s="229" t="s">
        <v>202</v>
      </c>
      <c r="E88" s="224" t="s">
        <v>194</v>
      </c>
      <c r="F88" s="224" t="s">
        <v>218</v>
      </c>
      <c r="G88" s="224">
        <v>200</v>
      </c>
      <c r="H88" s="224" t="s">
        <v>217</v>
      </c>
      <c r="I88" s="17">
        <f>'22'!$E$7+'22'!$N$7</f>
        <v>0</v>
      </c>
      <c r="J88" s="17">
        <f>'22'!$F$7+'22'!$R$7</f>
        <v>0</v>
      </c>
      <c r="K88" s="17">
        <f>'22'!$G$7+'22'!$S$7</f>
        <v>0</v>
      </c>
      <c r="L88" s="17">
        <f>'22'!$AP7</f>
        <v>0</v>
      </c>
      <c r="M88" s="17">
        <f>'22'!$AQ7</f>
        <v>0</v>
      </c>
      <c r="N88" s="17">
        <f>'22'!$AR7</f>
        <v>0</v>
      </c>
      <c r="O88" s="61">
        <f>'22'!$AJ7</f>
        <v>0</v>
      </c>
      <c r="P88" s="61">
        <f>'22'!$AK7</f>
        <v>0</v>
      </c>
      <c r="Q88" s="61">
        <f>'22'!$AL7</f>
        <v>0</v>
      </c>
      <c r="R88" s="62">
        <f>'22'!$AM7</f>
        <v>0</v>
      </c>
      <c r="S88" s="62">
        <f>'22'!$AN7</f>
        <v>0</v>
      </c>
      <c r="T88" s="62">
        <f>'22'!$AO7</f>
        <v>0</v>
      </c>
      <c r="U88" s="63">
        <f>'22'!$AI7</f>
        <v>0</v>
      </c>
      <c r="V88" s="17">
        <f>'22'!$AH7</f>
        <v>0</v>
      </c>
      <c r="W88" s="224">
        <v>4</v>
      </c>
      <c r="X88" s="17">
        <f>'22'!$CC$7</f>
        <v>0</v>
      </c>
      <c r="Y88" s="59" t="s">
        <v>227</v>
      </c>
    </row>
    <row r="89" spans="1:25" x14ac:dyDescent="0.35">
      <c r="A89" s="225"/>
      <c r="B89" s="227"/>
      <c r="C89" s="58">
        <v>84.25</v>
      </c>
      <c r="D89" s="230"/>
      <c r="E89" s="225"/>
      <c r="F89" s="225"/>
      <c r="G89" s="225"/>
      <c r="H89" s="225"/>
      <c r="I89" s="17">
        <f>'22'!$E$13+'22'!$N$13</f>
        <v>0</v>
      </c>
      <c r="J89" s="17">
        <f>'22'!$F$13+'22'!$R$13</f>
        <v>0</v>
      </c>
      <c r="K89" s="17">
        <f>'22'!$G$13+'22'!$S$13</f>
        <v>0</v>
      </c>
      <c r="L89" s="17">
        <f>'22'!$AP13</f>
        <v>0</v>
      </c>
      <c r="M89" s="17">
        <f>'22'!$AQ13</f>
        <v>0</v>
      </c>
      <c r="N89" s="17">
        <f>'22'!$AR13</f>
        <v>0</v>
      </c>
      <c r="O89" s="61">
        <f>'22'!$AJ13</f>
        <v>0</v>
      </c>
      <c r="P89" s="61">
        <f>'22'!$AK13</f>
        <v>0</v>
      </c>
      <c r="Q89" s="61">
        <f>'22'!$AL13</f>
        <v>0</v>
      </c>
      <c r="R89" s="62">
        <f>'22'!$AM13</f>
        <v>0</v>
      </c>
      <c r="S89" s="62">
        <f>'22'!$AN13</f>
        <v>0</v>
      </c>
      <c r="T89" s="62">
        <f>'22'!$AO13</f>
        <v>0</v>
      </c>
      <c r="U89" s="63">
        <f>'22'!$AI13</f>
        <v>0</v>
      </c>
      <c r="V89" s="17">
        <f>'22'!$AH13</f>
        <v>0</v>
      </c>
      <c r="W89" s="225"/>
      <c r="X89" s="17">
        <f>'22'!$CC$13</f>
        <v>0</v>
      </c>
      <c r="Y89" s="59" t="s">
        <v>227</v>
      </c>
    </row>
    <row r="90" spans="1:25" x14ac:dyDescent="0.35">
      <c r="A90" s="225"/>
      <c r="B90" s="227"/>
      <c r="C90" s="58">
        <v>84.5</v>
      </c>
      <c r="D90" s="230"/>
      <c r="E90" s="225"/>
      <c r="F90" s="225"/>
      <c r="G90" s="225"/>
      <c r="H90" s="225"/>
      <c r="I90" s="17">
        <f>'22'!$E$19+'22'!$Q$19</f>
        <v>0</v>
      </c>
      <c r="J90" s="17">
        <f>'22'!$F$19+'22'!$R$19</f>
        <v>0</v>
      </c>
      <c r="K90" s="17">
        <f>'22'!$G$19+'22'!$S$19</f>
        <v>0</v>
      </c>
      <c r="L90" s="17">
        <f>'22'!$AP19</f>
        <v>0</v>
      </c>
      <c r="M90" s="17">
        <f>'22'!$AQ19</f>
        <v>0</v>
      </c>
      <c r="N90" s="17">
        <f>'22'!$AR19</f>
        <v>0</v>
      </c>
      <c r="O90" s="61">
        <f>'22'!$AJ19</f>
        <v>0</v>
      </c>
      <c r="P90" s="61">
        <f>'22'!$AK19</f>
        <v>0</v>
      </c>
      <c r="Q90" s="61">
        <f>'22'!$AL19</f>
        <v>0</v>
      </c>
      <c r="R90" s="62">
        <f>'22'!$AM19</f>
        <v>0</v>
      </c>
      <c r="S90" s="62">
        <f>'22'!$AN19</f>
        <v>0</v>
      </c>
      <c r="T90" s="62">
        <f>'22'!$AO19</f>
        <v>0</v>
      </c>
      <c r="U90" s="63">
        <f>'22'!$AI19</f>
        <v>0</v>
      </c>
      <c r="V90" s="17">
        <f>'22'!$AH19</f>
        <v>0</v>
      </c>
      <c r="W90" s="225"/>
      <c r="X90" s="17">
        <f>'22'!$CC$19</f>
        <v>0</v>
      </c>
      <c r="Y90" s="59" t="s">
        <v>227</v>
      </c>
    </row>
    <row r="91" spans="1:25" x14ac:dyDescent="0.35">
      <c r="A91" s="225"/>
      <c r="B91" s="227"/>
      <c r="C91" s="58">
        <v>84.75</v>
      </c>
      <c r="D91" s="231"/>
      <c r="E91" s="228"/>
      <c r="F91" s="228"/>
      <c r="G91" s="228"/>
      <c r="H91" s="228"/>
      <c r="I91" s="17">
        <f>'22'!$E$25+'22'!$Q$25</f>
        <v>0</v>
      </c>
      <c r="J91" s="17">
        <f>'22'!$F$25+'22'!$R$25</f>
        <v>0</v>
      </c>
      <c r="K91" s="17">
        <f>'22'!$G$25+'22'!$S$25</f>
        <v>0</v>
      </c>
      <c r="L91" s="17">
        <f>'22'!$AP25</f>
        <v>0</v>
      </c>
      <c r="M91" s="17">
        <f>'22'!$AQ25</f>
        <v>0</v>
      </c>
      <c r="N91" s="17">
        <f>'22'!$AR25</f>
        <v>0</v>
      </c>
      <c r="O91" s="61">
        <f>'22'!$AJ25</f>
        <v>0</v>
      </c>
      <c r="P91" s="61">
        <f>'22'!$AK25</f>
        <v>0</v>
      </c>
      <c r="Q91" s="61">
        <f>'22'!$AL25</f>
        <v>0</v>
      </c>
      <c r="R91" s="62">
        <f>'22'!$AM25</f>
        <v>0</v>
      </c>
      <c r="S91" s="62">
        <f>'22'!$AN25</f>
        <v>0</v>
      </c>
      <c r="T91" s="62">
        <f>'22'!$AO25</f>
        <v>0</v>
      </c>
      <c r="U91" s="63">
        <f>'22'!$AI25</f>
        <v>0</v>
      </c>
      <c r="V91" s="17">
        <f>'22'!$AH25</f>
        <v>0</v>
      </c>
      <c r="W91" s="228"/>
      <c r="X91" s="17">
        <f>'22'!$CC$25</f>
        <v>0</v>
      </c>
      <c r="Y91" s="59" t="s">
        <v>227</v>
      </c>
    </row>
    <row r="92" spans="1:25" x14ac:dyDescent="0.35">
      <c r="A92" s="224" t="s">
        <v>142</v>
      </c>
      <c r="B92" s="226">
        <v>46196</v>
      </c>
      <c r="C92" s="58">
        <v>88</v>
      </c>
      <c r="D92" s="229" t="s">
        <v>202</v>
      </c>
      <c r="E92" s="224" t="s">
        <v>194</v>
      </c>
      <c r="F92" s="224" t="s">
        <v>218</v>
      </c>
      <c r="G92" s="224">
        <v>200</v>
      </c>
      <c r="H92" s="224" t="s">
        <v>217</v>
      </c>
      <c r="I92" s="17">
        <f>'23'!$E$6+'23'!$N$6</f>
        <v>0</v>
      </c>
      <c r="J92" s="17">
        <f>'23'!$F$6+'23'!$R$6</f>
        <v>0</v>
      </c>
      <c r="K92" s="17">
        <f>'23'!$G$6+'23'!$S$6</f>
        <v>0</v>
      </c>
      <c r="L92" s="17">
        <f>'23'!$AP6</f>
        <v>0</v>
      </c>
      <c r="M92" s="17">
        <f>'23'!$AQ6</f>
        <v>0</v>
      </c>
      <c r="N92" s="17">
        <f>'23'!$AR6</f>
        <v>0</v>
      </c>
      <c r="O92" s="61">
        <f>'23'!$AJ6</f>
        <v>0</v>
      </c>
      <c r="P92" s="61">
        <f>'23'!$AK6</f>
        <v>0</v>
      </c>
      <c r="Q92" s="61">
        <f>'23'!$AL6</f>
        <v>0</v>
      </c>
      <c r="R92" s="62">
        <f>'23'!$AM6</f>
        <v>0</v>
      </c>
      <c r="S92" s="62">
        <f>'23'!$AN6</f>
        <v>0</v>
      </c>
      <c r="T92" s="62">
        <f>'23'!$AO6</f>
        <v>0</v>
      </c>
      <c r="U92" s="63">
        <f>'23'!$AI6</f>
        <v>0</v>
      </c>
      <c r="V92" s="17">
        <f>'23'!$AH6</f>
        <v>0</v>
      </c>
      <c r="W92" s="224">
        <v>4</v>
      </c>
      <c r="X92" s="17">
        <f>'23'!$CC$6</f>
        <v>0</v>
      </c>
      <c r="Y92" s="59" t="s">
        <v>227</v>
      </c>
    </row>
    <row r="93" spans="1:25" x14ac:dyDescent="0.35">
      <c r="A93" s="225"/>
      <c r="B93" s="227"/>
      <c r="C93" s="58">
        <v>88.25</v>
      </c>
      <c r="D93" s="230"/>
      <c r="E93" s="225"/>
      <c r="F93" s="225"/>
      <c r="G93" s="225"/>
      <c r="H93" s="225"/>
      <c r="I93" s="17">
        <f>'23'!$E$12+'23'!$N$12</f>
        <v>0</v>
      </c>
      <c r="J93" s="17">
        <f>'23'!$F$12+'23'!$R$12</f>
        <v>0</v>
      </c>
      <c r="K93" s="17">
        <f>'23'!$G$12+'23'!$S$12</f>
        <v>0</v>
      </c>
      <c r="L93" s="17">
        <f>'23'!$AP12</f>
        <v>0</v>
      </c>
      <c r="M93" s="17">
        <f>'23'!$AQ12</f>
        <v>0</v>
      </c>
      <c r="N93" s="17">
        <f>'23'!$AR12</f>
        <v>0</v>
      </c>
      <c r="O93" s="61">
        <f>'23'!$AJ12</f>
        <v>0</v>
      </c>
      <c r="P93" s="61">
        <f>'23'!$AK12</f>
        <v>0</v>
      </c>
      <c r="Q93" s="61">
        <f>'23'!$AL12</f>
        <v>0</v>
      </c>
      <c r="R93" s="62">
        <f>'23'!$AM12</f>
        <v>0</v>
      </c>
      <c r="S93" s="62">
        <f>'23'!$AN12</f>
        <v>0</v>
      </c>
      <c r="T93" s="62">
        <f>'23'!$AO12</f>
        <v>0</v>
      </c>
      <c r="U93" s="63">
        <f>'23'!$AI12</f>
        <v>0</v>
      </c>
      <c r="V93" s="17">
        <f>'23'!$AH12</f>
        <v>0</v>
      </c>
      <c r="W93" s="225"/>
      <c r="X93" s="17">
        <f>'23'!$CC$12</f>
        <v>0</v>
      </c>
      <c r="Y93" s="59" t="s">
        <v>227</v>
      </c>
    </row>
    <row r="94" spans="1:25" x14ac:dyDescent="0.35">
      <c r="A94" s="225"/>
      <c r="B94" s="227"/>
      <c r="C94" s="58">
        <v>88.5</v>
      </c>
      <c r="D94" s="230"/>
      <c r="E94" s="225"/>
      <c r="F94" s="225"/>
      <c r="G94" s="225"/>
      <c r="H94" s="225"/>
      <c r="I94" s="17">
        <f>'23'!$E$18+'23'!$Q$18</f>
        <v>0</v>
      </c>
      <c r="J94" s="17">
        <f>'23'!$F$18+'23'!$R$18</f>
        <v>0</v>
      </c>
      <c r="K94" s="17">
        <f>'23'!$G$18+'23'!$S$18</f>
        <v>0</v>
      </c>
      <c r="L94" s="17">
        <f>'23'!$AP18</f>
        <v>0</v>
      </c>
      <c r="M94" s="17">
        <f>'23'!$AQ18</f>
        <v>0</v>
      </c>
      <c r="N94" s="17">
        <f>'23'!$AR18</f>
        <v>0</v>
      </c>
      <c r="O94" s="61">
        <f>'23'!$AJ18</f>
        <v>0</v>
      </c>
      <c r="P94" s="61">
        <f>'23'!$AK18</f>
        <v>0</v>
      </c>
      <c r="Q94" s="61">
        <f>'23'!$AL18</f>
        <v>0</v>
      </c>
      <c r="R94" s="62">
        <f>'23'!$AM18</f>
        <v>0</v>
      </c>
      <c r="S94" s="62">
        <f>'23'!$AN18</f>
        <v>0</v>
      </c>
      <c r="T94" s="62">
        <f>'23'!$AO18</f>
        <v>0</v>
      </c>
      <c r="U94" s="63">
        <f>'23'!$AI18</f>
        <v>0</v>
      </c>
      <c r="V94" s="17">
        <f>'23'!$AH18</f>
        <v>0</v>
      </c>
      <c r="W94" s="225"/>
      <c r="X94" s="17">
        <f>'23'!$CC$18</f>
        <v>0</v>
      </c>
      <c r="Y94" s="59" t="s">
        <v>227</v>
      </c>
    </row>
    <row r="95" spans="1:25" x14ac:dyDescent="0.35">
      <c r="A95" s="225"/>
      <c r="B95" s="227"/>
      <c r="C95" s="58">
        <v>88.75</v>
      </c>
      <c r="D95" s="231"/>
      <c r="E95" s="228"/>
      <c r="F95" s="228"/>
      <c r="G95" s="228"/>
      <c r="H95" s="228"/>
      <c r="I95" s="17">
        <f>'23'!$E$24+'23'!$Q$24</f>
        <v>0</v>
      </c>
      <c r="J95" s="17">
        <f>'23'!$F$24+'23'!$R$24</f>
        <v>0</v>
      </c>
      <c r="K95" s="17">
        <f>'23'!$G$24+'23'!$S$24</f>
        <v>0</v>
      </c>
      <c r="L95" s="17">
        <f>'23'!$AP24</f>
        <v>0</v>
      </c>
      <c r="M95" s="17">
        <f>'23'!$AQ24</f>
        <v>0</v>
      </c>
      <c r="N95" s="17">
        <f>'23'!$AR24</f>
        <v>0</v>
      </c>
      <c r="O95" s="61">
        <f>'23'!$AJ24</f>
        <v>0</v>
      </c>
      <c r="P95" s="61">
        <f>'23'!$AK24</f>
        <v>0</v>
      </c>
      <c r="Q95" s="61">
        <f>'23'!$AL24</f>
        <v>0</v>
      </c>
      <c r="R95" s="62">
        <f>'23'!$AM24</f>
        <v>0</v>
      </c>
      <c r="S95" s="62">
        <f>'23'!$AN24</f>
        <v>0</v>
      </c>
      <c r="T95" s="62">
        <f>'23'!$AO24</f>
        <v>0</v>
      </c>
      <c r="U95" s="63">
        <f>'23'!$AI24</f>
        <v>0</v>
      </c>
      <c r="V95" s="17">
        <f>'23'!$AH24</f>
        <v>0</v>
      </c>
      <c r="W95" s="228"/>
      <c r="X95" s="17">
        <f>'23'!$CC$24</f>
        <v>0</v>
      </c>
      <c r="Y95" s="59" t="s">
        <v>227</v>
      </c>
    </row>
    <row r="96" spans="1:25" x14ac:dyDescent="0.35">
      <c r="A96" s="224" t="s">
        <v>142</v>
      </c>
      <c r="B96" s="226">
        <v>46197</v>
      </c>
      <c r="C96" s="58">
        <v>92</v>
      </c>
      <c r="D96" s="229" t="s">
        <v>202</v>
      </c>
      <c r="E96" s="224" t="s">
        <v>194</v>
      </c>
      <c r="F96" s="224" t="s">
        <v>218</v>
      </c>
      <c r="G96" s="224">
        <v>200</v>
      </c>
      <c r="H96" s="224" t="s">
        <v>217</v>
      </c>
      <c r="I96" s="17">
        <f>'24'!$E$6+'24'!$N$6</f>
        <v>0</v>
      </c>
      <c r="J96" s="17">
        <f>'24'!$F$6+'24'!$R$6</f>
        <v>0</v>
      </c>
      <c r="K96" s="17">
        <f>'24'!$G$6+'24'!$S$6</f>
        <v>0</v>
      </c>
      <c r="L96" s="17">
        <f>'24'!$AP6</f>
        <v>0</v>
      </c>
      <c r="M96" s="17">
        <f>'24'!$AQ6</f>
        <v>0</v>
      </c>
      <c r="N96" s="17">
        <f>'24'!$AR6</f>
        <v>0</v>
      </c>
      <c r="O96" s="61">
        <f>'24'!$AJ6</f>
        <v>0</v>
      </c>
      <c r="P96" s="61">
        <f>'24'!$AK6</f>
        <v>0</v>
      </c>
      <c r="Q96" s="61">
        <f>'24'!$AL6</f>
        <v>0</v>
      </c>
      <c r="R96" s="62">
        <f>'24'!$AM6</f>
        <v>0</v>
      </c>
      <c r="S96" s="62">
        <f>'24'!$AN6</f>
        <v>0</v>
      </c>
      <c r="T96" s="62">
        <f>'24'!$AO6</f>
        <v>0</v>
      </c>
      <c r="U96" s="63">
        <f>'24'!$AI6</f>
        <v>0</v>
      </c>
      <c r="V96" s="17">
        <f>'24'!$AH6</f>
        <v>0</v>
      </c>
      <c r="W96" s="224">
        <v>4</v>
      </c>
      <c r="X96" s="17">
        <f>'24'!$CC$6</f>
        <v>0</v>
      </c>
      <c r="Y96" s="59" t="s">
        <v>227</v>
      </c>
    </row>
    <row r="97" spans="1:25" x14ac:dyDescent="0.35">
      <c r="A97" s="225"/>
      <c r="B97" s="227"/>
      <c r="C97" s="58">
        <v>92.25</v>
      </c>
      <c r="D97" s="230"/>
      <c r="E97" s="225"/>
      <c r="F97" s="225"/>
      <c r="G97" s="225"/>
      <c r="H97" s="225"/>
      <c r="I97" s="17">
        <f>'24'!$E$12+'24'!$N$12</f>
        <v>0</v>
      </c>
      <c r="J97" s="17">
        <f>'24'!$F$12+'24'!$R$12</f>
        <v>0</v>
      </c>
      <c r="K97" s="17">
        <f>'24'!$G$12+'24'!$S$12</f>
        <v>0</v>
      </c>
      <c r="L97" s="17">
        <f>'24'!$AP12</f>
        <v>0</v>
      </c>
      <c r="M97" s="17">
        <f>'24'!$AQ12</f>
        <v>0</v>
      </c>
      <c r="N97" s="17">
        <f>'24'!$AR12</f>
        <v>0</v>
      </c>
      <c r="O97" s="61">
        <f>'24'!$AJ12</f>
        <v>0</v>
      </c>
      <c r="P97" s="61">
        <f>'24'!$AK12</f>
        <v>0</v>
      </c>
      <c r="Q97" s="61">
        <f>'24'!$AL12</f>
        <v>0</v>
      </c>
      <c r="R97" s="62">
        <f>'24'!$AM12</f>
        <v>0</v>
      </c>
      <c r="S97" s="62">
        <f>'24'!$AN12</f>
        <v>0</v>
      </c>
      <c r="T97" s="62">
        <f>'24'!$AO12</f>
        <v>0</v>
      </c>
      <c r="U97" s="63">
        <f>'24'!$AI12</f>
        <v>0</v>
      </c>
      <c r="V97" s="17">
        <f>'24'!$AH12</f>
        <v>0</v>
      </c>
      <c r="W97" s="225"/>
      <c r="X97" s="17">
        <f>'24'!$CC$12</f>
        <v>0</v>
      </c>
      <c r="Y97" s="59" t="s">
        <v>227</v>
      </c>
    </row>
    <row r="98" spans="1:25" x14ac:dyDescent="0.35">
      <c r="A98" s="225"/>
      <c r="B98" s="227"/>
      <c r="C98" s="58">
        <v>92.5</v>
      </c>
      <c r="D98" s="230"/>
      <c r="E98" s="225"/>
      <c r="F98" s="225"/>
      <c r="G98" s="225"/>
      <c r="H98" s="225"/>
      <c r="I98" s="17">
        <f>'24'!$E$18+'24'!$Q$18</f>
        <v>0</v>
      </c>
      <c r="J98" s="17">
        <f>'24'!$F$18+'24'!$R$18</f>
        <v>0</v>
      </c>
      <c r="K98" s="17">
        <f>'24'!$G$18+'24'!$S$18</f>
        <v>0</v>
      </c>
      <c r="L98" s="17">
        <f>'24'!$AP18</f>
        <v>0</v>
      </c>
      <c r="M98" s="17">
        <f>'24'!$AQ18</f>
        <v>0</v>
      </c>
      <c r="N98" s="17">
        <f>'24'!$AR18</f>
        <v>0</v>
      </c>
      <c r="O98" s="61">
        <f>'24'!$AJ18</f>
        <v>0</v>
      </c>
      <c r="P98" s="61">
        <f>'24'!$AK18</f>
        <v>0</v>
      </c>
      <c r="Q98" s="61">
        <f>'24'!$AL18</f>
        <v>0</v>
      </c>
      <c r="R98" s="62">
        <f>'24'!$AM18</f>
        <v>0</v>
      </c>
      <c r="S98" s="62">
        <f>'24'!$AN18</f>
        <v>0</v>
      </c>
      <c r="T98" s="62">
        <f>'24'!$AO18</f>
        <v>0</v>
      </c>
      <c r="U98" s="63">
        <f>'24'!$AI18</f>
        <v>0</v>
      </c>
      <c r="V98" s="17">
        <f>'24'!$AH18</f>
        <v>0</v>
      </c>
      <c r="W98" s="225"/>
      <c r="X98" s="17">
        <f>'24'!$CC$18</f>
        <v>0</v>
      </c>
      <c r="Y98" s="59" t="s">
        <v>227</v>
      </c>
    </row>
    <row r="99" spans="1:25" x14ac:dyDescent="0.35">
      <c r="A99" s="225"/>
      <c r="B99" s="227"/>
      <c r="C99" s="58">
        <v>92.75</v>
      </c>
      <c r="D99" s="231"/>
      <c r="E99" s="228"/>
      <c r="F99" s="228"/>
      <c r="G99" s="228"/>
      <c r="H99" s="228"/>
      <c r="I99" s="17">
        <f>'24'!$E$24+'24'!$Q$24</f>
        <v>0</v>
      </c>
      <c r="J99" s="17">
        <f>'24'!$F$24+'24'!$R$24</f>
        <v>0</v>
      </c>
      <c r="K99" s="17">
        <f>'24'!$G$24+'24'!$S$24</f>
        <v>0</v>
      </c>
      <c r="L99" s="17">
        <f>'24'!$AP24</f>
        <v>0</v>
      </c>
      <c r="M99" s="17">
        <f>'24'!$AQ24</f>
        <v>0</v>
      </c>
      <c r="N99" s="17">
        <f>'24'!$AR24</f>
        <v>0</v>
      </c>
      <c r="O99" s="61">
        <f>'24'!$AJ24</f>
        <v>0</v>
      </c>
      <c r="P99" s="61">
        <f>'24'!$AK24</f>
        <v>0</v>
      </c>
      <c r="Q99" s="61">
        <f>'24'!$AL24</f>
        <v>0</v>
      </c>
      <c r="R99" s="62">
        <f>'24'!$AM24</f>
        <v>0</v>
      </c>
      <c r="S99" s="62">
        <f>'24'!$AN24</f>
        <v>0</v>
      </c>
      <c r="T99" s="62">
        <f>'24'!$AO24</f>
        <v>0</v>
      </c>
      <c r="U99" s="63">
        <f>'24'!$AI24</f>
        <v>0</v>
      </c>
      <c r="V99" s="17">
        <f>'24'!$AH24</f>
        <v>0</v>
      </c>
      <c r="W99" s="228"/>
      <c r="X99" s="17">
        <f>'24'!$CC$24</f>
        <v>0</v>
      </c>
      <c r="Y99" s="59" t="s">
        <v>227</v>
      </c>
    </row>
    <row r="100" spans="1:25" x14ac:dyDescent="0.35">
      <c r="A100" s="224" t="s">
        <v>142</v>
      </c>
      <c r="B100" s="226">
        <v>46198</v>
      </c>
      <c r="C100" s="58">
        <v>96</v>
      </c>
      <c r="D100" s="229" t="s">
        <v>202</v>
      </c>
      <c r="E100" s="224" t="s">
        <v>194</v>
      </c>
      <c r="F100" s="224" t="s">
        <v>218</v>
      </c>
      <c r="G100" s="224">
        <v>200</v>
      </c>
      <c r="H100" s="224" t="s">
        <v>217</v>
      </c>
      <c r="I100" s="17">
        <f>'25'!$E$6+'25'!$N$6</f>
        <v>0</v>
      </c>
      <c r="J100" s="17">
        <f>'25'!$F$6+'25'!$R$6</f>
        <v>0</v>
      </c>
      <c r="K100" s="17">
        <f>'25'!$G$6+'25'!$S$6</f>
        <v>0</v>
      </c>
      <c r="L100" s="17">
        <f>'25'!$AP6</f>
        <v>0</v>
      </c>
      <c r="M100" s="17">
        <f>'25'!$AQ6</f>
        <v>0</v>
      </c>
      <c r="N100" s="17">
        <f>'25'!$AR6</f>
        <v>0</v>
      </c>
      <c r="O100" s="61">
        <f>'25'!$AJ6</f>
        <v>0</v>
      </c>
      <c r="P100" s="61">
        <f>'25'!$AK6</f>
        <v>0</v>
      </c>
      <c r="Q100" s="61">
        <f>'25'!$AL6</f>
        <v>0</v>
      </c>
      <c r="R100" s="62">
        <f>'25'!$AM6</f>
        <v>0</v>
      </c>
      <c r="S100" s="62">
        <f>'25'!$AN6</f>
        <v>0</v>
      </c>
      <c r="T100" s="62">
        <f>'25'!$AO6</f>
        <v>0</v>
      </c>
      <c r="U100" s="63">
        <f>'25'!$AI6</f>
        <v>0</v>
      </c>
      <c r="V100" s="17">
        <f>'25'!$AH6</f>
        <v>0</v>
      </c>
      <c r="W100" s="224">
        <v>4</v>
      </c>
      <c r="X100" s="17">
        <f>'25'!$CC$6</f>
        <v>0</v>
      </c>
      <c r="Y100" s="59" t="s">
        <v>227</v>
      </c>
    </row>
    <row r="101" spans="1:25" x14ac:dyDescent="0.35">
      <c r="A101" s="225"/>
      <c r="B101" s="227"/>
      <c r="C101" s="58">
        <v>96.25</v>
      </c>
      <c r="D101" s="230"/>
      <c r="E101" s="225"/>
      <c r="F101" s="225"/>
      <c r="G101" s="225"/>
      <c r="H101" s="225"/>
      <c r="I101" s="17">
        <f>'25'!$E$12+'25'!$N$12</f>
        <v>0</v>
      </c>
      <c r="J101" s="17">
        <f>'25'!$F$12+'25'!$R$12</f>
        <v>0</v>
      </c>
      <c r="K101" s="17">
        <f>'25'!$G$12+'25'!$S$12</f>
        <v>0</v>
      </c>
      <c r="L101" s="17">
        <f>'25'!$AP12</f>
        <v>0</v>
      </c>
      <c r="M101" s="17">
        <f>'25'!$AQ12</f>
        <v>0</v>
      </c>
      <c r="N101" s="17">
        <f>'25'!$AR12</f>
        <v>0</v>
      </c>
      <c r="O101" s="61">
        <f>'25'!$AJ12</f>
        <v>0</v>
      </c>
      <c r="P101" s="61">
        <f>'25'!$AK12</f>
        <v>0</v>
      </c>
      <c r="Q101" s="61">
        <f>'25'!$AL12</f>
        <v>0</v>
      </c>
      <c r="R101" s="62">
        <f>'25'!$AM12</f>
        <v>0</v>
      </c>
      <c r="S101" s="62">
        <f>'25'!$AN12</f>
        <v>0</v>
      </c>
      <c r="T101" s="62">
        <f>'25'!$AO12</f>
        <v>0</v>
      </c>
      <c r="U101" s="63">
        <f>'25'!$AI12</f>
        <v>0</v>
      </c>
      <c r="V101" s="17">
        <f>'25'!$AH12</f>
        <v>0</v>
      </c>
      <c r="W101" s="225"/>
      <c r="X101" s="17">
        <f>'25'!$CC$12</f>
        <v>0</v>
      </c>
      <c r="Y101" s="59" t="s">
        <v>227</v>
      </c>
    </row>
    <row r="102" spans="1:25" x14ac:dyDescent="0.35">
      <c r="A102" s="225"/>
      <c r="B102" s="227"/>
      <c r="C102" s="58">
        <v>96.5</v>
      </c>
      <c r="D102" s="230"/>
      <c r="E102" s="225"/>
      <c r="F102" s="225"/>
      <c r="G102" s="225"/>
      <c r="H102" s="225"/>
      <c r="I102" s="17">
        <f>'25'!$E$18+'25'!$Q$18</f>
        <v>0</v>
      </c>
      <c r="J102" s="17">
        <f>'25'!$F$18+'25'!$R$18</f>
        <v>0</v>
      </c>
      <c r="K102" s="17">
        <f>'25'!$G$18+'25'!$S$18</f>
        <v>0</v>
      </c>
      <c r="L102" s="17">
        <f>'25'!$AP18</f>
        <v>0</v>
      </c>
      <c r="M102" s="17">
        <f>'25'!$AQ18</f>
        <v>0</v>
      </c>
      <c r="N102" s="17">
        <f>'25'!$AR18</f>
        <v>0</v>
      </c>
      <c r="O102" s="61">
        <f>'25'!$AJ18</f>
        <v>0</v>
      </c>
      <c r="P102" s="61">
        <f>'25'!$AK18</f>
        <v>0</v>
      </c>
      <c r="Q102" s="61">
        <f>'25'!$AL18</f>
        <v>0</v>
      </c>
      <c r="R102" s="62">
        <f>'25'!$AM18</f>
        <v>0</v>
      </c>
      <c r="S102" s="62">
        <f>'25'!$AN18</f>
        <v>0</v>
      </c>
      <c r="T102" s="62">
        <f>'25'!$AO18</f>
        <v>0</v>
      </c>
      <c r="U102" s="63">
        <f>'25'!$AI18</f>
        <v>0</v>
      </c>
      <c r="V102" s="17">
        <f>'25'!$AH18</f>
        <v>0</v>
      </c>
      <c r="W102" s="225"/>
      <c r="X102" s="17">
        <f>'25'!$CC$18</f>
        <v>0</v>
      </c>
      <c r="Y102" s="59" t="s">
        <v>227</v>
      </c>
    </row>
    <row r="103" spans="1:25" x14ac:dyDescent="0.35">
      <c r="A103" s="225"/>
      <c r="B103" s="227"/>
      <c r="C103" s="58">
        <v>96.75</v>
      </c>
      <c r="D103" s="231"/>
      <c r="E103" s="228"/>
      <c r="F103" s="228"/>
      <c r="G103" s="228"/>
      <c r="H103" s="228"/>
      <c r="I103" s="17">
        <f>'25'!$E$24+'25'!$Q$24</f>
        <v>0</v>
      </c>
      <c r="J103" s="17">
        <f>'25'!$F$24+'25'!$R$24</f>
        <v>0</v>
      </c>
      <c r="K103" s="17">
        <f>'25'!$G$24+'25'!$S$24</f>
        <v>0</v>
      </c>
      <c r="L103" s="17">
        <f>'25'!$AP24</f>
        <v>0</v>
      </c>
      <c r="M103" s="17">
        <f>'25'!$AQ24</f>
        <v>0</v>
      </c>
      <c r="N103" s="17">
        <f>'25'!$AR24</f>
        <v>0</v>
      </c>
      <c r="O103" s="61">
        <f>'25'!$AJ24</f>
        <v>0</v>
      </c>
      <c r="P103" s="61">
        <f>'25'!$AK24</f>
        <v>0</v>
      </c>
      <c r="Q103" s="61">
        <f>'25'!$AL24</f>
        <v>0</v>
      </c>
      <c r="R103" s="62">
        <f>'25'!$AM24</f>
        <v>0</v>
      </c>
      <c r="S103" s="62">
        <f>'25'!$AN24</f>
        <v>0</v>
      </c>
      <c r="T103" s="62">
        <f>'25'!$AO24</f>
        <v>0</v>
      </c>
      <c r="U103" s="63">
        <f>'25'!$AI24</f>
        <v>0</v>
      </c>
      <c r="V103" s="17">
        <f>'25'!$AH24</f>
        <v>0</v>
      </c>
      <c r="W103" s="228"/>
      <c r="X103" s="17">
        <f>'25'!$CC$24</f>
        <v>0</v>
      </c>
      <c r="Y103" s="59" t="s">
        <v>227</v>
      </c>
    </row>
    <row r="104" spans="1:25" x14ac:dyDescent="0.35">
      <c r="A104" s="224" t="s">
        <v>142</v>
      </c>
      <c r="B104" s="226">
        <v>46199</v>
      </c>
      <c r="C104" s="58">
        <v>100</v>
      </c>
      <c r="D104" s="229" t="s">
        <v>202</v>
      </c>
      <c r="E104" s="224" t="s">
        <v>194</v>
      </c>
      <c r="F104" s="224" t="s">
        <v>218</v>
      </c>
      <c r="G104" s="224">
        <v>200</v>
      </c>
      <c r="H104" s="224" t="s">
        <v>217</v>
      </c>
      <c r="I104" s="17">
        <f>'26'!$E$6+'26'!$N$6</f>
        <v>0</v>
      </c>
      <c r="J104" s="17">
        <f>'26'!$F$6+'26'!$R$6</f>
        <v>0</v>
      </c>
      <c r="K104" s="17">
        <f>'26'!$G$6+'26'!$S$6</f>
        <v>0</v>
      </c>
      <c r="L104" s="17">
        <f>'26'!$AP6</f>
        <v>0</v>
      </c>
      <c r="M104" s="17">
        <f>'26'!$AQ6</f>
        <v>0</v>
      </c>
      <c r="N104" s="17">
        <f>'26'!$AR6</f>
        <v>0</v>
      </c>
      <c r="O104" s="61">
        <f>'26'!$AJ6</f>
        <v>0</v>
      </c>
      <c r="P104" s="61">
        <f>'26'!$AK6</f>
        <v>0</v>
      </c>
      <c r="Q104" s="61">
        <f>'26'!$AL6</f>
        <v>0</v>
      </c>
      <c r="R104" s="62">
        <f>'26'!$AM6</f>
        <v>0</v>
      </c>
      <c r="S104" s="62">
        <f>'26'!$AN6</f>
        <v>0</v>
      </c>
      <c r="T104" s="62">
        <f>'26'!$AO6</f>
        <v>0</v>
      </c>
      <c r="U104" s="63">
        <f>'26'!$AI6</f>
        <v>0</v>
      </c>
      <c r="V104" s="17">
        <f>'26'!$AH6</f>
        <v>0</v>
      </c>
      <c r="W104" s="224">
        <v>4</v>
      </c>
      <c r="X104" s="17">
        <f>'26'!$CC$6</f>
        <v>0</v>
      </c>
      <c r="Y104" s="59" t="s">
        <v>227</v>
      </c>
    </row>
    <row r="105" spans="1:25" x14ac:dyDescent="0.35">
      <c r="A105" s="225"/>
      <c r="B105" s="227"/>
      <c r="C105" s="58">
        <v>100.25</v>
      </c>
      <c r="D105" s="230"/>
      <c r="E105" s="225"/>
      <c r="F105" s="225"/>
      <c r="G105" s="225"/>
      <c r="H105" s="225"/>
      <c r="I105" s="17">
        <f>'26'!$E$12+'26'!$N$12</f>
        <v>0</v>
      </c>
      <c r="J105" s="17">
        <f>'26'!$F$12+'26'!$R$12</f>
        <v>0</v>
      </c>
      <c r="K105" s="17">
        <f>'26'!$G$12+'26'!$S$12</f>
        <v>0</v>
      </c>
      <c r="L105" s="17">
        <f>'26'!$AP12</f>
        <v>0</v>
      </c>
      <c r="M105" s="17">
        <f>'26'!$AQ12</f>
        <v>0</v>
      </c>
      <c r="N105" s="17">
        <f>'26'!$AR12</f>
        <v>0</v>
      </c>
      <c r="O105" s="61">
        <f>'26'!$AJ12</f>
        <v>0</v>
      </c>
      <c r="P105" s="61">
        <f>'26'!$AK12</f>
        <v>0</v>
      </c>
      <c r="Q105" s="61">
        <f>'26'!$AL12</f>
        <v>0</v>
      </c>
      <c r="R105" s="62">
        <f>'26'!$AM12</f>
        <v>0</v>
      </c>
      <c r="S105" s="62">
        <f>'26'!$AN12</f>
        <v>0</v>
      </c>
      <c r="T105" s="62">
        <f>'26'!$AO12</f>
        <v>0</v>
      </c>
      <c r="U105" s="63">
        <f>'26'!$AI12</f>
        <v>0</v>
      </c>
      <c r="V105" s="17">
        <f>'26'!$AH12</f>
        <v>0</v>
      </c>
      <c r="W105" s="225"/>
      <c r="X105" s="17">
        <f>'26'!$CC$12</f>
        <v>0</v>
      </c>
      <c r="Y105" s="59" t="s">
        <v>227</v>
      </c>
    </row>
    <row r="106" spans="1:25" x14ac:dyDescent="0.35">
      <c r="A106" s="225"/>
      <c r="B106" s="227"/>
      <c r="C106" s="58">
        <v>100.5</v>
      </c>
      <c r="D106" s="230"/>
      <c r="E106" s="225"/>
      <c r="F106" s="225"/>
      <c r="G106" s="225"/>
      <c r="H106" s="225"/>
      <c r="I106" s="17">
        <f>'26'!$E$18+'26'!$Q$18</f>
        <v>0</v>
      </c>
      <c r="J106" s="17">
        <f>'26'!$F$18+'26'!$R$18</f>
        <v>0</v>
      </c>
      <c r="K106" s="17">
        <f>'26'!$G$18+'26'!$S$18</f>
        <v>0</v>
      </c>
      <c r="L106" s="17">
        <f>'26'!$AP18</f>
        <v>0</v>
      </c>
      <c r="M106" s="17">
        <f>'26'!$AQ18</f>
        <v>0</v>
      </c>
      <c r="N106" s="17">
        <f>'26'!$AR18</f>
        <v>0</v>
      </c>
      <c r="O106" s="61">
        <f>'26'!$AJ18</f>
        <v>0</v>
      </c>
      <c r="P106" s="61">
        <f>'26'!$AK18</f>
        <v>0</v>
      </c>
      <c r="Q106" s="61">
        <f>'26'!$AL18</f>
        <v>0</v>
      </c>
      <c r="R106" s="62">
        <f>'26'!$AM18</f>
        <v>0</v>
      </c>
      <c r="S106" s="62">
        <f>'26'!$AN18</f>
        <v>0</v>
      </c>
      <c r="T106" s="62">
        <f>'26'!$AO18</f>
        <v>0</v>
      </c>
      <c r="U106" s="63">
        <f>'26'!$AI18</f>
        <v>0</v>
      </c>
      <c r="V106" s="17">
        <f>'26'!$AH18</f>
        <v>0</v>
      </c>
      <c r="W106" s="225"/>
      <c r="X106" s="17">
        <f>'26'!$CC$18</f>
        <v>0</v>
      </c>
      <c r="Y106" s="59" t="s">
        <v>227</v>
      </c>
    </row>
    <row r="107" spans="1:25" x14ac:dyDescent="0.35">
      <c r="A107" s="225"/>
      <c r="B107" s="227"/>
      <c r="C107" s="58">
        <v>100.75</v>
      </c>
      <c r="D107" s="231"/>
      <c r="E107" s="228"/>
      <c r="F107" s="228"/>
      <c r="G107" s="228"/>
      <c r="H107" s="228"/>
      <c r="I107" s="17">
        <f>'26'!$E$24+'26'!$Q$24</f>
        <v>0</v>
      </c>
      <c r="J107" s="17">
        <f>'26'!$F$24+'26'!$R$24</f>
        <v>0</v>
      </c>
      <c r="K107" s="17">
        <f>'26'!$G$24+'26'!$S$24</f>
        <v>0</v>
      </c>
      <c r="L107" s="17">
        <f>'26'!$AP24</f>
        <v>0</v>
      </c>
      <c r="M107" s="17">
        <f>'26'!$AQ24</f>
        <v>0</v>
      </c>
      <c r="N107" s="17">
        <f>'26'!$AR24</f>
        <v>0</v>
      </c>
      <c r="O107" s="61">
        <f>'26'!$AJ24</f>
        <v>0</v>
      </c>
      <c r="P107" s="61">
        <f>'26'!$AK24</f>
        <v>0</v>
      </c>
      <c r="Q107" s="61">
        <f>'26'!$AL24</f>
        <v>0</v>
      </c>
      <c r="R107" s="62">
        <f>'26'!$AM24</f>
        <v>0</v>
      </c>
      <c r="S107" s="62">
        <f>'26'!$AN24</f>
        <v>0</v>
      </c>
      <c r="T107" s="62">
        <f>'26'!$AO24</f>
        <v>0</v>
      </c>
      <c r="U107" s="63">
        <f>'26'!$AI24</f>
        <v>0</v>
      </c>
      <c r="V107" s="17">
        <f>'26'!$AH24</f>
        <v>0</v>
      </c>
      <c r="W107" s="228"/>
      <c r="X107" s="17">
        <f>'26'!$CC$24</f>
        <v>0</v>
      </c>
      <c r="Y107" s="59" t="s">
        <v>227</v>
      </c>
    </row>
    <row r="108" spans="1:25" x14ac:dyDescent="0.35">
      <c r="A108" s="224" t="s">
        <v>142</v>
      </c>
      <c r="B108" s="226">
        <v>46200</v>
      </c>
      <c r="C108" s="58">
        <v>104</v>
      </c>
      <c r="D108" s="229" t="s">
        <v>202</v>
      </c>
      <c r="E108" s="224" t="s">
        <v>194</v>
      </c>
      <c r="F108" s="224" t="s">
        <v>218</v>
      </c>
      <c r="G108" s="224">
        <v>200</v>
      </c>
      <c r="H108" s="224" t="s">
        <v>217</v>
      </c>
      <c r="I108" s="17">
        <f>'27'!$E$6+'27'!$N$6</f>
        <v>0</v>
      </c>
      <c r="J108" s="17">
        <f>'27'!$F$6+'27'!$R$6</f>
        <v>0</v>
      </c>
      <c r="K108" s="17">
        <f>'27'!$G$6+'27'!$S$6</f>
        <v>0</v>
      </c>
      <c r="L108" s="17">
        <f>'27'!$AP6</f>
        <v>0</v>
      </c>
      <c r="M108" s="17">
        <f>'27'!$AQ6</f>
        <v>0</v>
      </c>
      <c r="N108" s="17">
        <f>'27'!$AR6</f>
        <v>0</v>
      </c>
      <c r="O108" s="61">
        <f>'27'!$AJ6</f>
        <v>0</v>
      </c>
      <c r="P108" s="61">
        <f>'27'!$AK6</f>
        <v>0</v>
      </c>
      <c r="Q108" s="61">
        <f>'27'!$AL6</f>
        <v>0</v>
      </c>
      <c r="R108" s="62">
        <f>'27'!$AM6</f>
        <v>0</v>
      </c>
      <c r="S108" s="62">
        <f>'27'!$AN6</f>
        <v>0</v>
      </c>
      <c r="T108" s="62">
        <f>'27'!$AO6</f>
        <v>0</v>
      </c>
      <c r="U108" s="63">
        <f>'27'!$AI6</f>
        <v>0</v>
      </c>
      <c r="V108" s="17">
        <f>'27'!$AH6</f>
        <v>0</v>
      </c>
      <c r="W108" s="224">
        <v>4</v>
      </c>
      <c r="X108" s="17">
        <f>'27'!$CC$6</f>
        <v>0</v>
      </c>
      <c r="Y108" s="59"/>
    </row>
    <row r="109" spans="1:25" x14ac:dyDescent="0.35">
      <c r="A109" s="225"/>
      <c r="B109" s="227"/>
      <c r="C109" s="58">
        <v>104.25</v>
      </c>
      <c r="D109" s="230"/>
      <c r="E109" s="225"/>
      <c r="F109" s="225"/>
      <c r="G109" s="225"/>
      <c r="H109" s="225"/>
      <c r="I109" s="17">
        <f>'27'!$E$12+'27'!$N$12</f>
        <v>0</v>
      </c>
      <c r="J109" s="17">
        <f>'27'!$F$12+'27'!$R$12</f>
        <v>0</v>
      </c>
      <c r="K109" s="17">
        <f>'27'!$G$12+'27'!$S$12</f>
        <v>0</v>
      </c>
      <c r="L109" s="17">
        <f>'27'!$AP12</f>
        <v>0</v>
      </c>
      <c r="M109" s="17">
        <f>'27'!$AQ12</f>
        <v>0</v>
      </c>
      <c r="N109" s="17">
        <f>'27'!$AR12</f>
        <v>0</v>
      </c>
      <c r="O109" s="61">
        <f>'27'!$AJ12</f>
        <v>0</v>
      </c>
      <c r="P109" s="61">
        <f>'27'!$AK12</f>
        <v>0</v>
      </c>
      <c r="Q109" s="61">
        <f>'27'!$AL12</f>
        <v>0</v>
      </c>
      <c r="R109" s="62">
        <f>'27'!$AM12</f>
        <v>0</v>
      </c>
      <c r="S109" s="62">
        <f>'27'!$AN12</f>
        <v>0</v>
      </c>
      <c r="T109" s="62">
        <f>'27'!$AO12</f>
        <v>0</v>
      </c>
      <c r="U109" s="63">
        <f>'27'!$AI12</f>
        <v>0</v>
      </c>
      <c r="V109" s="17">
        <f>'27'!$AH12</f>
        <v>0</v>
      </c>
      <c r="W109" s="225"/>
      <c r="X109" s="17">
        <f>'27'!$CC$12</f>
        <v>0</v>
      </c>
      <c r="Y109" s="59"/>
    </row>
    <row r="110" spans="1:25" x14ac:dyDescent="0.35">
      <c r="A110" s="225"/>
      <c r="B110" s="227"/>
      <c r="C110" s="58">
        <v>104.5</v>
      </c>
      <c r="D110" s="230"/>
      <c r="E110" s="225"/>
      <c r="F110" s="225"/>
      <c r="G110" s="225"/>
      <c r="H110" s="225"/>
      <c r="I110" s="17">
        <f>'27'!$E$18+'27'!$Q$18</f>
        <v>0</v>
      </c>
      <c r="J110" s="17">
        <f>'27'!$F$18+'27'!$R$18</f>
        <v>0</v>
      </c>
      <c r="K110" s="17">
        <f>'27'!$G$18+'27'!$S$18</f>
        <v>0</v>
      </c>
      <c r="L110" s="17">
        <f>'27'!$AP18</f>
        <v>0</v>
      </c>
      <c r="M110" s="17">
        <f>'27'!$AQ18</f>
        <v>0</v>
      </c>
      <c r="N110" s="17">
        <f>'27'!$AR18</f>
        <v>0</v>
      </c>
      <c r="O110" s="61">
        <f>'27'!$AJ18</f>
        <v>0</v>
      </c>
      <c r="P110" s="61">
        <f>'27'!$AK18</f>
        <v>0</v>
      </c>
      <c r="Q110" s="61">
        <f>'27'!$AL18</f>
        <v>0</v>
      </c>
      <c r="R110" s="62">
        <f>'27'!$AM18</f>
        <v>0</v>
      </c>
      <c r="S110" s="62">
        <f>'27'!$AN18</f>
        <v>0</v>
      </c>
      <c r="T110" s="62">
        <f>'27'!$AO18</f>
        <v>0</v>
      </c>
      <c r="U110" s="63">
        <f>'27'!$AI18</f>
        <v>0</v>
      </c>
      <c r="V110" s="17">
        <f>'27'!$AH18</f>
        <v>0</v>
      </c>
      <c r="W110" s="225"/>
      <c r="X110" s="17">
        <f>'27'!$CC$18</f>
        <v>0</v>
      </c>
      <c r="Y110" s="59"/>
    </row>
    <row r="111" spans="1:25" x14ac:dyDescent="0.35">
      <c r="A111" s="225"/>
      <c r="B111" s="227"/>
      <c r="C111" s="58">
        <v>104.75</v>
      </c>
      <c r="D111" s="231"/>
      <c r="E111" s="228"/>
      <c r="F111" s="228"/>
      <c r="G111" s="228"/>
      <c r="H111" s="228"/>
      <c r="I111" s="17">
        <f>'27'!$E$24+'27'!$Q$24</f>
        <v>0</v>
      </c>
      <c r="J111" s="17">
        <f>'27'!$F$24+'27'!$R$24</f>
        <v>0</v>
      </c>
      <c r="K111" s="17">
        <f>'27'!$G$24+'27'!$S$24</f>
        <v>0</v>
      </c>
      <c r="L111" s="17">
        <f>'27'!$AP24</f>
        <v>0</v>
      </c>
      <c r="M111" s="17">
        <f>'27'!$AQ24</f>
        <v>0</v>
      </c>
      <c r="N111" s="17">
        <f>'27'!$AR24</f>
        <v>0</v>
      </c>
      <c r="O111" s="61">
        <f>'27'!$AJ24</f>
        <v>0</v>
      </c>
      <c r="P111" s="61">
        <f>'27'!$AK24</f>
        <v>0</v>
      </c>
      <c r="Q111" s="61">
        <f>'27'!$AL24</f>
        <v>0</v>
      </c>
      <c r="R111" s="62">
        <f>'27'!$AM24</f>
        <v>0</v>
      </c>
      <c r="S111" s="62">
        <f>'27'!$AN24</f>
        <v>0</v>
      </c>
      <c r="T111" s="62">
        <f>'27'!$AO24</f>
        <v>0</v>
      </c>
      <c r="U111" s="63">
        <f>'27'!$AI24</f>
        <v>0</v>
      </c>
      <c r="V111" s="17">
        <f>'27'!$AH24</f>
        <v>0</v>
      </c>
      <c r="W111" s="228"/>
      <c r="X111" s="17">
        <f>'27'!$CC$24</f>
        <v>0</v>
      </c>
      <c r="Y111" s="59"/>
    </row>
    <row r="112" spans="1:25" x14ac:dyDescent="0.35">
      <c r="A112" s="224" t="s">
        <v>142</v>
      </c>
      <c r="B112" s="226">
        <v>46201</v>
      </c>
      <c r="C112" s="58">
        <v>108</v>
      </c>
      <c r="D112" s="229" t="s">
        <v>202</v>
      </c>
      <c r="E112" s="224" t="s">
        <v>194</v>
      </c>
      <c r="F112" s="224" t="s">
        <v>218</v>
      </c>
      <c r="G112" s="224">
        <v>200</v>
      </c>
      <c r="H112" s="224" t="s">
        <v>217</v>
      </c>
      <c r="I112" s="17">
        <f>'28'!$E$6+'28'!$N$6</f>
        <v>0</v>
      </c>
      <c r="J112" s="17">
        <f>'28'!$F$6+'28'!$R$6</f>
        <v>0</v>
      </c>
      <c r="K112" s="17">
        <f>'28'!$G$6+'28'!$S$6</f>
        <v>0</v>
      </c>
      <c r="L112" s="17">
        <f>'28'!$AP6</f>
        <v>0</v>
      </c>
      <c r="M112" s="17">
        <f>'28'!$AQ6</f>
        <v>0</v>
      </c>
      <c r="N112" s="17">
        <f>'28'!$AR6</f>
        <v>0</v>
      </c>
      <c r="O112" s="61">
        <f>'28'!$AJ6</f>
        <v>0</v>
      </c>
      <c r="P112" s="61">
        <f>'28'!$AK6</f>
        <v>0</v>
      </c>
      <c r="Q112" s="61">
        <f>'28'!$AL6</f>
        <v>0</v>
      </c>
      <c r="R112" s="62">
        <f>'28'!$AM6</f>
        <v>0</v>
      </c>
      <c r="S112" s="62">
        <f>'28'!$AN6</f>
        <v>0</v>
      </c>
      <c r="T112" s="62">
        <f>'28'!$AO6</f>
        <v>0</v>
      </c>
      <c r="U112" s="63">
        <f>'28'!$AI6</f>
        <v>0</v>
      </c>
      <c r="V112" s="17">
        <f>'28'!$AH6</f>
        <v>0</v>
      </c>
      <c r="W112" s="224">
        <v>4</v>
      </c>
      <c r="X112" s="17">
        <f>'28'!$CC$6</f>
        <v>0</v>
      </c>
      <c r="Y112" s="59"/>
    </row>
    <row r="113" spans="1:25" x14ac:dyDescent="0.35">
      <c r="A113" s="225"/>
      <c r="B113" s="227"/>
      <c r="C113" s="58">
        <v>108.25</v>
      </c>
      <c r="D113" s="230"/>
      <c r="E113" s="225"/>
      <c r="F113" s="225"/>
      <c r="G113" s="225"/>
      <c r="H113" s="225"/>
      <c r="I113" s="17">
        <f>'28'!$E$12+'28'!$N$12</f>
        <v>0</v>
      </c>
      <c r="J113" s="17">
        <f>'28'!$F$12+'28'!$R$12</f>
        <v>0</v>
      </c>
      <c r="K113" s="17">
        <f>'28'!$G$12+'28'!$S$12</f>
        <v>0</v>
      </c>
      <c r="L113" s="17">
        <f>'28'!$AP12</f>
        <v>0</v>
      </c>
      <c r="M113" s="17">
        <f>'28'!$AQ12</f>
        <v>0</v>
      </c>
      <c r="N113" s="17">
        <f>'28'!$AR12</f>
        <v>0</v>
      </c>
      <c r="O113" s="61">
        <f>'28'!$AJ12</f>
        <v>0</v>
      </c>
      <c r="P113" s="61">
        <f>'28'!$AK12</f>
        <v>0</v>
      </c>
      <c r="Q113" s="61">
        <f>'28'!$AL12</f>
        <v>0</v>
      </c>
      <c r="R113" s="62">
        <f>'28'!$AM12</f>
        <v>0</v>
      </c>
      <c r="S113" s="62">
        <f>'28'!$AN12</f>
        <v>0</v>
      </c>
      <c r="T113" s="62">
        <f>'28'!$AO12</f>
        <v>0</v>
      </c>
      <c r="U113" s="63">
        <f>'28'!$AI12</f>
        <v>0</v>
      </c>
      <c r="V113" s="17">
        <f>'28'!$AH12</f>
        <v>0</v>
      </c>
      <c r="W113" s="225"/>
      <c r="X113" s="17">
        <f>'28'!$CC$12</f>
        <v>0</v>
      </c>
      <c r="Y113" s="59"/>
    </row>
    <row r="114" spans="1:25" x14ac:dyDescent="0.35">
      <c r="A114" s="225"/>
      <c r="B114" s="227"/>
      <c r="C114" s="58">
        <v>108.5</v>
      </c>
      <c r="D114" s="230"/>
      <c r="E114" s="225"/>
      <c r="F114" s="225"/>
      <c r="G114" s="225"/>
      <c r="H114" s="225"/>
      <c r="I114" s="17">
        <f>'28'!$E$18+'28'!$Q$18</f>
        <v>0</v>
      </c>
      <c r="J114" s="17">
        <f>'28'!$F$18+'28'!$R$18</f>
        <v>0</v>
      </c>
      <c r="K114" s="17">
        <f>'28'!$G$18+'28'!$S$18</f>
        <v>0</v>
      </c>
      <c r="L114" s="17">
        <f>'28'!$AP18</f>
        <v>0</v>
      </c>
      <c r="M114" s="17">
        <f>'28'!$AQ18</f>
        <v>0</v>
      </c>
      <c r="N114" s="17">
        <f>'28'!$AR18</f>
        <v>0</v>
      </c>
      <c r="O114" s="61">
        <f>'28'!$AJ18</f>
        <v>0</v>
      </c>
      <c r="P114" s="61">
        <f>'28'!$AK18</f>
        <v>0</v>
      </c>
      <c r="Q114" s="61">
        <f>'28'!$AL18</f>
        <v>0</v>
      </c>
      <c r="R114" s="62">
        <f>'28'!$AM18</f>
        <v>0</v>
      </c>
      <c r="S114" s="62">
        <f>'28'!$AN18</f>
        <v>0</v>
      </c>
      <c r="T114" s="62">
        <f>'28'!$AO18</f>
        <v>0</v>
      </c>
      <c r="U114" s="63">
        <f>'28'!$AI18</f>
        <v>0</v>
      </c>
      <c r="V114" s="17">
        <f>'28'!$AH18</f>
        <v>0</v>
      </c>
      <c r="W114" s="225"/>
      <c r="X114" s="17">
        <f>'28'!$CC$18</f>
        <v>0</v>
      </c>
      <c r="Y114" s="59"/>
    </row>
    <row r="115" spans="1:25" x14ac:dyDescent="0.35">
      <c r="A115" s="225"/>
      <c r="B115" s="227"/>
      <c r="C115" s="58">
        <v>108.75</v>
      </c>
      <c r="D115" s="231"/>
      <c r="E115" s="228"/>
      <c r="F115" s="228"/>
      <c r="G115" s="228"/>
      <c r="H115" s="228"/>
      <c r="I115" s="17">
        <f>'28'!$E$24+'28'!$Q$24</f>
        <v>0</v>
      </c>
      <c r="J115" s="17">
        <f>'28'!$F$24+'28'!$R$24</f>
        <v>0</v>
      </c>
      <c r="K115" s="17">
        <f>'28'!$G$24+'28'!$S$24</f>
        <v>0</v>
      </c>
      <c r="L115" s="17">
        <f>'28'!$AP24</f>
        <v>0</v>
      </c>
      <c r="M115" s="17">
        <f>'28'!$AQ24</f>
        <v>0</v>
      </c>
      <c r="N115" s="17">
        <f>'28'!$AR24</f>
        <v>0</v>
      </c>
      <c r="O115" s="61">
        <f>'28'!$AJ24</f>
        <v>0</v>
      </c>
      <c r="P115" s="61">
        <f>'28'!$AK24</f>
        <v>0</v>
      </c>
      <c r="Q115" s="61">
        <f>'28'!$AL24</f>
        <v>0</v>
      </c>
      <c r="R115" s="62">
        <f>'28'!$AM24</f>
        <v>0</v>
      </c>
      <c r="S115" s="62">
        <f>'28'!$AN24</f>
        <v>0</v>
      </c>
      <c r="T115" s="62">
        <f>'28'!$AO24</f>
        <v>0</v>
      </c>
      <c r="U115" s="63">
        <f>'28'!$AI24</f>
        <v>0</v>
      </c>
      <c r="V115" s="17">
        <f>'28'!$AH24</f>
        <v>0</v>
      </c>
      <c r="W115" s="228"/>
      <c r="X115" s="17">
        <f>'28'!$CC$24</f>
        <v>0</v>
      </c>
      <c r="Y115" s="59"/>
    </row>
    <row r="116" spans="1:25" x14ac:dyDescent="0.35">
      <c r="A116" s="224" t="s">
        <v>142</v>
      </c>
      <c r="B116" s="226">
        <v>46202</v>
      </c>
      <c r="C116" s="58">
        <v>108</v>
      </c>
      <c r="D116" s="229" t="s">
        <v>202</v>
      </c>
      <c r="E116" s="224" t="s">
        <v>194</v>
      </c>
      <c r="F116" s="224" t="s">
        <v>218</v>
      </c>
      <c r="G116" s="224">
        <v>200</v>
      </c>
      <c r="H116" s="224" t="s">
        <v>217</v>
      </c>
      <c r="I116" s="17">
        <f>'29'!$E$6+'29'!$N$6</f>
        <v>0</v>
      </c>
      <c r="J116" s="17">
        <f>'29'!$F$6+'29'!$R$6</f>
        <v>0</v>
      </c>
      <c r="K116" s="17">
        <f>'29'!$G$6+'29'!$S$6</f>
        <v>0</v>
      </c>
      <c r="L116" s="17">
        <f>'29'!$AP6</f>
        <v>0</v>
      </c>
      <c r="M116" s="17">
        <f>'29'!$AQ6</f>
        <v>0</v>
      </c>
      <c r="N116" s="17">
        <f>'29'!$AR6</f>
        <v>0</v>
      </c>
      <c r="O116" s="61">
        <f>'29'!$AJ6</f>
        <v>0</v>
      </c>
      <c r="P116" s="61">
        <f>'29'!$AK6</f>
        <v>0</v>
      </c>
      <c r="Q116" s="61">
        <f>'29'!$AL6</f>
        <v>0</v>
      </c>
      <c r="R116" s="62">
        <f>'29'!$AM6</f>
        <v>0</v>
      </c>
      <c r="S116" s="62">
        <f>'29'!$AN6</f>
        <v>0</v>
      </c>
      <c r="T116" s="62">
        <f>'29'!$AO6</f>
        <v>0</v>
      </c>
      <c r="U116" s="63">
        <f>'29'!$AI10</f>
        <v>0</v>
      </c>
      <c r="V116" s="17">
        <f>'29'!$AH10</f>
        <v>0</v>
      </c>
      <c r="W116" s="224">
        <v>4</v>
      </c>
      <c r="X116" s="17">
        <f>'29'!$CC$6</f>
        <v>0</v>
      </c>
      <c r="Y116" s="59"/>
    </row>
    <row r="117" spans="1:25" x14ac:dyDescent="0.35">
      <c r="A117" s="225"/>
      <c r="B117" s="227"/>
      <c r="C117" s="58">
        <v>108.25</v>
      </c>
      <c r="D117" s="230"/>
      <c r="E117" s="225"/>
      <c r="F117" s="225"/>
      <c r="G117" s="225"/>
      <c r="H117" s="225"/>
      <c r="I117" s="17">
        <f>'29'!$E$12+'29'!$N$12</f>
        <v>0</v>
      </c>
      <c r="J117" s="17">
        <f>'29'!$F$12+'29'!$R$12</f>
        <v>0</v>
      </c>
      <c r="K117" s="17">
        <f>'29'!$G$12+'29'!$S$12</f>
        <v>0</v>
      </c>
      <c r="L117" s="17">
        <f>'29'!$AP12</f>
        <v>0</v>
      </c>
      <c r="M117" s="17">
        <f>'29'!$AQ12</f>
        <v>0</v>
      </c>
      <c r="N117" s="17">
        <f>'29'!$AR12</f>
        <v>0</v>
      </c>
      <c r="O117" s="61">
        <f>'29'!$AJ12</f>
        <v>0</v>
      </c>
      <c r="P117" s="61">
        <f>'29'!$AK12</f>
        <v>0</v>
      </c>
      <c r="Q117" s="61">
        <f>'29'!$AL12</f>
        <v>0</v>
      </c>
      <c r="R117" s="62">
        <f>'29'!$AM12</f>
        <v>0</v>
      </c>
      <c r="S117" s="62">
        <f>'29'!$AN12</f>
        <v>0</v>
      </c>
      <c r="T117" s="62">
        <f>'29'!$AO12</f>
        <v>0</v>
      </c>
      <c r="U117" s="63">
        <f>'29'!$AI16</f>
        <v>0</v>
      </c>
      <c r="V117" s="17">
        <f>'29'!$AH16</f>
        <v>0</v>
      </c>
      <c r="W117" s="225"/>
      <c r="X117" s="17">
        <f>'29'!$CC$12</f>
        <v>0</v>
      </c>
      <c r="Y117" s="59"/>
    </row>
    <row r="118" spans="1:25" x14ac:dyDescent="0.35">
      <c r="A118" s="225"/>
      <c r="B118" s="227"/>
      <c r="C118" s="58">
        <v>108.5</v>
      </c>
      <c r="D118" s="230"/>
      <c r="E118" s="225"/>
      <c r="F118" s="225"/>
      <c r="G118" s="225"/>
      <c r="H118" s="225"/>
      <c r="I118" s="17">
        <f>'29'!$E$18+'29'!$Q$18</f>
        <v>0</v>
      </c>
      <c r="J118" s="17">
        <f>'29'!$F$18+'29'!$R$18</f>
        <v>0</v>
      </c>
      <c r="K118" s="17">
        <f>'29'!$G$18+'29'!$S$18</f>
        <v>0</v>
      </c>
      <c r="L118" s="17">
        <f>'29'!$AP18</f>
        <v>0</v>
      </c>
      <c r="M118" s="17">
        <f>'29'!$AQ18</f>
        <v>0</v>
      </c>
      <c r="N118" s="17">
        <f>'29'!$AR18</f>
        <v>0</v>
      </c>
      <c r="O118" s="61">
        <f>'29'!$AJ18</f>
        <v>0</v>
      </c>
      <c r="P118" s="61">
        <f>'29'!$AK18</f>
        <v>0</v>
      </c>
      <c r="Q118" s="61">
        <f>'29'!$AL18</f>
        <v>0</v>
      </c>
      <c r="R118" s="62">
        <f>'29'!$AM18</f>
        <v>0</v>
      </c>
      <c r="S118" s="62">
        <f>'29'!$AN18</f>
        <v>0</v>
      </c>
      <c r="T118" s="62">
        <f>'29'!$AO18</f>
        <v>0</v>
      </c>
      <c r="U118" s="63">
        <f>'29'!$AI22</f>
        <v>0</v>
      </c>
      <c r="V118" s="17">
        <f>'29'!$AH22</f>
        <v>0</v>
      </c>
      <c r="W118" s="225"/>
      <c r="X118" s="17">
        <f>'29'!$CC$18</f>
        <v>0</v>
      </c>
      <c r="Y118" s="59"/>
    </row>
    <row r="119" spans="1:25" x14ac:dyDescent="0.35">
      <c r="A119" s="225"/>
      <c r="B119" s="227"/>
      <c r="C119" s="58">
        <v>108.75</v>
      </c>
      <c r="D119" s="231"/>
      <c r="E119" s="228"/>
      <c r="F119" s="228"/>
      <c r="G119" s="228"/>
      <c r="H119" s="228"/>
      <c r="I119" s="17">
        <f>'29'!$E$24+'29'!$Q$24</f>
        <v>0</v>
      </c>
      <c r="J119" s="17">
        <f>'29'!$F$24+'29'!$R$24</f>
        <v>0</v>
      </c>
      <c r="K119" s="17">
        <f>'29'!$G$24+'29'!$S$24</f>
        <v>0</v>
      </c>
      <c r="L119" s="17">
        <f>'29'!$AP24</f>
        <v>0</v>
      </c>
      <c r="M119" s="17">
        <f>'29'!$AQ24</f>
        <v>0</v>
      </c>
      <c r="N119" s="17">
        <f>'29'!$AR24</f>
        <v>0</v>
      </c>
      <c r="O119" s="61">
        <f>'29'!$AJ24</f>
        <v>0</v>
      </c>
      <c r="P119" s="61">
        <f>'29'!$AK24</f>
        <v>0</v>
      </c>
      <c r="Q119" s="61">
        <f>'29'!$AL24</f>
        <v>0</v>
      </c>
      <c r="R119" s="62">
        <f>'29'!$AM24</f>
        <v>0</v>
      </c>
      <c r="S119" s="62">
        <f>'29'!$AN24</f>
        <v>0</v>
      </c>
      <c r="T119" s="62">
        <f>'29'!$AO24</f>
        <v>0</v>
      </c>
      <c r="U119" s="63">
        <f>'29'!$AI28</f>
        <v>0</v>
      </c>
      <c r="V119" s="17">
        <f>'29'!$AH28</f>
        <v>0</v>
      </c>
      <c r="W119" s="228"/>
      <c r="X119" s="17">
        <f>'29'!$CC$24</f>
        <v>0</v>
      </c>
      <c r="Y119" s="59"/>
    </row>
    <row r="120" spans="1:25" x14ac:dyDescent="0.35">
      <c r="A120" s="224" t="s">
        <v>142</v>
      </c>
      <c r="B120" s="226">
        <v>46203</v>
      </c>
      <c r="C120" s="58">
        <v>108</v>
      </c>
      <c r="D120" s="229" t="s">
        <v>202</v>
      </c>
      <c r="E120" s="224" t="s">
        <v>194</v>
      </c>
      <c r="F120" s="224" t="s">
        <v>218</v>
      </c>
      <c r="G120" s="224">
        <v>200</v>
      </c>
      <c r="H120" s="224" t="s">
        <v>217</v>
      </c>
      <c r="I120" s="17">
        <f>'30'!$E$6+'30'!$N$6</f>
        <v>0</v>
      </c>
      <c r="J120" s="17">
        <f>'30'!$F$6+'30'!$R$6</f>
        <v>0</v>
      </c>
      <c r="K120" s="17">
        <f>'30'!$G$6+'30'!$S$6</f>
        <v>0</v>
      </c>
      <c r="L120" s="17">
        <f>'30'!$AP6</f>
        <v>0</v>
      </c>
      <c r="M120" s="17">
        <f>'30'!$AQ6</f>
        <v>0</v>
      </c>
      <c r="N120" s="17">
        <f>'30'!$AR6</f>
        <v>0</v>
      </c>
      <c r="O120" s="61">
        <f>'30'!$AJ6</f>
        <v>0</v>
      </c>
      <c r="P120" s="61">
        <f>'30'!$AK6</f>
        <v>0</v>
      </c>
      <c r="Q120" s="61">
        <f>'30'!$AL6</f>
        <v>0</v>
      </c>
      <c r="R120" s="62">
        <f>'30'!$AM6</f>
        <v>0</v>
      </c>
      <c r="S120" s="62">
        <f>'30'!$AN6</f>
        <v>0</v>
      </c>
      <c r="T120" s="62">
        <f>'30'!$AO6</f>
        <v>0</v>
      </c>
      <c r="U120" s="63">
        <f>'30'!$AI14</f>
        <v>0</v>
      </c>
      <c r="V120" s="17">
        <f>'30'!$AH14</f>
        <v>0</v>
      </c>
      <c r="W120" s="224">
        <v>4</v>
      </c>
      <c r="X120" s="17">
        <f>'30'!$CC$6</f>
        <v>0</v>
      </c>
      <c r="Y120" s="59"/>
    </row>
    <row r="121" spans="1:25" x14ac:dyDescent="0.35">
      <c r="A121" s="225"/>
      <c r="B121" s="227"/>
      <c r="C121" s="58">
        <v>108.25</v>
      </c>
      <c r="D121" s="230"/>
      <c r="E121" s="225"/>
      <c r="F121" s="225"/>
      <c r="G121" s="225"/>
      <c r="H121" s="225"/>
      <c r="I121" s="17">
        <f>'30'!$E$12+'30'!$N$12</f>
        <v>0</v>
      </c>
      <c r="J121" s="17">
        <f>'30'!$F$12+'30'!$R$12</f>
        <v>0</v>
      </c>
      <c r="K121" s="17">
        <f>'30'!$G$12+'30'!$S$12</f>
        <v>0</v>
      </c>
      <c r="L121" s="17">
        <f>'30'!$AP12</f>
        <v>0</v>
      </c>
      <c r="M121" s="17">
        <f>'30'!$AQ12</f>
        <v>0</v>
      </c>
      <c r="N121" s="17">
        <f>'30'!$AR12</f>
        <v>0</v>
      </c>
      <c r="O121" s="61">
        <f>'30'!$AJ12</f>
        <v>0</v>
      </c>
      <c r="P121" s="61">
        <f>'30'!$AK12</f>
        <v>0</v>
      </c>
      <c r="Q121" s="61">
        <f>'30'!$AL12</f>
        <v>0</v>
      </c>
      <c r="R121" s="62">
        <f>'30'!$AM12</f>
        <v>0</v>
      </c>
      <c r="S121" s="62">
        <f>'30'!$AN12</f>
        <v>0</v>
      </c>
      <c r="T121" s="62">
        <f>'30'!$AO12</f>
        <v>0</v>
      </c>
      <c r="U121" s="63">
        <f>'30'!$AI20</f>
        <v>0</v>
      </c>
      <c r="V121" s="17">
        <f>'30'!$AH20</f>
        <v>0</v>
      </c>
      <c r="W121" s="225"/>
      <c r="X121" s="17">
        <f>'30'!$CC$12</f>
        <v>0</v>
      </c>
      <c r="Y121" s="59"/>
    </row>
    <row r="122" spans="1:25" x14ac:dyDescent="0.35">
      <c r="A122" s="225"/>
      <c r="B122" s="227"/>
      <c r="C122" s="58">
        <v>108.5</v>
      </c>
      <c r="D122" s="230"/>
      <c r="E122" s="225"/>
      <c r="F122" s="225"/>
      <c r="G122" s="225"/>
      <c r="H122" s="225"/>
      <c r="I122" s="17">
        <f>'30'!$E$18+'30'!$Q$18</f>
        <v>0</v>
      </c>
      <c r="J122" s="17">
        <f>'30'!$F$18+'30'!$R$18</f>
        <v>0</v>
      </c>
      <c r="K122" s="17">
        <f>'30'!$G$18+'30'!$S$18</f>
        <v>0</v>
      </c>
      <c r="L122" s="17">
        <f>'30'!$AP18</f>
        <v>0</v>
      </c>
      <c r="M122" s="17">
        <f>'30'!$AQ18</f>
        <v>0</v>
      </c>
      <c r="N122" s="17">
        <f>'30'!$AR18</f>
        <v>0</v>
      </c>
      <c r="O122" s="61">
        <f>'30'!$AJ18</f>
        <v>0</v>
      </c>
      <c r="P122" s="61">
        <f>'30'!$AK18</f>
        <v>0</v>
      </c>
      <c r="Q122" s="61">
        <f>'30'!$AL18</f>
        <v>0</v>
      </c>
      <c r="R122" s="62">
        <f>'30'!$AM18</f>
        <v>0</v>
      </c>
      <c r="S122" s="62">
        <f>'30'!$AN18</f>
        <v>0</v>
      </c>
      <c r="T122" s="62">
        <f>'30'!$AO18</f>
        <v>0</v>
      </c>
      <c r="U122" s="63">
        <f>'30'!$AI26</f>
        <v>0</v>
      </c>
      <c r="V122" s="17">
        <f>'30'!$AH26</f>
        <v>0</v>
      </c>
      <c r="W122" s="225"/>
      <c r="X122" s="17">
        <f>'30'!$CC$18</f>
        <v>0</v>
      </c>
      <c r="Y122" s="59"/>
    </row>
    <row r="123" spans="1:25" x14ac:dyDescent="0.35">
      <c r="A123" s="225"/>
      <c r="B123" s="227"/>
      <c r="C123" s="58">
        <v>108.75</v>
      </c>
      <c r="D123" s="231"/>
      <c r="E123" s="228"/>
      <c r="F123" s="228"/>
      <c r="G123" s="228"/>
      <c r="H123" s="228"/>
      <c r="I123" s="17">
        <f>'30'!$E$24+'30'!$Q$24</f>
        <v>0</v>
      </c>
      <c r="J123" s="17">
        <f>'30'!$F$24+'30'!$R$24</f>
        <v>0</v>
      </c>
      <c r="K123" s="17">
        <f>'30'!$G$24+'30'!$S$24</f>
        <v>0</v>
      </c>
      <c r="L123" s="17">
        <f>'30'!$AP24</f>
        <v>0</v>
      </c>
      <c r="M123" s="17">
        <f>'30'!$AQ24</f>
        <v>0</v>
      </c>
      <c r="N123" s="17">
        <f>'30'!$AR24</f>
        <v>0</v>
      </c>
      <c r="O123" s="61">
        <f>'30'!$AJ24</f>
        <v>0</v>
      </c>
      <c r="P123" s="61">
        <f>'30'!$AK24</f>
        <v>0</v>
      </c>
      <c r="Q123" s="61">
        <f>'30'!$AL24</f>
        <v>0</v>
      </c>
      <c r="R123" s="62">
        <f>'30'!$AM24</f>
        <v>0</v>
      </c>
      <c r="S123" s="62">
        <f>'30'!$AN24</f>
        <v>0</v>
      </c>
      <c r="T123" s="62">
        <f>'30'!$AO24</f>
        <v>0</v>
      </c>
      <c r="U123" s="63">
        <f>'30'!$AI32</f>
        <v>0</v>
      </c>
      <c r="V123" s="17">
        <f>'30'!$AH32</f>
        <v>0</v>
      </c>
      <c r="W123" s="228"/>
      <c r="X123" s="17">
        <f>'30'!$CC$24</f>
        <v>0</v>
      </c>
      <c r="Y123" s="59"/>
    </row>
  </sheetData>
  <mergeCells count="258">
    <mergeCell ref="A116:A119"/>
    <mergeCell ref="B116:B119"/>
    <mergeCell ref="D116:D119"/>
    <mergeCell ref="E116:E119"/>
    <mergeCell ref="F116:F119"/>
    <mergeCell ref="G116:G119"/>
    <mergeCell ref="H116:H119"/>
    <mergeCell ref="W116:W119"/>
    <mergeCell ref="A120:A123"/>
    <mergeCell ref="B120:B123"/>
    <mergeCell ref="D120:D123"/>
    <mergeCell ref="E120:E123"/>
    <mergeCell ref="F120:F123"/>
    <mergeCell ref="G120:G123"/>
    <mergeCell ref="H120:H123"/>
    <mergeCell ref="W120:W123"/>
    <mergeCell ref="A1:H1"/>
    <mergeCell ref="A2:A3"/>
    <mergeCell ref="B2:B3"/>
    <mergeCell ref="C2:C3"/>
    <mergeCell ref="D2:D3"/>
    <mergeCell ref="E2:E3"/>
    <mergeCell ref="F2:F3"/>
    <mergeCell ref="G2:G3"/>
    <mergeCell ref="H2:H3"/>
    <mergeCell ref="W2:W3"/>
    <mergeCell ref="H8:H11"/>
    <mergeCell ref="W8:W11"/>
    <mergeCell ref="A8:A11"/>
    <mergeCell ref="B8:B11"/>
    <mergeCell ref="D8:D11"/>
    <mergeCell ref="E8:E11"/>
    <mergeCell ref="X2:X3"/>
    <mergeCell ref="Y2:Y3"/>
    <mergeCell ref="A4:A7"/>
    <mergeCell ref="B4:B7"/>
    <mergeCell ref="D4:D7"/>
    <mergeCell ref="E4:E7"/>
    <mergeCell ref="F4:F7"/>
    <mergeCell ref="G4:G7"/>
    <mergeCell ref="H4:H7"/>
    <mergeCell ref="I2:K2"/>
    <mergeCell ref="L2:N2"/>
    <mergeCell ref="O2:Q2"/>
    <mergeCell ref="R2:T2"/>
    <mergeCell ref="U2:U3"/>
    <mergeCell ref="V2:V3"/>
    <mergeCell ref="F8:F11"/>
    <mergeCell ref="G8:G11"/>
    <mergeCell ref="W4:W7"/>
    <mergeCell ref="H16:H19"/>
    <mergeCell ref="W16:W19"/>
    <mergeCell ref="A16:A19"/>
    <mergeCell ref="B16:B19"/>
    <mergeCell ref="D16:D19"/>
    <mergeCell ref="E16:E19"/>
    <mergeCell ref="F16:F19"/>
    <mergeCell ref="G16:G19"/>
    <mergeCell ref="H12:H15"/>
    <mergeCell ref="W12:W15"/>
    <mergeCell ref="A12:A15"/>
    <mergeCell ref="B12:B15"/>
    <mergeCell ref="D12:D15"/>
    <mergeCell ref="E12:E15"/>
    <mergeCell ref="F12:F15"/>
    <mergeCell ref="G12:G15"/>
    <mergeCell ref="H24:H27"/>
    <mergeCell ref="W24:W27"/>
    <mergeCell ref="A24:A27"/>
    <mergeCell ref="B24:B27"/>
    <mergeCell ref="D24:D27"/>
    <mergeCell ref="E24:E27"/>
    <mergeCell ref="F24:F27"/>
    <mergeCell ref="G24:G27"/>
    <mergeCell ref="H20:H23"/>
    <mergeCell ref="W20:W23"/>
    <mergeCell ref="A20:A23"/>
    <mergeCell ref="B20:B23"/>
    <mergeCell ref="D20:D23"/>
    <mergeCell ref="E20:E23"/>
    <mergeCell ref="F20:F23"/>
    <mergeCell ref="G20:G23"/>
    <mergeCell ref="H32:H35"/>
    <mergeCell ref="W32:W35"/>
    <mergeCell ref="A32:A35"/>
    <mergeCell ref="B32:B35"/>
    <mergeCell ref="D32:D35"/>
    <mergeCell ref="E32:E35"/>
    <mergeCell ref="F32:F35"/>
    <mergeCell ref="G32:G35"/>
    <mergeCell ref="H28:H31"/>
    <mergeCell ref="W28:W31"/>
    <mergeCell ref="A28:A31"/>
    <mergeCell ref="B28:B31"/>
    <mergeCell ref="D28:D31"/>
    <mergeCell ref="E28:E31"/>
    <mergeCell ref="F28:F31"/>
    <mergeCell ref="G28:G31"/>
    <mergeCell ref="H40:H43"/>
    <mergeCell ref="W40:W43"/>
    <mergeCell ref="A40:A43"/>
    <mergeCell ref="B40:B43"/>
    <mergeCell ref="D40:D43"/>
    <mergeCell ref="E40:E43"/>
    <mergeCell ref="F40:F43"/>
    <mergeCell ref="G40:G43"/>
    <mergeCell ref="H36:H39"/>
    <mergeCell ref="W36:W39"/>
    <mergeCell ref="A36:A39"/>
    <mergeCell ref="B36:B39"/>
    <mergeCell ref="D36:D39"/>
    <mergeCell ref="E36:E39"/>
    <mergeCell ref="F36:F39"/>
    <mergeCell ref="G36:G39"/>
    <mergeCell ref="H48:H51"/>
    <mergeCell ref="W48:W51"/>
    <mergeCell ref="A48:A51"/>
    <mergeCell ref="B48:B51"/>
    <mergeCell ref="D48:D51"/>
    <mergeCell ref="E48:E51"/>
    <mergeCell ref="F48:F51"/>
    <mergeCell ref="G48:G51"/>
    <mergeCell ref="H44:H47"/>
    <mergeCell ref="W44:W47"/>
    <mergeCell ref="A44:A47"/>
    <mergeCell ref="B44:B47"/>
    <mergeCell ref="D44:D47"/>
    <mergeCell ref="E44:E47"/>
    <mergeCell ref="F44:F47"/>
    <mergeCell ref="G44:G47"/>
    <mergeCell ref="H56:H59"/>
    <mergeCell ref="W56:W59"/>
    <mergeCell ref="A56:A59"/>
    <mergeCell ref="B56:B59"/>
    <mergeCell ref="D56:D59"/>
    <mergeCell ref="E56:E59"/>
    <mergeCell ref="F56:F59"/>
    <mergeCell ref="G56:G59"/>
    <mergeCell ref="H52:H55"/>
    <mergeCell ref="W52:W55"/>
    <mergeCell ref="A52:A55"/>
    <mergeCell ref="B52:B55"/>
    <mergeCell ref="D52:D55"/>
    <mergeCell ref="E52:E55"/>
    <mergeCell ref="F52:F55"/>
    <mergeCell ref="G52:G55"/>
    <mergeCell ref="H64:H67"/>
    <mergeCell ref="W64:W67"/>
    <mergeCell ref="A64:A67"/>
    <mergeCell ref="B64:B67"/>
    <mergeCell ref="D64:D67"/>
    <mergeCell ref="E64:E67"/>
    <mergeCell ref="F64:F67"/>
    <mergeCell ref="G64:G67"/>
    <mergeCell ref="H60:H63"/>
    <mergeCell ref="W60:W63"/>
    <mergeCell ref="A60:A63"/>
    <mergeCell ref="B60:B63"/>
    <mergeCell ref="D60:D63"/>
    <mergeCell ref="E60:E63"/>
    <mergeCell ref="F60:F63"/>
    <mergeCell ref="G60:G63"/>
    <mergeCell ref="H72:H75"/>
    <mergeCell ref="W72:W75"/>
    <mergeCell ref="A72:A75"/>
    <mergeCell ref="B72:B75"/>
    <mergeCell ref="D72:D75"/>
    <mergeCell ref="E72:E75"/>
    <mergeCell ref="F72:F75"/>
    <mergeCell ref="G72:G75"/>
    <mergeCell ref="H68:H71"/>
    <mergeCell ref="W68:W71"/>
    <mergeCell ref="A68:A71"/>
    <mergeCell ref="B68:B71"/>
    <mergeCell ref="D68:D71"/>
    <mergeCell ref="E68:E71"/>
    <mergeCell ref="F68:F71"/>
    <mergeCell ref="G68:G71"/>
    <mergeCell ref="H80:H83"/>
    <mergeCell ref="W80:W83"/>
    <mergeCell ref="A80:A83"/>
    <mergeCell ref="B80:B83"/>
    <mergeCell ref="D80:D83"/>
    <mergeCell ref="E80:E83"/>
    <mergeCell ref="F80:F83"/>
    <mergeCell ref="G80:G83"/>
    <mergeCell ref="H76:H79"/>
    <mergeCell ref="W76:W79"/>
    <mergeCell ref="A76:A79"/>
    <mergeCell ref="B76:B79"/>
    <mergeCell ref="D76:D79"/>
    <mergeCell ref="E76:E79"/>
    <mergeCell ref="F76:F79"/>
    <mergeCell ref="G76:G79"/>
    <mergeCell ref="H88:H91"/>
    <mergeCell ref="W88:W91"/>
    <mergeCell ref="A88:A91"/>
    <mergeCell ref="B88:B91"/>
    <mergeCell ref="D88:D91"/>
    <mergeCell ref="E88:E91"/>
    <mergeCell ref="F88:F91"/>
    <mergeCell ref="G88:G91"/>
    <mergeCell ref="H84:H87"/>
    <mergeCell ref="W84:W87"/>
    <mergeCell ref="A84:A87"/>
    <mergeCell ref="B84:B87"/>
    <mergeCell ref="D84:D87"/>
    <mergeCell ref="E84:E87"/>
    <mergeCell ref="F84:F87"/>
    <mergeCell ref="G84:G87"/>
    <mergeCell ref="H96:H99"/>
    <mergeCell ref="W96:W99"/>
    <mergeCell ref="A96:A99"/>
    <mergeCell ref="B96:B99"/>
    <mergeCell ref="D96:D99"/>
    <mergeCell ref="E96:E99"/>
    <mergeCell ref="F96:F99"/>
    <mergeCell ref="G96:G99"/>
    <mergeCell ref="H92:H95"/>
    <mergeCell ref="W92:W95"/>
    <mergeCell ref="A92:A95"/>
    <mergeCell ref="B92:B95"/>
    <mergeCell ref="D92:D95"/>
    <mergeCell ref="E92:E95"/>
    <mergeCell ref="F92:F95"/>
    <mergeCell ref="G92:G95"/>
    <mergeCell ref="H104:H107"/>
    <mergeCell ref="W104:W107"/>
    <mergeCell ref="A104:A107"/>
    <mergeCell ref="B104:B107"/>
    <mergeCell ref="D104:D107"/>
    <mergeCell ref="E104:E107"/>
    <mergeCell ref="F104:F107"/>
    <mergeCell ref="G104:G107"/>
    <mergeCell ref="H100:H103"/>
    <mergeCell ref="W100:W103"/>
    <mergeCell ref="A100:A103"/>
    <mergeCell ref="B100:B103"/>
    <mergeCell ref="D100:D103"/>
    <mergeCell ref="E100:E103"/>
    <mergeCell ref="F100:F103"/>
    <mergeCell ref="G100:G103"/>
    <mergeCell ref="H112:H115"/>
    <mergeCell ref="W112:W115"/>
    <mergeCell ref="A112:A115"/>
    <mergeCell ref="B112:B115"/>
    <mergeCell ref="D112:D115"/>
    <mergeCell ref="E112:E115"/>
    <mergeCell ref="F112:F115"/>
    <mergeCell ref="G112:G115"/>
    <mergeCell ref="H108:H111"/>
    <mergeCell ref="W108:W111"/>
    <mergeCell ref="A108:A111"/>
    <mergeCell ref="B108:B111"/>
    <mergeCell ref="D108:D111"/>
    <mergeCell ref="E108:E111"/>
    <mergeCell ref="F108:F111"/>
    <mergeCell ref="G108:G11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123"/>
  <sheetViews>
    <sheetView zoomScale="90" zoomScaleNormal="90" workbookViewId="0">
      <pane xSplit="4" ySplit="3" topLeftCell="E119" activePane="bottomRight" state="frozen"/>
      <selection pane="topRight" activeCell="E1" sqref="E1"/>
      <selection pane="bottomLeft" activeCell="A4" sqref="A4"/>
      <selection pane="bottomRight" activeCell="G120" sqref="G120:G123"/>
    </sheetView>
  </sheetViews>
  <sheetFormatPr defaultColWidth="8.81640625" defaultRowHeight="14.5" x14ac:dyDescent="0.35"/>
  <cols>
    <col min="1" max="1" width="7.81640625" style="22" customWidth="1"/>
    <col min="2" max="2" width="13.453125" style="22" customWidth="1"/>
    <col min="3" max="3" width="17.453125" style="22" customWidth="1"/>
    <col min="4" max="4" width="18.54296875" style="22" customWidth="1"/>
    <col min="5" max="5" width="17" style="22" customWidth="1"/>
    <col min="6" max="6" width="20.26953125" style="22" customWidth="1"/>
    <col min="7" max="7" width="12.453125" style="22" customWidth="1"/>
    <col min="8" max="8" width="16.1796875" style="22" customWidth="1"/>
    <col min="9" max="9" width="7.81640625" style="22" customWidth="1"/>
    <col min="10" max="10" width="8" style="22" customWidth="1"/>
    <col min="11" max="14" width="7.81640625" style="22" customWidth="1"/>
    <col min="15" max="15" width="8.1796875" style="22" customWidth="1"/>
    <col min="16" max="16" width="6.81640625" style="22" customWidth="1"/>
    <col min="17" max="19" width="7.81640625" style="22" customWidth="1"/>
    <col min="20" max="20" width="8.453125" style="22" customWidth="1"/>
    <col min="21" max="21" width="11" style="22" customWidth="1"/>
    <col min="22" max="22" width="13" style="22" customWidth="1"/>
    <col min="23" max="23" width="8.81640625" style="22"/>
    <col min="24" max="24" width="18.81640625" style="22" customWidth="1"/>
    <col min="25" max="25" width="11" style="22" customWidth="1"/>
    <col min="26" max="27" width="8.81640625" style="22"/>
    <col min="28" max="28" width="15.1796875" style="22" bestFit="1" customWidth="1"/>
    <col min="29" max="29" width="16.54296875" style="22" bestFit="1" customWidth="1"/>
    <col min="30" max="30" width="25.81640625" style="22" bestFit="1" customWidth="1"/>
    <col min="31" max="16384" width="8.81640625" style="22"/>
  </cols>
  <sheetData>
    <row r="1" spans="1:25" ht="18.75" x14ac:dyDescent="0.3">
      <c r="A1" s="239" t="s">
        <v>201</v>
      </c>
      <c r="B1" s="240"/>
      <c r="C1" s="240"/>
      <c r="D1" s="240"/>
      <c r="E1" s="240"/>
      <c r="F1" s="240"/>
      <c r="G1" s="240"/>
      <c r="H1" s="241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5" ht="28" customHeight="1" x14ac:dyDescent="0.35">
      <c r="A2" s="232" t="s">
        <v>151</v>
      </c>
      <c r="B2" s="232" t="s">
        <v>34</v>
      </c>
      <c r="C2" s="232" t="s">
        <v>12</v>
      </c>
      <c r="D2" s="232" t="s">
        <v>150</v>
      </c>
      <c r="E2" s="232" t="s">
        <v>149</v>
      </c>
      <c r="F2" s="232" t="s">
        <v>148</v>
      </c>
      <c r="G2" s="232" t="s">
        <v>209</v>
      </c>
      <c r="H2" s="232" t="s">
        <v>147</v>
      </c>
      <c r="I2" s="236" t="s">
        <v>146</v>
      </c>
      <c r="J2" s="237"/>
      <c r="K2" s="238"/>
      <c r="L2" s="236" t="s">
        <v>204</v>
      </c>
      <c r="M2" s="237"/>
      <c r="N2" s="238"/>
      <c r="O2" s="236" t="s">
        <v>211</v>
      </c>
      <c r="P2" s="237"/>
      <c r="Q2" s="238"/>
      <c r="R2" s="236" t="s">
        <v>208</v>
      </c>
      <c r="S2" s="237"/>
      <c r="T2" s="238"/>
      <c r="U2" s="234" t="s">
        <v>210</v>
      </c>
      <c r="V2" s="234" t="s">
        <v>212</v>
      </c>
      <c r="W2" s="234" t="s">
        <v>143</v>
      </c>
      <c r="X2" s="232" t="s">
        <v>39</v>
      </c>
      <c r="Y2" s="232" t="s">
        <v>38</v>
      </c>
    </row>
    <row r="3" spans="1:25" ht="33" customHeight="1" x14ac:dyDescent="0.35">
      <c r="A3" s="233"/>
      <c r="B3" s="233"/>
      <c r="C3" s="233"/>
      <c r="D3" s="233"/>
      <c r="E3" s="233"/>
      <c r="F3" s="233"/>
      <c r="G3" s="233"/>
      <c r="H3" s="233"/>
      <c r="I3" s="57" t="s">
        <v>43</v>
      </c>
      <c r="J3" s="57" t="s">
        <v>42</v>
      </c>
      <c r="K3" s="57" t="s">
        <v>41</v>
      </c>
      <c r="L3" s="60" t="s">
        <v>205</v>
      </c>
      <c r="M3" s="60" t="s">
        <v>206</v>
      </c>
      <c r="N3" s="60" t="s">
        <v>207</v>
      </c>
      <c r="O3" s="60" t="s">
        <v>205</v>
      </c>
      <c r="P3" s="60" t="s">
        <v>206</v>
      </c>
      <c r="Q3" s="60" t="s">
        <v>207</v>
      </c>
      <c r="R3" s="60" t="s">
        <v>205</v>
      </c>
      <c r="S3" s="60" t="s">
        <v>206</v>
      </c>
      <c r="T3" s="60" t="s">
        <v>207</v>
      </c>
      <c r="U3" s="235"/>
      <c r="V3" s="235"/>
      <c r="W3" s="235"/>
      <c r="X3" s="233"/>
      <c r="Y3" s="233"/>
    </row>
    <row r="4" spans="1:25" ht="15.65" customHeight="1" x14ac:dyDescent="0.35">
      <c r="A4" s="243" t="s">
        <v>142</v>
      </c>
      <c r="B4" s="242">
        <v>46174</v>
      </c>
      <c r="C4" s="58">
        <v>0</v>
      </c>
      <c r="D4" s="229" t="s">
        <v>203</v>
      </c>
      <c r="E4" s="224" t="s">
        <v>194</v>
      </c>
      <c r="F4" s="224" t="s">
        <v>218</v>
      </c>
      <c r="G4" s="224">
        <v>200</v>
      </c>
      <c r="H4" s="224" t="s">
        <v>217</v>
      </c>
      <c r="I4" s="17">
        <f>'1'!$E$6+'1'!$Q$6</f>
        <v>0</v>
      </c>
      <c r="J4" s="17">
        <f>'1'!$F$6+'1'!$R$6</f>
        <v>0</v>
      </c>
      <c r="K4" s="17">
        <f>'1'!$G$6+'1'!$S$6</f>
        <v>0</v>
      </c>
      <c r="L4" s="17">
        <f>'1'!$BC6</f>
        <v>0</v>
      </c>
      <c r="M4" s="17">
        <f>'1'!$BD6</f>
        <v>0</v>
      </c>
      <c r="N4" s="17">
        <f>'1'!$BE6</f>
        <v>0</v>
      </c>
      <c r="O4" s="61">
        <f>'1'!$AW6</f>
        <v>0</v>
      </c>
      <c r="P4" s="61">
        <f>'1'!$AX6</f>
        <v>0</v>
      </c>
      <c r="Q4" s="61">
        <f>'1'!$AY6</f>
        <v>0</v>
      </c>
      <c r="R4" s="62">
        <f>'1'!$AZ6</f>
        <v>0</v>
      </c>
      <c r="S4" s="62">
        <f>'1'!$BA6</f>
        <v>0</v>
      </c>
      <c r="T4" s="62">
        <f>'1'!$BB6</f>
        <v>0</v>
      </c>
      <c r="U4" s="63">
        <f>'1'!$AV6</f>
        <v>0</v>
      </c>
      <c r="V4" s="17">
        <f>'1'!$AU6</f>
        <v>0</v>
      </c>
      <c r="W4" s="224">
        <v>4</v>
      </c>
      <c r="X4" s="17">
        <f>'1'!CC$6</f>
        <v>0</v>
      </c>
      <c r="Y4" s="59" t="s">
        <v>227</v>
      </c>
    </row>
    <row r="5" spans="1:25" ht="15.65" customHeight="1" x14ac:dyDescent="0.35">
      <c r="A5" s="243"/>
      <c r="B5" s="242"/>
      <c r="C5" s="58">
        <v>0.25</v>
      </c>
      <c r="D5" s="230"/>
      <c r="E5" s="225"/>
      <c r="F5" s="225"/>
      <c r="G5" s="225"/>
      <c r="H5" s="225"/>
      <c r="I5" s="17">
        <f>'1'!$E$12+'1'!$Q$12</f>
        <v>0</v>
      </c>
      <c r="J5" s="17">
        <f>'1'!$F$12+'1'!$R$12</f>
        <v>0</v>
      </c>
      <c r="K5" s="17">
        <f>'1'!$G$12+'1'!$S$12</f>
        <v>0</v>
      </c>
      <c r="L5" s="17">
        <f>'1'!$BC12</f>
        <v>0</v>
      </c>
      <c r="M5" s="17">
        <f>'1'!$BD12</f>
        <v>0</v>
      </c>
      <c r="N5" s="17">
        <f>'1'!$BE12</f>
        <v>0</v>
      </c>
      <c r="O5" s="61">
        <f>'1'!$AW12</f>
        <v>0</v>
      </c>
      <c r="P5" s="61">
        <f>'1'!$AX12</f>
        <v>0</v>
      </c>
      <c r="Q5" s="61">
        <f>'1'!$AY12</f>
        <v>0</v>
      </c>
      <c r="R5" s="62">
        <f>'1'!$AZ12</f>
        <v>0</v>
      </c>
      <c r="S5" s="62">
        <f>'1'!$BA12</f>
        <v>0</v>
      </c>
      <c r="T5" s="62">
        <f>'1'!$BB12</f>
        <v>0</v>
      </c>
      <c r="U5" s="63">
        <f>'1'!$AV12</f>
        <v>0</v>
      </c>
      <c r="V5" s="17">
        <f>'1'!$AU12</f>
        <v>0</v>
      </c>
      <c r="W5" s="225"/>
      <c r="X5" s="17">
        <f>'1'!CC$12</f>
        <v>0</v>
      </c>
      <c r="Y5" s="59" t="s">
        <v>227</v>
      </c>
    </row>
    <row r="6" spans="1:25" ht="15.65" customHeight="1" x14ac:dyDescent="0.35">
      <c r="A6" s="243"/>
      <c r="B6" s="242"/>
      <c r="C6" s="58">
        <v>0.5</v>
      </c>
      <c r="D6" s="230"/>
      <c r="E6" s="225"/>
      <c r="F6" s="225"/>
      <c r="G6" s="225"/>
      <c r="H6" s="225"/>
      <c r="I6" s="17">
        <f>'1'!$E$18+'1'!$Q$18</f>
        <v>0</v>
      </c>
      <c r="J6" s="17">
        <f>'1'!$F$18+'1'!$R$18</f>
        <v>0</v>
      </c>
      <c r="K6" s="17">
        <f>'1'!$G$18+'1'!$S$18</f>
        <v>0</v>
      </c>
      <c r="L6" s="17">
        <f>'1'!$BC18</f>
        <v>0</v>
      </c>
      <c r="M6" s="17">
        <f>'1'!$BD18</f>
        <v>0</v>
      </c>
      <c r="N6" s="17">
        <f>'1'!$BE18</f>
        <v>0</v>
      </c>
      <c r="O6" s="61">
        <f>'1'!$AW18</f>
        <v>0</v>
      </c>
      <c r="P6" s="61">
        <f>'1'!$AX18</f>
        <v>0</v>
      </c>
      <c r="Q6" s="61">
        <f>'1'!$AY18</f>
        <v>0</v>
      </c>
      <c r="R6" s="62">
        <f>'1'!$AZ18</f>
        <v>0</v>
      </c>
      <c r="S6" s="62">
        <f>'1'!$BA18</f>
        <v>0</v>
      </c>
      <c r="T6" s="62">
        <f>'1'!$BB18</f>
        <v>0</v>
      </c>
      <c r="U6" s="63">
        <f>'1'!$AV18</f>
        <v>0</v>
      </c>
      <c r="V6" s="17">
        <f>'1'!$AU18</f>
        <v>0</v>
      </c>
      <c r="W6" s="225"/>
      <c r="X6" s="17">
        <f>'1'!CC$18</f>
        <v>0</v>
      </c>
      <c r="Y6" s="59" t="s">
        <v>227</v>
      </c>
    </row>
    <row r="7" spans="1:25" ht="15.65" customHeight="1" x14ac:dyDescent="0.35">
      <c r="A7" s="243"/>
      <c r="B7" s="242"/>
      <c r="C7" s="58">
        <v>0.75</v>
      </c>
      <c r="D7" s="231"/>
      <c r="E7" s="228"/>
      <c r="F7" s="228"/>
      <c r="G7" s="228"/>
      <c r="H7" s="228"/>
      <c r="I7" s="17">
        <f>'1'!$E$24+'1'!$Q$24</f>
        <v>0</v>
      </c>
      <c r="J7" s="17">
        <f>'1'!$F$24+'1'!$R$24</f>
        <v>0</v>
      </c>
      <c r="K7" s="17">
        <f>'1'!$G$24+'1'!$S$24</f>
        <v>0</v>
      </c>
      <c r="L7" s="17">
        <f>'1'!$BC24</f>
        <v>0</v>
      </c>
      <c r="M7" s="17">
        <f>'1'!$BD24</f>
        <v>0</v>
      </c>
      <c r="N7" s="17">
        <f>'1'!$BE24</f>
        <v>0</v>
      </c>
      <c r="O7" s="61">
        <f>'1'!$AW24</f>
        <v>0</v>
      </c>
      <c r="P7" s="61">
        <f>'1'!$AX24</f>
        <v>0</v>
      </c>
      <c r="Q7" s="61">
        <f>'1'!$AY24</f>
        <v>0</v>
      </c>
      <c r="R7" s="62">
        <f>'1'!$AZ24</f>
        <v>0</v>
      </c>
      <c r="S7" s="62">
        <f>'1'!$BA24</f>
        <v>0</v>
      </c>
      <c r="T7" s="62">
        <f>'1'!$BB24</f>
        <v>0</v>
      </c>
      <c r="U7" s="63">
        <f>'1'!$AV24</f>
        <v>0</v>
      </c>
      <c r="V7" s="17">
        <f>'1'!$AU24</f>
        <v>0</v>
      </c>
      <c r="W7" s="228"/>
      <c r="X7" s="17">
        <f>'1'!CC$24</f>
        <v>0</v>
      </c>
      <c r="Y7" s="59" t="s">
        <v>227</v>
      </c>
    </row>
    <row r="8" spans="1:25" ht="15.65" customHeight="1" x14ac:dyDescent="0.35">
      <c r="A8" s="243" t="s">
        <v>142</v>
      </c>
      <c r="B8" s="242">
        <v>46175</v>
      </c>
      <c r="C8" s="58">
        <v>5</v>
      </c>
      <c r="D8" s="229" t="s">
        <v>203</v>
      </c>
      <c r="E8" s="224" t="s">
        <v>194</v>
      </c>
      <c r="F8" s="224" t="s">
        <v>218</v>
      </c>
      <c r="G8" s="224">
        <v>200</v>
      </c>
      <c r="H8" s="224" t="s">
        <v>217</v>
      </c>
      <c r="I8" s="17">
        <f>'2'!$E$6+'2'!$Q$6</f>
        <v>0</v>
      </c>
      <c r="J8" s="17">
        <f>'2'!$F$6+'2'!$R$6</f>
        <v>0</v>
      </c>
      <c r="K8" s="17">
        <f>'2'!$G$6+'2'!$S$6</f>
        <v>0</v>
      </c>
      <c r="L8" s="17">
        <f>'2'!$BC6</f>
        <v>0</v>
      </c>
      <c r="M8" s="17">
        <f>'2'!$BD6</f>
        <v>0</v>
      </c>
      <c r="N8" s="17">
        <f>'2'!$BE6</f>
        <v>0</v>
      </c>
      <c r="O8" s="61">
        <f>'2'!$AW6</f>
        <v>0</v>
      </c>
      <c r="P8" s="61">
        <f>'2'!$AX6</f>
        <v>0</v>
      </c>
      <c r="Q8" s="61">
        <f>'2'!$AY6</f>
        <v>0</v>
      </c>
      <c r="R8" s="62">
        <f>'2'!$AZ6</f>
        <v>0</v>
      </c>
      <c r="S8" s="62">
        <f>'2'!$BA6</f>
        <v>0</v>
      </c>
      <c r="T8" s="62">
        <f>'2'!$BB6</f>
        <v>0</v>
      </c>
      <c r="U8" s="63">
        <f>'2'!$AV6</f>
        <v>0</v>
      </c>
      <c r="V8" s="17">
        <f>'2'!$AU6</f>
        <v>0</v>
      </c>
      <c r="W8" s="224">
        <v>4</v>
      </c>
      <c r="X8" s="17">
        <f>'2'!CC$6</f>
        <v>0</v>
      </c>
      <c r="Y8" s="59" t="s">
        <v>227</v>
      </c>
    </row>
    <row r="9" spans="1:25" ht="15.65" customHeight="1" x14ac:dyDescent="0.35">
      <c r="A9" s="243"/>
      <c r="B9" s="242"/>
      <c r="C9" s="58">
        <v>5.25</v>
      </c>
      <c r="D9" s="230"/>
      <c r="E9" s="225"/>
      <c r="F9" s="225"/>
      <c r="G9" s="225"/>
      <c r="H9" s="225"/>
      <c r="I9" s="17">
        <f>'2'!$E$12+'2'!$Q$12</f>
        <v>0</v>
      </c>
      <c r="J9" s="17">
        <f>'2'!$F$12+'2'!$R$12</f>
        <v>0</v>
      </c>
      <c r="K9" s="17">
        <f>'2'!$G$12+'2'!$S$12</f>
        <v>0</v>
      </c>
      <c r="L9" s="17">
        <f>'2'!$BC12</f>
        <v>0</v>
      </c>
      <c r="M9" s="17">
        <f>'2'!$BD12</f>
        <v>0</v>
      </c>
      <c r="N9" s="17">
        <f>'2'!$BE12</f>
        <v>0</v>
      </c>
      <c r="O9" s="61">
        <f>'2'!$AW12</f>
        <v>0</v>
      </c>
      <c r="P9" s="61">
        <f>'2'!$AX12</f>
        <v>0</v>
      </c>
      <c r="Q9" s="61">
        <f>'2'!$AY12</f>
        <v>0</v>
      </c>
      <c r="R9" s="62">
        <f>'2'!$AZ12</f>
        <v>0</v>
      </c>
      <c r="S9" s="62">
        <f>'2'!$BA12</f>
        <v>0</v>
      </c>
      <c r="T9" s="62">
        <f>'2'!$BB12</f>
        <v>0</v>
      </c>
      <c r="U9" s="63">
        <f>'2'!$AV12</f>
        <v>0</v>
      </c>
      <c r="V9" s="17">
        <f>'2'!$AU12</f>
        <v>0</v>
      </c>
      <c r="W9" s="225"/>
      <c r="X9" s="17">
        <f>'2'!CC$12</f>
        <v>0</v>
      </c>
      <c r="Y9" s="59" t="s">
        <v>227</v>
      </c>
    </row>
    <row r="10" spans="1:25" ht="15.65" customHeight="1" x14ac:dyDescent="0.35">
      <c r="A10" s="243"/>
      <c r="B10" s="242"/>
      <c r="C10" s="58">
        <v>5.5</v>
      </c>
      <c r="D10" s="230"/>
      <c r="E10" s="225"/>
      <c r="F10" s="225"/>
      <c r="G10" s="225"/>
      <c r="H10" s="225"/>
      <c r="I10" s="17">
        <f>'2'!$E$18+'2'!$Q$18</f>
        <v>0</v>
      </c>
      <c r="J10" s="17">
        <f>'2'!$F$18+'2'!$R$18</f>
        <v>0</v>
      </c>
      <c r="K10" s="17">
        <f>'2'!$G$18+'2'!$S$18</f>
        <v>0</v>
      </c>
      <c r="L10" s="17">
        <f>'2'!$BC18</f>
        <v>0</v>
      </c>
      <c r="M10" s="17">
        <f>'2'!$BD18</f>
        <v>0</v>
      </c>
      <c r="N10" s="17">
        <f>'2'!$BE18</f>
        <v>0</v>
      </c>
      <c r="O10" s="61">
        <f>'2'!$AW18</f>
        <v>0</v>
      </c>
      <c r="P10" s="61">
        <f>'2'!$AX18</f>
        <v>0</v>
      </c>
      <c r="Q10" s="61">
        <f>'2'!$AY18</f>
        <v>0</v>
      </c>
      <c r="R10" s="62">
        <f>'2'!$AZ18</f>
        <v>0</v>
      </c>
      <c r="S10" s="62">
        <f>'2'!$BA18</f>
        <v>0</v>
      </c>
      <c r="T10" s="62">
        <f>'2'!$BB18</f>
        <v>0</v>
      </c>
      <c r="U10" s="63">
        <f>'2'!$AV18</f>
        <v>0</v>
      </c>
      <c r="V10" s="17">
        <f>'2'!$AU18</f>
        <v>0</v>
      </c>
      <c r="W10" s="225"/>
      <c r="X10" s="17">
        <f>'2'!CC$18</f>
        <v>0</v>
      </c>
      <c r="Y10" s="59" t="s">
        <v>227</v>
      </c>
    </row>
    <row r="11" spans="1:25" ht="15.65" customHeight="1" x14ac:dyDescent="0.35">
      <c r="A11" s="243"/>
      <c r="B11" s="242"/>
      <c r="C11" s="58">
        <v>5.75</v>
      </c>
      <c r="D11" s="231"/>
      <c r="E11" s="228"/>
      <c r="F11" s="228"/>
      <c r="G11" s="228"/>
      <c r="H11" s="228"/>
      <c r="I11" s="17">
        <f>'2'!$E$24+'2'!$Q$24</f>
        <v>0</v>
      </c>
      <c r="J11" s="17">
        <f>'2'!$F$24+'2'!$R$24</f>
        <v>0</v>
      </c>
      <c r="K11" s="17">
        <f>'2'!$G$24+'2'!$S$24</f>
        <v>0</v>
      </c>
      <c r="L11" s="17">
        <f>'2'!$BC24</f>
        <v>0</v>
      </c>
      <c r="M11" s="17">
        <f>'2'!$BD24</f>
        <v>0</v>
      </c>
      <c r="N11" s="17">
        <f>'2'!$BE24</f>
        <v>0</v>
      </c>
      <c r="O11" s="61">
        <f>'2'!$AW24</f>
        <v>0</v>
      </c>
      <c r="P11" s="61">
        <f>'2'!$AX24</f>
        <v>0</v>
      </c>
      <c r="Q11" s="61">
        <f>'2'!$AY24</f>
        <v>0</v>
      </c>
      <c r="R11" s="62">
        <f>'2'!$AZ24</f>
        <v>0</v>
      </c>
      <c r="S11" s="62">
        <f>'2'!$BA24</f>
        <v>0</v>
      </c>
      <c r="T11" s="62">
        <f>'2'!$BB24</f>
        <v>0</v>
      </c>
      <c r="U11" s="63">
        <f>'2'!$AV24</f>
        <v>0</v>
      </c>
      <c r="V11" s="17">
        <f>'2'!$AU24</f>
        <v>0</v>
      </c>
      <c r="W11" s="228"/>
      <c r="X11" s="17">
        <f>'2'!CC$24</f>
        <v>0</v>
      </c>
      <c r="Y11" s="59" t="s">
        <v>227</v>
      </c>
    </row>
    <row r="12" spans="1:25" ht="15.65" customHeight="1" x14ac:dyDescent="0.35">
      <c r="A12" s="243" t="s">
        <v>142</v>
      </c>
      <c r="B12" s="242">
        <v>46176</v>
      </c>
      <c r="C12" s="58">
        <v>9</v>
      </c>
      <c r="D12" s="229" t="s">
        <v>203</v>
      </c>
      <c r="E12" s="224" t="s">
        <v>194</v>
      </c>
      <c r="F12" s="224" t="s">
        <v>218</v>
      </c>
      <c r="G12" s="224">
        <v>200</v>
      </c>
      <c r="H12" s="224" t="s">
        <v>217</v>
      </c>
      <c r="I12" s="17">
        <f>'3'!$E$6+'3'!$Q$6</f>
        <v>0</v>
      </c>
      <c r="J12" s="17">
        <f>'3'!$F$6+'3'!$R$6</f>
        <v>0</v>
      </c>
      <c r="K12" s="17">
        <f>'3'!$G$6+'3'!$S$6</f>
        <v>0</v>
      </c>
      <c r="L12" s="17">
        <f>'3'!$BC6</f>
        <v>0</v>
      </c>
      <c r="M12" s="17">
        <f>'3'!$BD6</f>
        <v>0</v>
      </c>
      <c r="N12" s="17">
        <f>'3'!$BE6</f>
        <v>0</v>
      </c>
      <c r="O12" s="61">
        <f>'3'!$AW6</f>
        <v>0</v>
      </c>
      <c r="P12" s="61">
        <f>'3'!$AX6</f>
        <v>0</v>
      </c>
      <c r="Q12" s="61">
        <f>'3'!$AY6</f>
        <v>0</v>
      </c>
      <c r="R12" s="62">
        <f>'3'!$AZ6</f>
        <v>0</v>
      </c>
      <c r="S12" s="62">
        <f>'3'!$BA6</f>
        <v>0</v>
      </c>
      <c r="T12" s="62">
        <f>'3'!$BB6</f>
        <v>0</v>
      </c>
      <c r="U12" s="63">
        <f>'3'!$AV6</f>
        <v>0</v>
      </c>
      <c r="V12" s="17">
        <f>'3'!$AU6</f>
        <v>0</v>
      </c>
      <c r="W12" s="224">
        <v>4</v>
      </c>
      <c r="X12" s="17">
        <f>'3'!CC$6</f>
        <v>0</v>
      </c>
      <c r="Y12" s="59" t="s">
        <v>227</v>
      </c>
    </row>
    <row r="13" spans="1:25" ht="15.65" customHeight="1" x14ac:dyDescent="0.35">
      <c r="A13" s="243"/>
      <c r="B13" s="242"/>
      <c r="C13" s="58">
        <v>9.25</v>
      </c>
      <c r="D13" s="230"/>
      <c r="E13" s="225"/>
      <c r="F13" s="225"/>
      <c r="G13" s="225"/>
      <c r="H13" s="225"/>
      <c r="I13" s="17">
        <f>'3'!$E$12+'3'!$Q$12</f>
        <v>0</v>
      </c>
      <c r="J13" s="17">
        <f>'3'!$F$12+'3'!$R$12</f>
        <v>0</v>
      </c>
      <c r="K13" s="17">
        <f>'3'!$G$12+'3'!$S$12</f>
        <v>0</v>
      </c>
      <c r="L13" s="17">
        <f>'3'!$BC12</f>
        <v>0</v>
      </c>
      <c r="M13" s="17">
        <f>'3'!$BD12</f>
        <v>0</v>
      </c>
      <c r="N13" s="17">
        <f>'3'!$BE12</f>
        <v>0</v>
      </c>
      <c r="O13" s="61">
        <f>'3'!$AW12</f>
        <v>0</v>
      </c>
      <c r="P13" s="61">
        <f>'3'!$AX12</f>
        <v>0</v>
      </c>
      <c r="Q13" s="61">
        <f>'3'!$AY12</f>
        <v>0</v>
      </c>
      <c r="R13" s="62">
        <f>'3'!$AZ12</f>
        <v>0</v>
      </c>
      <c r="S13" s="62">
        <f>'3'!$BA12</f>
        <v>0</v>
      </c>
      <c r="T13" s="62">
        <f>'3'!$BB12</f>
        <v>0</v>
      </c>
      <c r="U13" s="63">
        <f>'3'!$AV12</f>
        <v>0</v>
      </c>
      <c r="V13" s="17">
        <f>'3'!$AU12</f>
        <v>0</v>
      </c>
      <c r="W13" s="225"/>
      <c r="X13" s="17">
        <f>'3'!CC$12</f>
        <v>0</v>
      </c>
      <c r="Y13" s="59" t="s">
        <v>227</v>
      </c>
    </row>
    <row r="14" spans="1:25" ht="15.65" customHeight="1" x14ac:dyDescent="0.35">
      <c r="A14" s="243"/>
      <c r="B14" s="242"/>
      <c r="C14" s="58">
        <v>9.5</v>
      </c>
      <c r="D14" s="230"/>
      <c r="E14" s="225"/>
      <c r="F14" s="225"/>
      <c r="G14" s="225"/>
      <c r="H14" s="225"/>
      <c r="I14" s="17">
        <f>'3'!$E$18+'3'!$Q$18</f>
        <v>0</v>
      </c>
      <c r="J14" s="17">
        <f>'3'!$F$18+'3'!$R$18</f>
        <v>0</v>
      </c>
      <c r="K14" s="17">
        <f>'3'!$G$18+'3'!$S$18</f>
        <v>0</v>
      </c>
      <c r="L14" s="17">
        <f>'3'!$BC18</f>
        <v>0</v>
      </c>
      <c r="M14" s="17">
        <f>'3'!$BD18</f>
        <v>0</v>
      </c>
      <c r="N14" s="17">
        <f>'3'!$BE18</f>
        <v>0</v>
      </c>
      <c r="O14" s="61">
        <f>'3'!$AW18</f>
        <v>0</v>
      </c>
      <c r="P14" s="61">
        <f>'3'!$AX18</f>
        <v>0</v>
      </c>
      <c r="Q14" s="61">
        <f>'3'!$AY18</f>
        <v>0</v>
      </c>
      <c r="R14" s="62">
        <f>'3'!$AZ18</f>
        <v>0</v>
      </c>
      <c r="S14" s="62">
        <f>'3'!$BA18</f>
        <v>0</v>
      </c>
      <c r="T14" s="62">
        <f>'3'!$BB18</f>
        <v>0</v>
      </c>
      <c r="U14" s="63">
        <f>'3'!$AV18</f>
        <v>0</v>
      </c>
      <c r="V14" s="17">
        <f>'3'!$AU18</f>
        <v>0</v>
      </c>
      <c r="W14" s="225"/>
      <c r="X14" s="17">
        <f>'3'!CC$18</f>
        <v>0</v>
      </c>
      <c r="Y14" s="59" t="s">
        <v>227</v>
      </c>
    </row>
    <row r="15" spans="1:25" ht="15.65" customHeight="1" x14ac:dyDescent="0.35">
      <c r="A15" s="243"/>
      <c r="B15" s="242"/>
      <c r="C15" s="58">
        <v>9.75</v>
      </c>
      <c r="D15" s="231"/>
      <c r="E15" s="228"/>
      <c r="F15" s="228"/>
      <c r="G15" s="228"/>
      <c r="H15" s="228"/>
      <c r="I15" s="17">
        <f>'3'!$E$24+'3'!$Q$24</f>
        <v>0</v>
      </c>
      <c r="J15" s="17">
        <f>'3'!$F$24+'3'!$R$24</f>
        <v>0</v>
      </c>
      <c r="K15" s="17">
        <f>'3'!$G$24+'3'!$S$24</f>
        <v>0</v>
      </c>
      <c r="L15" s="17">
        <f>'3'!$BC24</f>
        <v>0</v>
      </c>
      <c r="M15" s="17">
        <f>'3'!$BD24</f>
        <v>0</v>
      </c>
      <c r="N15" s="17">
        <f>'3'!$BE24</f>
        <v>0</v>
      </c>
      <c r="O15" s="61">
        <f>'3'!$AW24</f>
        <v>0</v>
      </c>
      <c r="P15" s="61">
        <f>'3'!$AX24</f>
        <v>0</v>
      </c>
      <c r="Q15" s="61">
        <f>'3'!$AY24</f>
        <v>0</v>
      </c>
      <c r="R15" s="62">
        <f>'3'!$AZ24</f>
        <v>0</v>
      </c>
      <c r="S15" s="62">
        <f>'3'!$BA24</f>
        <v>0</v>
      </c>
      <c r="T15" s="62">
        <f>'3'!$BB24</f>
        <v>0</v>
      </c>
      <c r="U15" s="63">
        <f>'3'!$AV24</f>
        <v>0</v>
      </c>
      <c r="V15" s="17">
        <f>'3'!$AU24</f>
        <v>0</v>
      </c>
      <c r="W15" s="228"/>
      <c r="X15" s="17">
        <f>'3'!CC$24</f>
        <v>0</v>
      </c>
      <c r="Y15" s="59" t="s">
        <v>227</v>
      </c>
    </row>
    <row r="16" spans="1:25" ht="15.65" customHeight="1" x14ac:dyDescent="0.35">
      <c r="A16" s="243" t="s">
        <v>142</v>
      </c>
      <c r="B16" s="242">
        <v>46177</v>
      </c>
      <c r="C16" s="58">
        <v>13</v>
      </c>
      <c r="D16" s="229" t="s">
        <v>203</v>
      </c>
      <c r="E16" s="224" t="s">
        <v>194</v>
      </c>
      <c r="F16" s="224" t="s">
        <v>218</v>
      </c>
      <c r="G16" s="224">
        <v>200</v>
      </c>
      <c r="H16" s="224" t="s">
        <v>217</v>
      </c>
      <c r="I16" s="17">
        <f>'4'!$E$6+'4'!$Q$6</f>
        <v>0</v>
      </c>
      <c r="J16" s="17">
        <f>'4'!$F$6+'4'!$R$6</f>
        <v>0</v>
      </c>
      <c r="K16" s="17">
        <f>'4'!$G$6+'4'!$S$6</f>
        <v>0</v>
      </c>
      <c r="L16" s="17">
        <f>'4'!$BC6</f>
        <v>0</v>
      </c>
      <c r="M16" s="17">
        <f>'4'!$BD6</f>
        <v>0</v>
      </c>
      <c r="N16" s="17">
        <f>'4'!$BE6</f>
        <v>0</v>
      </c>
      <c r="O16" s="61">
        <f>'4'!$AW6</f>
        <v>0</v>
      </c>
      <c r="P16" s="61">
        <f>'4'!$AX6</f>
        <v>0</v>
      </c>
      <c r="Q16" s="61">
        <f>'4'!$AY6</f>
        <v>0</v>
      </c>
      <c r="R16" s="62">
        <f>'4'!$AZ6</f>
        <v>0</v>
      </c>
      <c r="S16" s="62">
        <f>'4'!$BA6</f>
        <v>0</v>
      </c>
      <c r="T16" s="62">
        <f>'4'!$BB6</f>
        <v>0</v>
      </c>
      <c r="U16" s="63">
        <f>'4'!$AV6</f>
        <v>0</v>
      </c>
      <c r="V16" s="17">
        <f>'4'!$AU6</f>
        <v>0</v>
      </c>
      <c r="W16" s="224">
        <v>4</v>
      </c>
      <c r="X16" s="17">
        <f>'4'!CC$6</f>
        <v>0</v>
      </c>
      <c r="Y16" s="59" t="s">
        <v>227</v>
      </c>
    </row>
    <row r="17" spans="1:25" ht="15.65" customHeight="1" x14ac:dyDescent="0.35">
      <c r="A17" s="243"/>
      <c r="B17" s="242"/>
      <c r="C17" s="58">
        <v>13.25</v>
      </c>
      <c r="D17" s="230"/>
      <c r="E17" s="225"/>
      <c r="F17" s="225"/>
      <c r="G17" s="225"/>
      <c r="H17" s="225"/>
      <c r="I17" s="17">
        <f>'4'!$E$12+'4'!$Q$12</f>
        <v>0</v>
      </c>
      <c r="J17" s="17">
        <f>'4'!$F$12+'4'!$R$12</f>
        <v>0</v>
      </c>
      <c r="K17" s="17">
        <f>'4'!$G$12+'4'!$S$12</f>
        <v>0</v>
      </c>
      <c r="L17" s="17">
        <f>'4'!$BC12</f>
        <v>0</v>
      </c>
      <c r="M17" s="17">
        <f>'4'!$BD12</f>
        <v>0</v>
      </c>
      <c r="N17" s="17">
        <f>'4'!$BE12</f>
        <v>0</v>
      </c>
      <c r="O17" s="61">
        <f>'4'!$AW12</f>
        <v>0</v>
      </c>
      <c r="P17" s="61">
        <f>'4'!$AX12</f>
        <v>0</v>
      </c>
      <c r="Q17" s="61">
        <f>'4'!$AY12</f>
        <v>0</v>
      </c>
      <c r="R17" s="62">
        <f>'4'!$AZ12</f>
        <v>0</v>
      </c>
      <c r="S17" s="62">
        <f>'4'!$BA12</f>
        <v>0</v>
      </c>
      <c r="T17" s="62">
        <f>'4'!$BB12</f>
        <v>0</v>
      </c>
      <c r="U17" s="63">
        <f>'4'!$AV12</f>
        <v>0</v>
      </c>
      <c r="V17" s="17">
        <f>'4'!$AU12</f>
        <v>0</v>
      </c>
      <c r="W17" s="225"/>
      <c r="X17" s="17">
        <f>'4'!CC$12</f>
        <v>0</v>
      </c>
      <c r="Y17" s="59" t="s">
        <v>227</v>
      </c>
    </row>
    <row r="18" spans="1:25" ht="15.65" customHeight="1" x14ac:dyDescent="0.35">
      <c r="A18" s="243"/>
      <c r="B18" s="242"/>
      <c r="C18" s="58">
        <v>13.5</v>
      </c>
      <c r="D18" s="230"/>
      <c r="E18" s="225"/>
      <c r="F18" s="225"/>
      <c r="G18" s="225"/>
      <c r="H18" s="225"/>
      <c r="I18" s="17">
        <f>'4'!$E$18+'4'!$Q$18</f>
        <v>0</v>
      </c>
      <c r="J18" s="17">
        <f>'4'!$F$18+'4'!$R$18</f>
        <v>0</v>
      </c>
      <c r="K18" s="17">
        <f>'4'!$G$18+'4'!$S$18</f>
        <v>0</v>
      </c>
      <c r="L18" s="17">
        <f>'4'!$BC18</f>
        <v>0</v>
      </c>
      <c r="M18" s="17">
        <f>'4'!$BD18</f>
        <v>0</v>
      </c>
      <c r="N18" s="17">
        <f>'4'!$BE18</f>
        <v>0</v>
      </c>
      <c r="O18" s="61">
        <f>'4'!$AW18</f>
        <v>0</v>
      </c>
      <c r="P18" s="61">
        <f>'4'!$AX18</f>
        <v>0</v>
      </c>
      <c r="Q18" s="61">
        <f>'4'!$AY18</f>
        <v>0</v>
      </c>
      <c r="R18" s="62">
        <f>'4'!$AZ18</f>
        <v>0</v>
      </c>
      <c r="S18" s="62">
        <f>'4'!$BA18</f>
        <v>0</v>
      </c>
      <c r="T18" s="62">
        <f>'4'!$BB18</f>
        <v>0</v>
      </c>
      <c r="U18" s="63">
        <f>'4'!$AV18</f>
        <v>0</v>
      </c>
      <c r="V18" s="17">
        <f>'4'!$AU18</f>
        <v>0</v>
      </c>
      <c r="W18" s="225"/>
      <c r="X18" s="17">
        <f>'4'!CC$18</f>
        <v>0</v>
      </c>
      <c r="Y18" s="59" t="s">
        <v>227</v>
      </c>
    </row>
    <row r="19" spans="1:25" ht="15.65" customHeight="1" x14ac:dyDescent="0.35">
      <c r="A19" s="243"/>
      <c r="B19" s="242"/>
      <c r="C19" s="58">
        <v>13.75</v>
      </c>
      <c r="D19" s="231"/>
      <c r="E19" s="228"/>
      <c r="F19" s="228"/>
      <c r="G19" s="228"/>
      <c r="H19" s="228"/>
      <c r="I19" s="17">
        <f>'4'!$E$24+'4'!$Q$24</f>
        <v>0</v>
      </c>
      <c r="J19" s="17">
        <f>'4'!$F$24+'4'!$R$24</f>
        <v>0</v>
      </c>
      <c r="K19" s="17">
        <f>'4'!$G$24+'4'!$S$24</f>
        <v>0</v>
      </c>
      <c r="L19" s="17">
        <f>'4'!$BC24</f>
        <v>0</v>
      </c>
      <c r="M19" s="17">
        <f>'4'!$BD24</f>
        <v>0</v>
      </c>
      <c r="N19" s="17">
        <f>'4'!$BE24</f>
        <v>0</v>
      </c>
      <c r="O19" s="61">
        <f>'4'!$AW24</f>
        <v>0</v>
      </c>
      <c r="P19" s="61">
        <f>'4'!$AX24</f>
        <v>0</v>
      </c>
      <c r="Q19" s="61">
        <f>'4'!$AY24</f>
        <v>0</v>
      </c>
      <c r="R19" s="62">
        <f>'4'!$AZ24</f>
        <v>0</v>
      </c>
      <c r="S19" s="62">
        <f>'4'!$BA24</f>
        <v>0</v>
      </c>
      <c r="T19" s="62">
        <f>'4'!$BB24</f>
        <v>0</v>
      </c>
      <c r="U19" s="63">
        <f>'4'!$AV24</f>
        <v>0</v>
      </c>
      <c r="V19" s="17">
        <f>'4'!$AU24</f>
        <v>0</v>
      </c>
      <c r="W19" s="228"/>
      <c r="X19" s="17">
        <f>'4'!CC$24</f>
        <v>0</v>
      </c>
      <c r="Y19" s="59" t="s">
        <v>227</v>
      </c>
    </row>
    <row r="20" spans="1:25" ht="15.65" customHeight="1" x14ac:dyDescent="0.35">
      <c r="A20" s="243" t="s">
        <v>142</v>
      </c>
      <c r="B20" s="242">
        <v>46178</v>
      </c>
      <c r="C20" s="58">
        <v>17</v>
      </c>
      <c r="D20" s="229" t="s">
        <v>203</v>
      </c>
      <c r="E20" s="224" t="s">
        <v>194</v>
      </c>
      <c r="F20" s="224" t="s">
        <v>218</v>
      </c>
      <c r="G20" s="224">
        <v>200</v>
      </c>
      <c r="H20" s="224" t="s">
        <v>217</v>
      </c>
      <c r="I20" s="17">
        <f>'5'!$E$6+'5'!$Q$6</f>
        <v>0</v>
      </c>
      <c r="J20" s="17">
        <f>'5'!$F$6+'5'!$R$6</f>
        <v>0</v>
      </c>
      <c r="K20" s="17">
        <f>'5'!$G$6+'5'!$S$6</f>
        <v>0</v>
      </c>
      <c r="L20" s="17">
        <f>'5'!$BC6</f>
        <v>0</v>
      </c>
      <c r="M20" s="17">
        <f>'5'!$BD6</f>
        <v>0</v>
      </c>
      <c r="N20" s="17">
        <f>'5'!$BE6</f>
        <v>0</v>
      </c>
      <c r="O20" s="61">
        <f>'5'!$AW6</f>
        <v>0</v>
      </c>
      <c r="P20" s="61">
        <f>'5'!$AX6</f>
        <v>0</v>
      </c>
      <c r="Q20" s="61">
        <f>'5'!$AY6</f>
        <v>0</v>
      </c>
      <c r="R20" s="62">
        <f>'5'!$AZ6</f>
        <v>0</v>
      </c>
      <c r="S20" s="62">
        <f>'5'!$BA6</f>
        <v>0</v>
      </c>
      <c r="T20" s="62">
        <f>'5'!$BB6</f>
        <v>0</v>
      </c>
      <c r="U20" s="63">
        <f>'5'!$AV6</f>
        <v>0</v>
      </c>
      <c r="V20" s="17">
        <f>'5'!$AU6</f>
        <v>0</v>
      </c>
      <c r="W20" s="224">
        <v>4</v>
      </c>
      <c r="X20" s="17">
        <f>'5'!CC$6</f>
        <v>0</v>
      </c>
      <c r="Y20" s="59" t="s">
        <v>227</v>
      </c>
    </row>
    <row r="21" spans="1:25" ht="15.65" customHeight="1" x14ac:dyDescent="0.35">
      <c r="A21" s="243"/>
      <c r="B21" s="242"/>
      <c r="C21" s="58">
        <v>17.25</v>
      </c>
      <c r="D21" s="230"/>
      <c r="E21" s="225"/>
      <c r="F21" s="225"/>
      <c r="G21" s="225"/>
      <c r="H21" s="225"/>
      <c r="I21" s="17">
        <f>'5'!$E$12+'5'!$Q$12</f>
        <v>0</v>
      </c>
      <c r="J21" s="17">
        <f>'5'!$F$12+'5'!$R$12</f>
        <v>0</v>
      </c>
      <c r="K21" s="17">
        <f>'5'!$G$12+'5'!$S$12</f>
        <v>0</v>
      </c>
      <c r="L21" s="17">
        <f>'5'!$BC12</f>
        <v>0</v>
      </c>
      <c r="M21" s="17">
        <f>'5'!$BD12</f>
        <v>0</v>
      </c>
      <c r="N21" s="17">
        <f>'5'!$BE12</f>
        <v>0</v>
      </c>
      <c r="O21" s="61">
        <f>'5'!$AW12</f>
        <v>0</v>
      </c>
      <c r="P21" s="61">
        <f>'5'!$AX12</f>
        <v>0</v>
      </c>
      <c r="Q21" s="61">
        <f>'5'!$AY12</f>
        <v>0</v>
      </c>
      <c r="R21" s="62">
        <f>'5'!$AZ12</f>
        <v>0</v>
      </c>
      <c r="S21" s="62">
        <f>'5'!$BA12</f>
        <v>0</v>
      </c>
      <c r="T21" s="62">
        <f>'5'!$BB12</f>
        <v>0</v>
      </c>
      <c r="U21" s="63">
        <f>'5'!$AV12</f>
        <v>0</v>
      </c>
      <c r="V21" s="17">
        <f>'5'!$AU12</f>
        <v>0</v>
      </c>
      <c r="W21" s="225"/>
      <c r="X21" s="17">
        <f>'5'!CC$12</f>
        <v>0</v>
      </c>
      <c r="Y21" s="59" t="s">
        <v>227</v>
      </c>
    </row>
    <row r="22" spans="1:25" ht="15.65" customHeight="1" x14ac:dyDescent="0.35">
      <c r="A22" s="243"/>
      <c r="B22" s="242"/>
      <c r="C22" s="58">
        <v>17.5</v>
      </c>
      <c r="D22" s="230"/>
      <c r="E22" s="225"/>
      <c r="F22" s="225"/>
      <c r="G22" s="225"/>
      <c r="H22" s="225"/>
      <c r="I22" s="17">
        <f>'5'!$E$18+'5'!$Q$18</f>
        <v>0</v>
      </c>
      <c r="J22" s="17">
        <f>'5'!$F$18+'5'!$R$18</f>
        <v>0</v>
      </c>
      <c r="K22" s="17">
        <f>'5'!$G$18+'5'!$S$18</f>
        <v>0</v>
      </c>
      <c r="L22" s="17">
        <f>'5'!$BC18</f>
        <v>0</v>
      </c>
      <c r="M22" s="17">
        <f>'5'!$BD18</f>
        <v>0</v>
      </c>
      <c r="N22" s="17">
        <f>'5'!$BE18</f>
        <v>0</v>
      </c>
      <c r="O22" s="61">
        <f>'5'!$AW18</f>
        <v>0</v>
      </c>
      <c r="P22" s="61">
        <f>'5'!$AX18</f>
        <v>0</v>
      </c>
      <c r="Q22" s="61">
        <f>'5'!$AY18</f>
        <v>0</v>
      </c>
      <c r="R22" s="62">
        <f>'5'!$AZ18</f>
        <v>0</v>
      </c>
      <c r="S22" s="62">
        <f>'5'!$BA18</f>
        <v>0</v>
      </c>
      <c r="T22" s="62">
        <f>'5'!$BB18</f>
        <v>0</v>
      </c>
      <c r="U22" s="63">
        <f>'5'!$AV18</f>
        <v>0</v>
      </c>
      <c r="V22" s="17">
        <f>'5'!$AU18</f>
        <v>0</v>
      </c>
      <c r="W22" s="225"/>
      <c r="X22" s="17">
        <f>'5'!CC$18</f>
        <v>0</v>
      </c>
      <c r="Y22" s="59" t="s">
        <v>227</v>
      </c>
    </row>
    <row r="23" spans="1:25" ht="15.65" customHeight="1" x14ac:dyDescent="0.35">
      <c r="A23" s="243"/>
      <c r="B23" s="242"/>
      <c r="C23" s="58">
        <v>17.75</v>
      </c>
      <c r="D23" s="231"/>
      <c r="E23" s="228"/>
      <c r="F23" s="228"/>
      <c r="G23" s="228"/>
      <c r="H23" s="228"/>
      <c r="I23" s="17">
        <f>'5'!$E$24+'5'!$Q$24</f>
        <v>0</v>
      </c>
      <c r="J23" s="17">
        <f>'5'!$F$24+'5'!$R$24</f>
        <v>0</v>
      </c>
      <c r="K23" s="17">
        <f>'5'!$G$24+'5'!$S$24</f>
        <v>0</v>
      </c>
      <c r="L23" s="17">
        <f>'5'!$BC24</f>
        <v>0</v>
      </c>
      <c r="M23" s="17">
        <f>'5'!$BD24</f>
        <v>0</v>
      </c>
      <c r="N23" s="17">
        <f>'5'!$BE24</f>
        <v>0</v>
      </c>
      <c r="O23" s="61">
        <f>'5'!$AW24</f>
        <v>0</v>
      </c>
      <c r="P23" s="61">
        <f>'5'!$AX24</f>
        <v>0</v>
      </c>
      <c r="Q23" s="61">
        <f>'5'!$AY24</f>
        <v>0</v>
      </c>
      <c r="R23" s="62">
        <f>'5'!$AZ24</f>
        <v>0</v>
      </c>
      <c r="S23" s="62">
        <f>'5'!$BA24</f>
        <v>0</v>
      </c>
      <c r="T23" s="62">
        <f>'5'!$BB24</f>
        <v>0</v>
      </c>
      <c r="U23" s="63">
        <f>'5'!$AV24</f>
        <v>0</v>
      </c>
      <c r="V23" s="17">
        <f>'5'!$AU24</f>
        <v>0</v>
      </c>
      <c r="W23" s="228"/>
      <c r="X23" s="17">
        <f>'5'!CC$24</f>
        <v>0</v>
      </c>
      <c r="Y23" s="59" t="s">
        <v>227</v>
      </c>
    </row>
    <row r="24" spans="1:25" ht="15.65" customHeight="1" x14ac:dyDescent="0.35">
      <c r="A24" s="243" t="s">
        <v>142</v>
      </c>
      <c r="B24" s="242">
        <v>46179</v>
      </c>
      <c r="C24" s="58">
        <v>21</v>
      </c>
      <c r="D24" s="229" t="s">
        <v>203</v>
      </c>
      <c r="E24" s="224" t="s">
        <v>194</v>
      </c>
      <c r="F24" s="224" t="s">
        <v>218</v>
      </c>
      <c r="G24" s="224">
        <v>200</v>
      </c>
      <c r="H24" s="224" t="s">
        <v>217</v>
      </c>
      <c r="I24" s="17">
        <f>'6'!$E$6+'6'!$Q$6</f>
        <v>0</v>
      </c>
      <c r="J24" s="17">
        <f>'6'!$F$6+'6'!$R$6</f>
        <v>0</v>
      </c>
      <c r="K24" s="17">
        <f>'6'!$G$6+'6'!$S$6</f>
        <v>0</v>
      </c>
      <c r="L24" s="17">
        <f>'6'!$BC6</f>
        <v>0</v>
      </c>
      <c r="M24" s="17">
        <f>'6'!$BD6</f>
        <v>0</v>
      </c>
      <c r="N24" s="17">
        <f>'6'!$BE6</f>
        <v>0</v>
      </c>
      <c r="O24" s="61">
        <f>'6'!$AW6</f>
        <v>0</v>
      </c>
      <c r="P24" s="61">
        <f>'6'!$AX6</f>
        <v>0</v>
      </c>
      <c r="Q24" s="61">
        <f>'6'!$AY6</f>
        <v>0</v>
      </c>
      <c r="R24" s="62">
        <f>'6'!$AZ6</f>
        <v>0</v>
      </c>
      <c r="S24" s="62">
        <f>'6'!$BA6</f>
        <v>0</v>
      </c>
      <c r="T24" s="62">
        <f>'6'!$BB6</f>
        <v>0</v>
      </c>
      <c r="U24" s="63">
        <f>'6'!$AV6</f>
        <v>0</v>
      </c>
      <c r="V24" s="17">
        <f>'6'!$AU6</f>
        <v>0</v>
      </c>
      <c r="W24" s="224">
        <v>4</v>
      </c>
      <c r="X24" s="17">
        <f>'6'!CC$6</f>
        <v>0</v>
      </c>
      <c r="Y24" s="59" t="s">
        <v>227</v>
      </c>
    </row>
    <row r="25" spans="1:25" ht="15.65" customHeight="1" x14ac:dyDescent="0.35">
      <c r="A25" s="243"/>
      <c r="B25" s="242"/>
      <c r="C25" s="58">
        <v>21.25</v>
      </c>
      <c r="D25" s="230"/>
      <c r="E25" s="225"/>
      <c r="F25" s="225"/>
      <c r="G25" s="225"/>
      <c r="H25" s="225"/>
      <c r="I25" s="17">
        <f>'6'!$E$12+'6'!$Q$12</f>
        <v>0</v>
      </c>
      <c r="J25" s="17">
        <f>'6'!$F$12+'6'!$R$12</f>
        <v>0</v>
      </c>
      <c r="K25" s="17">
        <f>'6'!$G$12+'6'!$S$12</f>
        <v>0</v>
      </c>
      <c r="L25" s="17">
        <f>'6'!$BC12</f>
        <v>0</v>
      </c>
      <c r="M25" s="17">
        <f>'6'!$BD12</f>
        <v>0</v>
      </c>
      <c r="N25" s="17">
        <f>'6'!$BE12</f>
        <v>0</v>
      </c>
      <c r="O25" s="61">
        <f>'6'!$AW12</f>
        <v>0</v>
      </c>
      <c r="P25" s="61">
        <f>'6'!$AX12</f>
        <v>0</v>
      </c>
      <c r="Q25" s="61">
        <f>'6'!$AY12</f>
        <v>0</v>
      </c>
      <c r="R25" s="62">
        <f>'6'!$AZ12</f>
        <v>0</v>
      </c>
      <c r="S25" s="62">
        <f>'6'!$BA12</f>
        <v>0</v>
      </c>
      <c r="T25" s="62">
        <f>'6'!$BB12</f>
        <v>0</v>
      </c>
      <c r="U25" s="63">
        <f>'6'!$AV12</f>
        <v>0</v>
      </c>
      <c r="V25" s="17">
        <f>'6'!$AU12</f>
        <v>0</v>
      </c>
      <c r="W25" s="225"/>
      <c r="X25" s="17">
        <f>'6'!CC$12</f>
        <v>0</v>
      </c>
      <c r="Y25" s="59" t="s">
        <v>227</v>
      </c>
    </row>
    <row r="26" spans="1:25" ht="15.65" customHeight="1" x14ac:dyDescent="0.35">
      <c r="A26" s="243"/>
      <c r="B26" s="242"/>
      <c r="C26" s="58">
        <v>21.5</v>
      </c>
      <c r="D26" s="230"/>
      <c r="E26" s="225"/>
      <c r="F26" s="225"/>
      <c r="G26" s="225"/>
      <c r="H26" s="225"/>
      <c r="I26" s="17">
        <f>'6'!$E$18+'6'!$Q$18</f>
        <v>0</v>
      </c>
      <c r="J26" s="17">
        <f>'6'!$F$18+'6'!$R$18</f>
        <v>0</v>
      </c>
      <c r="K26" s="17">
        <f>'6'!$G$18+'6'!$S$18</f>
        <v>0</v>
      </c>
      <c r="L26" s="17">
        <f>'6'!$BC18</f>
        <v>0</v>
      </c>
      <c r="M26" s="17">
        <f>'6'!$BD18</f>
        <v>0</v>
      </c>
      <c r="N26" s="17">
        <f>'6'!$BE18</f>
        <v>0</v>
      </c>
      <c r="O26" s="61">
        <f>'6'!$AW18</f>
        <v>0</v>
      </c>
      <c r="P26" s="61">
        <f>'6'!$AX18</f>
        <v>0</v>
      </c>
      <c r="Q26" s="61">
        <f>'6'!$AY18</f>
        <v>0</v>
      </c>
      <c r="R26" s="62">
        <f>'6'!$AZ18</f>
        <v>0</v>
      </c>
      <c r="S26" s="62">
        <f>'6'!$BA18</f>
        <v>0</v>
      </c>
      <c r="T26" s="62">
        <f>'6'!$BB18</f>
        <v>0</v>
      </c>
      <c r="U26" s="63">
        <f>'6'!$AV18</f>
        <v>0</v>
      </c>
      <c r="V26" s="17">
        <f>'6'!$AU18</f>
        <v>0</v>
      </c>
      <c r="W26" s="225"/>
      <c r="X26" s="17">
        <f>'6'!CC$18</f>
        <v>0</v>
      </c>
      <c r="Y26" s="59" t="s">
        <v>227</v>
      </c>
    </row>
    <row r="27" spans="1:25" ht="15.65" customHeight="1" x14ac:dyDescent="0.35">
      <c r="A27" s="243"/>
      <c r="B27" s="242"/>
      <c r="C27" s="58">
        <v>21.75</v>
      </c>
      <c r="D27" s="231"/>
      <c r="E27" s="228"/>
      <c r="F27" s="228"/>
      <c r="G27" s="228"/>
      <c r="H27" s="228"/>
      <c r="I27" s="17">
        <f>'6'!$E$24+'6'!$Q$24</f>
        <v>0</v>
      </c>
      <c r="J27" s="17">
        <f>'6'!$F$24+'6'!$R$24</f>
        <v>0</v>
      </c>
      <c r="K27" s="17">
        <f>'6'!$G$24+'6'!$S$24</f>
        <v>0</v>
      </c>
      <c r="L27" s="17">
        <f>'6'!$BC24</f>
        <v>0</v>
      </c>
      <c r="M27" s="17">
        <f>'6'!$BD24</f>
        <v>0</v>
      </c>
      <c r="N27" s="17">
        <f>'6'!$BE24</f>
        <v>0</v>
      </c>
      <c r="O27" s="61">
        <f>'6'!$AW24</f>
        <v>0</v>
      </c>
      <c r="P27" s="61">
        <f>'6'!$AX24</f>
        <v>0</v>
      </c>
      <c r="Q27" s="61">
        <f>'6'!$AY24</f>
        <v>0</v>
      </c>
      <c r="R27" s="62">
        <f>'6'!$AZ24</f>
        <v>0</v>
      </c>
      <c r="S27" s="62">
        <f>'6'!$BA24</f>
        <v>0</v>
      </c>
      <c r="T27" s="62">
        <f>'6'!$BB24</f>
        <v>0</v>
      </c>
      <c r="U27" s="63">
        <f>'6'!$AV24</f>
        <v>0</v>
      </c>
      <c r="V27" s="17">
        <f>'6'!$AU24</f>
        <v>0</v>
      </c>
      <c r="W27" s="228"/>
      <c r="X27" s="17">
        <f>'6'!CC$24</f>
        <v>0</v>
      </c>
      <c r="Y27" s="59" t="s">
        <v>227</v>
      </c>
    </row>
    <row r="28" spans="1:25" ht="15.65" customHeight="1" x14ac:dyDescent="0.35">
      <c r="A28" s="243" t="s">
        <v>142</v>
      </c>
      <c r="B28" s="242">
        <v>46180</v>
      </c>
      <c r="C28" s="58">
        <v>25</v>
      </c>
      <c r="D28" s="229" t="s">
        <v>203</v>
      </c>
      <c r="E28" s="224" t="s">
        <v>194</v>
      </c>
      <c r="F28" s="224" t="s">
        <v>218</v>
      </c>
      <c r="G28" s="224">
        <v>200</v>
      </c>
      <c r="H28" s="224" t="s">
        <v>217</v>
      </c>
      <c r="I28" s="17">
        <f>'7'!$E$6+'7'!$Q$6</f>
        <v>0</v>
      </c>
      <c r="J28" s="17">
        <f>'7'!$F$6+'7'!$R$6</f>
        <v>0</v>
      </c>
      <c r="K28" s="17">
        <f>'7'!$G$6+'7'!$S$6</f>
        <v>0</v>
      </c>
      <c r="L28" s="17">
        <f>'7'!$BC6</f>
        <v>0</v>
      </c>
      <c r="M28" s="17">
        <f>'7'!$BD6</f>
        <v>0</v>
      </c>
      <c r="N28" s="17">
        <f>'7'!$BE6</f>
        <v>0</v>
      </c>
      <c r="O28" s="61">
        <f>'7'!$AW6</f>
        <v>0</v>
      </c>
      <c r="P28" s="61">
        <f>'7'!$AX6</f>
        <v>0</v>
      </c>
      <c r="Q28" s="61">
        <f>'7'!$AY6</f>
        <v>0</v>
      </c>
      <c r="R28" s="62">
        <f>'7'!$AZ6</f>
        <v>0</v>
      </c>
      <c r="S28" s="62">
        <f>'7'!$BA6</f>
        <v>0</v>
      </c>
      <c r="T28" s="62">
        <f>'7'!$BB6</f>
        <v>0</v>
      </c>
      <c r="U28" s="63">
        <f>'7'!$AV6</f>
        <v>0</v>
      </c>
      <c r="V28" s="17">
        <f>'7'!$AU6</f>
        <v>0</v>
      </c>
      <c r="W28" s="224">
        <v>4</v>
      </c>
      <c r="X28" s="17">
        <f>'7'!CC$6</f>
        <v>0</v>
      </c>
      <c r="Y28" s="59" t="s">
        <v>227</v>
      </c>
    </row>
    <row r="29" spans="1:25" ht="15.65" customHeight="1" x14ac:dyDescent="0.35">
      <c r="A29" s="243"/>
      <c r="B29" s="242"/>
      <c r="C29" s="58">
        <v>25.25</v>
      </c>
      <c r="D29" s="230"/>
      <c r="E29" s="225"/>
      <c r="F29" s="225"/>
      <c r="G29" s="225"/>
      <c r="H29" s="225"/>
      <c r="I29" s="17">
        <f>'7'!$E$12+'7'!$Q$12</f>
        <v>0</v>
      </c>
      <c r="J29" s="17">
        <f>'7'!$F$12+'7'!$R$12</f>
        <v>0</v>
      </c>
      <c r="K29" s="17">
        <f>'7'!$G$12+'7'!$S$12</f>
        <v>0</v>
      </c>
      <c r="L29" s="17">
        <f>'7'!$BC12</f>
        <v>0</v>
      </c>
      <c r="M29" s="17">
        <f>'7'!$BD12</f>
        <v>0</v>
      </c>
      <c r="N29" s="17">
        <f>'7'!$BE12</f>
        <v>0</v>
      </c>
      <c r="O29" s="61">
        <f>'7'!$AW12</f>
        <v>0</v>
      </c>
      <c r="P29" s="61">
        <f>'7'!$AX12</f>
        <v>0</v>
      </c>
      <c r="Q29" s="61">
        <f>'7'!$AY12</f>
        <v>0</v>
      </c>
      <c r="R29" s="62">
        <f>'7'!$AZ12</f>
        <v>0</v>
      </c>
      <c r="S29" s="62">
        <f>'7'!$BA12</f>
        <v>0</v>
      </c>
      <c r="T29" s="62">
        <f>'7'!$BB12</f>
        <v>0</v>
      </c>
      <c r="U29" s="63">
        <f>'7'!$AV12</f>
        <v>0</v>
      </c>
      <c r="V29" s="17">
        <f>'7'!$AU12</f>
        <v>0</v>
      </c>
      <c r="W29" s="225"/>
      <c r="X29" s="17">
        <f>'7'!CC$12</f>
        <v>0</v>
      </c>
      <c r="Y29" s="59" t="s">
        <v>227</v>
      </c>
    </row>
    <row r="30" spans="1:25" ht="15.65" customHeight="1" x14ac:dyDescent="0.35">
      <c r="A30" s="243"/>
      <c r="B30" s="242"/>
      <c r="C30" s="58">
        <v>25.5</v>
      </c>
      <c r="D30" s="230"/>
      <c r="E30" s="225"/>
      <c r="F30" s="225"/>
      <c r="G30" s="225"/>
      <c r="H30" s="225"/>
      <c r="I30" s="17">
        <f>'7'!$E$18+'7'!$Q$18</f>
        <v>0</v>
      </c>
      <c r="J30" s="17">
        <f>'7'!$F$18+'7'!$R$18</f>
        <v>0</v>
      </c>
      <c r="K30" s="17">
        <f>'7'!$G$18+'7'!$S$18</f>
        <v>0</v>
      </c>
      <c r="L30" s="17">
        <f>'7'!$BC18</f>
        <v>0</v>
      </c>
      <c r="M30" s="17">
        <f>'7'!$BD18</f>
        <v>0</v>
      </c>
      <c r="N30" s="17">
        <f>'7'!$BE18</f>
        <v>0</v>
      </c>
      <c r="O30" s="61">
        <f>'7'!$AW18</f>
        <v>0</v>
      </c>
      <c r="P30" s="61">
        <f>'7'!$AX18</f>
        <v>0</v>
      </c>
      <c r="Q30" s="61">
        <f>'7'!$AY18</f>
        <v>0</v>
      </c>
      <c r="R30" s="62">
        <f>'7'!$AZ18</f>
        <v>0</v>
      </c>
      <c r="S30" s="62">
        <f>'7'!$BA18</f>
        <v>0</v>
      </c>
      <c r="T30" s="62">
        <f>'7'!$BB18</f>
        <v>0</v>
      </c>
      <c r="U30" s="63">
        <f>'7'!$AV18</f>
        <v>0</v>
      </c>
      <c r="V30" s="17">
        <f>'7'!$AU18</f>
        <v>0</v>
      </c>
      <c r="W30" s="225"/>
      <c r="X30" s="17">
        <f>'7'!CC$18</f>
        <v>0</v>
      </c>
      <c r="Y30" s="59" t="s">
        <v>227</v>
      </c>
    </row>
    <row r="31" spans="1:25" ht="15.65" customHeight="1" x14ac:dyDescent="0.35">
      <c r="A31" s="243"/>
      <c r="B31" s="242"/>
      <c r="C31" s="58">
        <v>25.75</v>
      </c>
      <c r="D31" s="231"/>
      <c r="E31" s="228"/>
      <c r="F31" s="228"/>
      <c r="G31" s="228"/>
      <c r="H31" s="228"/>
      <c r="I31" s="17">
        <f>'7'!$E$24+'7'!$Q$24</f>
        <v>0</v>
      </c>
      <c r="J31" s="17">
        <f>'7'!$F$24+'7'!$R$24</f>
        <v>0</v>
      </c>
      <c r="K31" s="17">
        <f>'7'!$G$24+'7'!$S$24</f>
        <v>0</v>
      </c>
      <c r="L31" s="17">
        <f>'7'!$BC24</f>
        <v>0</v>
      </c>
      <c r="M31" s="17">
        <f>'7'!$BD24</f>
        <v>0</v>
      </c>
      <c r="N31" s="17">
        <f>'7'!$BE24</f>
        <v>0</v>
      </c>
      <c r="O31" s="61">
        <f>'7'!$AW24</f>
        <v>0</v>
      </c>
      <c r="P31" s="61">
        <f>'7'!$AX24</f>
        <v>0</v>
      </c>
      <c r="Q31" s="61">
        <f>'7'!$AY24</f>
        <v>0</v>
      </c>
      <c r="R31" s="62">
        <f>'7'!$AZ24</f>
        <v>0</v>
      </c>
      <c r="S31" s="62">
        <f>'7'!$BA24</f>
        <v>0</v>
      </c>
      <c r="T31" s="62">
        <f>'7'!$BB24</f>
        <v>0</v>
      </c>
      <c r="U31" s="63">
        <f>'7'!$AV24</f>
        <v>0</v>
      </c>
      <c r="V31" s="17">
        <f>'7'!$AU24</f>
        <v>0</v>
      </c>
      <c r="W31" s="228"/>
      <c r="X31" s="17">
        <f>'7'!CC$24</f>
        <v>0</v>
      </c>
      <c r="Y31" s="59" t="s">
        <v>227</v>
      </c>
    </row>
    <row r="32" spans="1:25" ht="15.65" customHeight="1" x14ac:dyDescent="0.35">
      <c r="A32" s="243" t="s">
        <v>142</v>
      </c>
      <c r="B32" s="242">
        <v>46181</v>
      </c>
      <c r="C32" s="58">
        <v>29</v>
      </c>
      <c r="D32" s="229" t="s">
        <v>203</v>
      </c>
      <c r="E32" s="224" t="s">
        <v>194</v>
      </c>
      <c r="F32" s="224" t="s">
        <v>218</v>
      </c>
      <c r="G32" s="224">
        <v>200</v>
      </c>
      <c r="H32" s="224" t="s">
        <v>217</v>
      </c>
      <c r="I32" s="17">
        <f>'8'!$E$6+'8'!$Q$6</f>
        <v>0</v>
      </c>
      <c r="J32" s="17">
        <f>'8'!$F$6+'8'!$R$6</f>
        <v>0</v>
      </c>
      <c r="K32" s="17">
        <f>'8'!$G$6+'8'!$S$6</f>
        <v>0</v>
      </c>
      <c r="L32" s="17">
        <f>'8'!$BC6</f>
        <v>0</v>
      </c>
      <c r="M32" s="17">
        <f>'8'!$BD6</f>
        <v>0</v>
      </c>
      <c r="N32" s="17">
        <f>'8'!$BE6</f>
        <v>0</v>
      </c>
      <c r="O32" s="61">
        <f>'8'!$AW6</f>
        <v>0</v>
      </c>
      <c r="P32" s="61">
        <f>'8'!$AX6</f>
        <v>0</v>
      </c>
      <c r="Q32" s="61">
        <f>'8'!$AY6</f>
        <v>0</v>
      </c>
      <c r="R32" s="62">
        <f>'8'!$AZ6</f>
        <v>0</v>
      </c>
      <c r="S32" s="62">
        <f>'8'!$BA6</f>
        <v>0</v>
      </c>
      <c r="T32" s="62">
        <f>'8'!$BB6</f>
        <v>0</v>
      </c>
      <c r="U32" s="63">
        <f>'8'!$AV6</f>
        <v>0</v>
      </c>
      <c r="V32" s="17">
        <f>'8'!$AU6</f>
        <v>0</v>
      </c>
      <c r="W32" s="224">
        <v>4</v>
      </c>
      <c r="X32" s="17">
        <f>'8'!CC$6</f>
        <v>0</v>
      </c>
      <c r="Y32" s="59" t="s">
        <v>227</v>
      </c>
    </row>
    <row r="33" spans="1:25" ht="15.65" customHeight="1" x14ac:dyDescent="0.35">
      <c r="A33" s="243"/>
      <c r="B33" s="242"/>
      <c r="C33" s="58">
        <v>29.25</v>
      </c>
      <c r="D33" s="230"/>
      <c r="E33" s="225"/>
      <c r="F33" s="225"/>
      <c r="G33" s="225"/>
      <c r="H33" s="225"/>
      <c r="I33" s="17">
        <f>'8'!$E$12+'8'!$Q$12</f>
        <v>0</v>
      </c>
      <c r="J33" s="17">
        <f>'8'!$F$12+'8'!$R$12</f>
        <v>0</v>
      </c>
      <c r="K33" s="17">
        <f>'8'!$G$12+'8'!$S$12</f>
        <v>0</v>
      </c>
      <c r="L33" s="17">
        <f>'8'!$BC12</f>
        <v>0</v>
      </c>
      <c r="M33" s="17">
        <f>'8'!$BD12</f>
        <v>0</v>
      </c>
      <c r="N33" s="17">
        <f>'8'!$BE12</f>
        <v>0</v>
      </c>
      <c r="O33" s="61">
        <f>'8'!$AW12</f>
        <v>0</v>
      </c>
      <c r="P33" s="61">
        <f>'8'!$AX12</f>
        <v>0</v>
      </c>
      <c r="Q33" s="61">
        <f>'8'!$AY12</f>
        <v>0</v>
      </c>
      <c r="R33" s="62">
        <f>'8'!$AZ12</f>
        <v>0</v>
      </c>
      <c r="S33" s="62">
        <f>'8'!$BA12</f>
        <v>0</v>
      </c>
      <c r="T33" s="62">
        <f>'8'!$BB12</f>
        <v>0</v>
      </c>
      <c r="U33" s="63">
        <f>'8'!$AV12</f>
        <v>0</v>
      </c>
      <c r="V33" s="17">
        <f>'8'!$AU12</f>
        <v>0</v>
      </c>
      <c r="W33" s="225"/>
      <c r="X33" s="17">
        <f>'8'!CC$12</f>
        <v>0</v>
      </c>
      <c r="Y33" s="59" t="s">
        <v>227</v>
      </c>
    </row>
    <row r="34" spans="1:25" ht="15.65" customHeight="1" x14ac:dyDescent="0.35">
      <c r="A34" s="243"/>
      <c r="B34" s="242"/>
      <c r="C34" s="58">
        <v>29.5</v>
      </c>
      <c r="D34" s="230"/>
      <c r="E34" s="225"/>
      <c r="F34" s="225"/>
      <c r="G34" s="225"/>
      <c r="H34" s="225"/>
      <c r="I34" s="17">
        <f>'8'!$E$18+'8'!$Q$18</f>
        <v>0</v>
      </c>
      <c r="J34" s="17">
        <f>'8'!$F$18+'8'!$R$18</f>
        <v>0</v>
      </c>
      <c r="K34" s="17">
        <f>'8'!$G$18+'8'!$S$18</f>
        <v>0</v>
      </c>
      <c r="L34" s="17">
        <f>'8'!$BC18</f>
        <v>0</v>
      </c>
      <c r="M34" s="17">
        <f>'8'!$BD18</f>
        <v>0</v>
      </c>
      <c r="N34" s="17">
        <f>'8'!$BE18</f>
        <v>0</v>
      </c>
      <c r="O34" s="61">
        <f>'8'!$AW18</f>
        <v>0</v>
      </c>
      <c r="P34" s="61">
        <f>'8'!$AX18</f>
        <v>0</v>
      </c>
      <c r="Q34" s="61">
        <f>'8'!$AY18</f>
        <v>0</v>
      </c>
      <c r="R34" s="62">
        <f>'8'!$AZ18</f>
        <v>0</v>
      </c>
      <c r="S34" s="62">
        <f>'8'!$BA18</f>
        <v>0</v>
      </c>
      <c r="T34" s="62">
        <f>'8'!$BB18</f>
        <v>0</v>
      </c>
      <c r="U34" s="63">
        <f>'8'!$AV18</f>
        <v>0</v>
      </c>
      <c r="V34" s="17">
        <f>'8'!$AU18</f>
        <v>0</v>
      </c>
      <c r="W34" s="225"/>
      <c r="X34" s="17">
        <f>'8'!CC$18</f>
        <v>0</v>
      </c>
      <c r="Y34" s="59" t="s">
        <v>227</v>
      </c>
    </row>
    <row r="35" spans="1:25" ht="15.65" customHeight="1" x14ac:dyDescent="0.35">
      <c r="A35" s="243"/>
      <c r="B35" s="242"/>
      <c r="C35" s="58">
        <v>29.75</v>
      </c>
      <c r="D35" s="231"/>
      <c r="E35" s="228"/>
      <c r="F35" s="228"/>
      <c r="G35" s="228"/>
      <c r="H35" s="228"/>
      <c r="I35" s="17">
        <f>'8'!$E$24+'8'!$Q$24</f>
        <v>0</v>
      </c>
      <c r="J35" s="17">
        <f>'8'!$F$24+'8'!$R$24</f>
        <v>0</v>
      </c>
      <c r="K35" s="17">
        <f>'8'!$G$24+'8'!$S$24</f>
        <v>0</v>
      </c>
      <c r="L35" s="17">
        <f>'8'!$BC24</f>
        <v>0</v>
      </c>
      <c r="M35" s="17">
        <f>'8'!$BD24</f>
        <v>0</v>
      </c>
      <c r="N35" s="17">
        <f>'8'!$BE24</f>
        <v>0</v>
      </c>
      <c r="O35" s="61">
        <f>'8'!$AW24</f>
        <v>0</v>
      </c>
      <c r="P35" s="61">
        <f>'8'!$AX24</f>
        <v>0</v>
      </c>
      <c r="Q35" s="61">
        <f>'8'!$AY24</f>
        <v>0</v>
      </c>
      <c r="R35" s="62">
        <f>'8'!$AZ24</f>
        <v>0</v>
      </c>
      <c r="S35" s="62">
        <f>'8'!$BA24</f>
        <v>0</v>
      </c>
      <c r="T35" s="62">
        <f>'8'!$BB24</f>
        <v>0</v>
      </c>
      <c r="U35" s="63">
        <f>'8'!$AV24</f>
        <v>0</v>
      </c>
      <c r="V35" s="17">
        <f>'8'!$AU24</f>
        <v>0</v>
      </c>
      <c r="W35" s="228"/>
      <c r="X35" s="17">
        <f>'8'!CC$24</f>
        <v>0</v>
      </c>
      <c r="Y35" s="59" t="s">
        <v>227</v>
      </c>
    </row>
    <row r="36" spans="1:25" ht="15.65" customHeight="1" x14ac:dyDescent="0.35">
      <c r="A36" s="243" t="s">
        <v>142</v>
      </c>
      <c r="B36" s="242">
        <v>46182</v>
      </c>
      <c r="C36" s="58">
        <v>33</v>
      </c>
      <c r="D36" s="229" t="s">
        <v>203</v>
      </c>
      <c r="E36" s="224" t="s">
        <v>194</v>
      </c>
      <c r="F36" s="224" t="s">
        <v>218</v>
      </c>
      <c r="G36" s="224">
        <v>200</v>
      </c>
      <c r="H36" s="224" t="s">
        <v>217</v>
      </c>
      <c r="I36" s="17">
        <f>'9'!$E$6+'9'!$Q$6</f>
        <v>404</v>
      </c>
      <c r="J36" s="17">
        <f>'9'!$F$6+'9'!$R$6</f>
        <v>404</v>
      </c>
      <c r="K36" s="17">
        <f>'9'!$G$6+'9'!$S$6</f>
        <v>405</v>
      </c>
      <c r="L36" s="17">
        <f>'9'!$BC6</f>
        <v>0</v>
      </c>
      <c r="M36" s="17">
        <f>'9'!$BD6</f>
        <v>0</v>
      </c>
      <c r="N36" s="17">
        <f>'9'!$BE6</f>
        <v>0</v>
      </c>
      <c r="O36" s="61">
        <f>'9'!$AW6</f>
        <v>0</v>
      </c>
      <c r="P36" s="61">
        <f>'9'!$AX6</f>
        <v>0</v>
      </c>
      <c r="Q36" s="61">
        <f>'9'!$AY6</f>
        <v>0</v>
      </c>
      <c r="R36" s="62">
        <f>'9'!$AZ6</f>
        <v>0</v>
      </c>
      <c r="S36" s="62">
        <f>'9'!$BA6</f>
        <v>0</v>
      </c>
      <c r="T36" s="62">
        <f>'9'!$BB6</f>
        <v>0</v>
      </c>
      <c r="U36" s="63">
        <f>'9'!$AV6</f>
        <v>0</v>
      </c>
      <c r="V36" s="17">
        <f>'9'!$AU6</f>
        <v>0</v>
      </c>
      <c r="W36" s="224">
        <v>4</v>
      </c>
      <c r="X36" s="17">
        <f>'9'!CC$6</f>
        <v>0</v>
      </c>
      <c r="Y36" s="59" t="s">
        <v>227</v>
      </c>
    </row>
    <row r="37" spans="1:25" ht="15.65" customHeight="1" x14ac:dyDescent="0.35">
      <c r="A37" s="243"/>
      <c r="B37" s="242"/>
      <c r="C37" s="58">
        <v>33.25</v>
      </c>
      <c r="D37" s="230"/>
      <c r="E37" s="225"/>
      <c r="F37" s="225"/>
      <c r="G37" s="225"/>
      <c r="H37" s="225"/>
      <c r="I37" s="17">
        <f>'9'!$E$12+'9'!$Q$12</f>
        <v>408</v>
      </c>
      <c r="J37" s="17">
        <f>'9'!$F$12+'9'!$R$12</f>
        <v>408</v>
      </c>
      <c r="K37" s="17">
        <f>'9'!$G$12+'9'!$S$12</f>
        <v>408</v>
      </c>
      <c r="L37" s="17">
        <f>'9'!$BC12</f>
        <v>0</v>
      </c>
      <c r="M37" s="17">
        <f>'9'!$BD12</f>
        <v>0</v>
      </c>
      <c r="N37" s="17">
        <f>'9'!$BE12</f>
        <v>0</v>
      </c>
      <c r="O37" s="61">
        <f>'9'!$AW12</f>
        <v>0</v>
      </c>
      <c r="P37" s="61">
        <f>'9'!$AX12</f>
        <v>0</v>
      </c>
      <c r="Q37" s="61">
        <f>'9'!$AY12</f>
        <v>0</v>
      </c>
      <c r="R37" s="62">
        <f>'9'!$AZ12</f>
        <v>0</v>
      </c>
      <c r="S37" s="62">
        <f>'9'!$BA12</f>
        <v>0</v>
      </c>
      <c r="T37" s="62">
        <f>'9'!$BB12</f>
        <v>0</v>
      </c>
      <c r="U37" s="63">
        <f>'9'!$AV12</f>
        <v>0</v>
      </c>
      <c r="V37" s="17">
        <f>'9'!$AU12</f>
        <v>0</v>
      </c>
      <c r="W37" s="225"/>
      <c r="X37" s="17">
        <f>'9'!CC$12</f>
        <v>0</v>
      </c>
      <c r="Y37" s="59" t="s">
        <v>227</v>
      </c>
    </row>
    <row r="38" spans="1:25" ht="15.65" customHeight="1" x14ac:dyDescent="0.35">
      <c r="A38" s="243"/>
      <c r="B38" s="242"/>
      <c r="C38" s="58">
        <v>33.5</v>
      </c>
      <c r="D38" s="230"/>
      <c r="E38" s="225"/>
      <c r="F38" s="225"/>
      <c r="G38" s="225"/>
      <c r="H38" s="225"/>
      <c r="I38" s="17">
        <f>'9'!$E$18+'9'!$Q$18</f>
        <v>410</v>
      </c>
      <c r="J38" s="17">
        <f>'9'!$F$18+'9'!$R$18</f>
        <v>411</v>
      </c>
      <c r="K38" s="17">
        <f>'9'!$G$18+'9'!$S$18</f>
        <v>412</v>
      </c>
      <c r="L38" s="17">
        <f>'9'!$BC18</f>
        <v>0</v>
      </c>
      <c r="M38" s="17">
        <f>'9'!$BD18</f>
        <v>0</v>
      </c>
      <c r="N38" s="17">
        <f>'9'!$BE18</f>
        <v>0</v>
      </c>
      <c r="O38" s="61">
        <f>'9'!$AW18</f>
        <v>0</v>
      </c>
      <c r="P38" s="61">
        <f>'9'!$AX18</f>
        <v>0</v>
      </c>
      <c r="Q38" s="61">
        <f>'9'!$AY18</f>
        <v>0</v>
      </c>
      <c r="R38" s="62">
        <f>'9'!$AZ18</f>
        <v>0</v>
      </c>
      <c r="S38" s="62">
        <f>'9'!$BA18</f>
        <v>0</v>
      </c>
      <c r="T38" s="62">
        <f>'9'!$BB18</f>
        <v>0</v>
      </c>
      <c r="U38" s="63">
        <f>'9'!$AV18</f>
        <v>0</v>
      </c>
      <c r="V38" s="17">
        <f>'9'!$AU18</f>
        <v>0</v>
      </c>
      <c r="W38" s="225"/>
      <c r="X38" s="17">
        <f>'9'!CC$18</f>
        <v>0</v>
      </c>
      <c r="Y38" s="59" t="s">
        <v>227</v>
      </c>
    </row>
    <row r="39" spans="1:25" ht="15.65" customHeight="1" x14ac:dyDescent="0.35">
      <c r="A39" s="243"/>
      <c r="B39" s="242"/>
      <c r="C39" s="58">
        <v>33.75</v>
      </c>
      <c r="D39" s="231"/>
      <c r="E39" s="228"/>
      <c r="F39" s="228"/>
      <c r="G39" s="228"/>
      <c r="H39" s="228"/>
      <c r="I39" s="17">
        <f>'9'!$E$24+'9'!$Q$24</f>
        <v>408</v>
      </c>
      <c r="J39" s="17">
        <f>'9'!$F$24+'9'!$R$24</f>
        <v>409</v>
      </c>
      <c r="K39" s="17">
        <f>'9'!$G$24+'9'!$S$24</f>
        <v>409</v>
      </c>
      <c r="L39" s="17">
        <f>'9'!$BC24</f>
        <v>0</v>
      </c>
      <c r="M39" s="17">
        <f>'9'!$BD24</f>
        <v>0</v>
      </c>
      <c r="N39" s="17">
        <f>'9'!$BE24</f>
        <v>0</v>
      </c>
      <c r="O39" s="61">
        <f>'9'!$AW24</f>
        <v>0</v>
      </c>
      <c r="P39" s="61">
        <f>'9'!$AX24</f>
        <v>0</v>
      </c>
      <c r="Q39" s="61">
        <f>'9'!$AY24</f>
        <v>0</v>
      </c>
      <c r="R39" s="62">
        <f>'9'!$AZ24</f>
        <v>0</v>
      </c>
      <c r="S39" s="62">
        <f>'9'!$BA24</f>
        <v>0</v>
      </c>
      <c r="T39" s="62">
        <f>'9'!$BB24</f>
        <v>0</v>
      </c>
      <c r="U39" s="63">
        <f>'9'!$AV24</f>
        <v>0</v>
      </c>
      <c r="V39" s="17">
        <f>'9'!$AU24</f>
        <v>0</v>
      </c>
      <c r="W39" s="228"/>
      <c r="X39" s="17">
        <f>'9'!CC$24</f>
        <v>0</v>
      </c>
      <c r="Y39" s="59" t="s">
        <v>227</v>
      </c>
    </row>
    <row r="40" spans="1:25" x14ac:dyDescent="0.35">
      <c r="A40" s="243" t="s">
        <v>142</v>
      </c>
      <c r="B40" s="242">
        <v>46183</v>
      </c>
      <c r="C40" s="58">
        <v>37</v>
      </c>
      <c r="D40" s="229" t="s">
        <v>203</v>
      </c>
      <c r="E40" s="224" t="s">
        <v>194</v>
      </c>
      <c r="F40" s="224" t="s">
        <v>218</v>
      </c>
      <c r="G40" s="224">
        <v>200</v>
      </c>
      <c r="H40" s="224" t="s">
        <v>217</v>
      </c>
      <c r="I40" s="17">
        <f>'10'!$E$6+'10'!$Q$6</f>
        <v>0</v>
      </c>
      <c r="J40" s="17">
        <f>'10'!$F$6+'10'!$R$6</f>
        <v>0</v>
      </c>
      <c r="K40" s="17">
        <f>'10'!$G$6+'10'!$S$6</f>
        <v>0</v>
      </c>
      <c r="L40" s="17">
        <f>'10'!$BC6</f>
        <v>0</v>
      </c>
      <c r="M40" s="17">
        <f>'10'!$BD6</f>
        <v>0</v>
      </c>
      <c r="N40" s="17">
        <f>'10'!$BE6</f>
        <v>0</v>
      </c>
      <c r="O40" s="61">
        <f>'10'!$AW6</f>
        <v>0</v>
      </c>
      <c r="P40" s="61">
        <f>'10'!$AX6</f>
        <v>0</v>
      </c>
      <c r="Q40" s="61">
        <f>'10'!$AY6</f>
        <v>0</v>
      </c>
      <c r="R40" s="62">
        <f>'10'!$AZ6</f>
        <v>0</v>
      </c>
      <c r="S40" s="62">
        <f>'10'!$BA6</f>
        <v>0</v>
      </c>
      <c r="T40" s="62">
        <f>'10'!$BB6</f>
        <v>0</v>
      </c>
      <c r="U40" s="63">
        <f>'10'!$AV6</f>
        <v>0</v>
      </c>
      <c r="V40" s="17">
        <f>'10'!$AU6</f>
        <v>0</v>
      </c>
      <c r="W40" s="224">
        <v>4</v>
      </c>
      <c r="X40" s="17">
        <f>'10'!CC$6</f>
        <v>0</v>
      </c>
      <c r="Y40" s="59" t="s">
        <v>227</v>
      </c>
    </row>
    <row r="41" spans="1:25" x14ac:dyDescent="0.35">
      <c r="A41" s="243"/>
      <c r="B41" s="242"/>
      <c r="C41" s="58">
        <v>37.25</v>
      </c>
      <c r="D41" s="230"/>
      <c r="E41" s="225"/>
      <c r="F41" s="225"/>
      <c r="G41" s="225"/>
      <c r="H41" s="225"/>
      <c r="I41" s="17">
        <f>'10'!$E$12+'10'!$Q$12</f>
        <v>0</v>
      </c>
      <c r="J41" s="17">
        <f>'10'!$F$12+'10'!$R$12</f>
        <v>0</v>
      </c>
      <c r="K41" s="17">
        <f>'10'!$G$12+'10'!$S$12</f>
        <v>0</v>
      </c>
      <c r="L41" s="17">
        <f>'10'!$BC12</f>
        <v>0</v>
      </c>
      <c r="M41" s="17">
        <f>'10'!$BD12</f>
        <v>0</v>
      </c>
      <c r="N41" s="17">
        <f>'10'!$BE12</f>
        <v>0</v>
      </c>
      <c r="O41" s="61">
        <f>'10'!$AW12</f>
        <v>0</v>
      </c>
      <c r="P41" s="61">
        <f>'10'!$AX12</f>
        <v>0</v>
      </c>
      <c r="Q41" s="61">
        <f>'10'!$AY12</f>
        <v>0</v>
      </c>
      <c r="R41" s="62">
        <f>'10'!$AZ12</f>
        <v>0</v>
      </c>
      <c r="S41" s="62">
        <f>'10'!$BA12</f>
        <v>0</v>
      </c>
      <c r="T41" s="62">
        <f>'10'!$BB12</f>
        <v>0</v>
      </c>
      <c r="U41" s="63">
        <f>'10'!$AV12</f>
        <v>0</v>
      </c>
      <c r="V41" s="17">
        <f>'10'!$AU12</f>
        <v>0</v>
      </c>
      <c r="W41" s="225"/>
      <c r="X41" s="17">
        <f>'10'!CC$12</f>
        <v>0</v>
      </c>
      <c r="Y41" s="59" t="s">
        <v>227</v>
      </c>
    </row>
    <row r="42" spans="1:25" x14ac:dyDescent="0.35">
      <c r="A42" s="243"/>
      <c r="B42" s="242"/>
      <c r="C42" s="58">
        <v>37.5</v>
      </c>
      <c r="D42" s="230"/>
      <c r="E42" s="225"/>
      <c r="F42" s="225"/>
      <c r="G42" s="225"/>
      <c r="H42" s="225"/>
      <c r="I42" s="17">
        <f>'10'!$E$18+'10'!$Q$18</f>
        <v>0</v>
      </c>
      <c r="J42" s="17">
        <f>'10'!$F$18+'10'!$R$18</f>
        <v>0</v>
      </c>
      <c r="K42" s="17">
        <f>'10'!$G$18+'10'!$S$18</f>
        <v>0</v>
      </c>
      <c r="L42" s="17">
        <f>'10'!$BC18</f>
        <v>0</v>
      </c>
      <c r="M42" s="17">
        <f>'10'!$BD18</f>
        <v>0</v>
      </c>
      <c r="N42" s="17">
        <f>'10'!$BE18</f>
        <v>0</v>
      </c>
      <c r="O42" s="61">
        <f>'10'!$AW18</f>
        <v>0</v>
      </c>
      <c r="P42" s="61">
        <f>'10'!$AX18</f>
        <v>0</v>
      </c>
      <c r="Q42" s="61">
        <f>'10'!$AY18</f>
        <v>0</v>
      </c>
      <c r="R42" s="62">
        <f>'10'!$AZ18</f>
        <v>0</v>
      </c>
      <c r="S42" s="62">
        <f>'10'!$BA18</f>
        <v>0</v>
      </c>
      <c r="T42" s="62">
        <f>'10'!$BB18</f>
        <v>0</v>
      </c>
      <c r="U42" s="63">
        <f>'10'!$AV18</f>
        <v>0</v>
      </c>
      <c r="V42" s="17">
        <f>'10'!$AU18</f>
        <v>0</v>
      </c>
      <c r="W42" s="225"/>
      <c r="X42" s="17">
        <f>'10'!CC$18</f>
        <v>0</v>
      </c>
      <c r="Y42" s="59" t="s">
        <v>227</v>
      </c>
    </row>
    <row r="43" spans="1:25" x14ac:dyDescent="0.35">
      <c r="A43" s="243"/>
      <c r="B43" s="242"/>
      <c r="C43" s="58">
        <v>37.75</v>
      </c>
      <c r="D43" s="231"/>
      <c r="E43" s="228"/>
      <c r="F43" s="228"/>
      <c r="G43" s="228"/>
      <c r="H43" s="228"/>
      <c r="I43" s="17">
        <f>'10'!$E$24+'10'!$Q$24</f>
        <v>0</v>
      </c>
      <c r="J43" s="17">
        <f>'10'!$F$24+'10'!$R$24</f>
        <v>0</v>
      </c>
      <c r="K43" s="17">
        <f>'10'!$G$24+'10'!$S$24</f>
        <v>0</v>
      </c>
      <c r="L43" s="17">
        <f>'10'!$BC24</f>
        <v>0</v>
      </c>
      <c r="M43" s="17">
        <f>'10'!$BD24</f>
        <v>0</v>
      </c>
      <c r="N43" s="17">
        <f>'10'!$BE24</f>
        <v>0</v>
      </c>
      <c r="O43" s="61">
        <f>'10'!$AW24</f>
        <v>0</v>
      </c>
      <c r="P43" s="61">
        <f>'10'!$AX24</f>
        <v>0</v>
      </c>
      <c r="Q43" s="61">
        <f>'10'!$AY24</f>
        <v>0</v>
      </c>
      <c r="R43" s="62">
        <f>'10'!$AZ24</f>
        <v>0</v>
      </c>
      <c r="S43" s="62">
        <f>'10'!$BA24</f>
        <v>0</v>
      </c>
      <c r="T43" s="62">
        <f>'10'!$BB24</f>
        <v>0</v>
      </c>
      <c r="U43" s="63">
        <f>'10'!$AV24</f>
        <v>0</v>
      </c>
      <c r="V43" s="17">
        <f>'10'!$AU24</f>
        <v>0</v>
      </c>
      <c r="W43" s="228"/>
      <c r="X43" s="17">
        <f>'10'!CC$24</f>
        <v>0</v>
      </c>
      <c r="Y43" s="59" t="s">
        <v>227</v>
      </c>
    </row>
    <row r="44" spans="1:25" x14ac:dyDescent="0.35">
      <c r="A44" s="243" t="s">
        <v>142</v>
      </c>
      <c r="B44" s="242">
        <v>46184</v>
      </c>
      <c r="C44" s="58">
        <v>41</v>
      </c>
      <c r="D44" s="229" t="s">
        <v>203</v>
      </c>
      <c r="E44" s="224" t="s">
        <v>194</v>
      </c>
      <c r="F44" s="224" t="s">
        <v>218</v>
      </c>
      <c r="G44" s="224">
        <v>200</v>
      </c>
      <c r="H44" s="224" t="s">
        <v>217</v>
      </c>
      <c r="I44" s="17">
        <f>'11'!$E$6+'11'!$Q$6</f>
        <v>0</v>
      </c>
      <c r="J44" s="17">
        <f>'11'!$F$6+'11'!$R$6</f>
        <v>0</v>
      </c>
      <c r="K44" s="17">
        <f>'11'!$G$6+'11'!$S$6</f>
        <v>0</v>
      </c>
      <c r="L44" s="17">
        <f>'11'!$BC6</f>
        <v>0</v>
      </c>
      <c r="M44" s="17">
        <f>'11'!$BD6</f>
        <v>0</v>
      </c>
      <c r="N44" s="17">
        <f>'11'!$BE6</f>
        <v>0</v>
      </c>
      <c r="O44" s="61">
        <f>'11'!$AW6</f>
        <v>0</v>
      </c>
      <c r="P44" s="61">
        <f>'11'!$AX6</f>
        <v>0</v>
      </c>
      <c r="Q44" s="61">
        <f>'11'!$AY6</f>
        <v>0</v>
      </c>
      <c r="R44" s="62">
        <f>'11'!$AZ6</f>
        <v>0</v>
      </c>
      <c r="S44" s="62">
        <f>'11'!$BA6</f>
        <v>0</v>
      </c>
      <c r="T44" s="62">
        <f>'11'!$BB6</f>
        <v>0</v>
      </c>
      <c r="U44" s="63">
        <f>'11'!$AV6</f>
        <v>0</v>
      </c>
      <c r="V44" s="17">
        <f>'11'!$AU6</f>
        <v>0</v>
      </c>
      <c r="W44" s="224">
        <v>4</v>
      </c>
      <c r="X44" s="17">
        <f>'11'!CC$6</f>
        <v>0</v>
      </c>
      <c r="Y44" s="59" t="s">
        <v>227</v>
      </c>
    </row>
    <row r="45" spans="1:25" x14ac:dyDescent="0.35">
      <c r="A45" s="243"/>
      <c r="B45" s="242"/>
      <c r="C45" s="58">
        <v>41.25</v>
      </c>
      <c r="D45" s="230"/>
      <c r="E45" s="225"/>
      <c r="F45" s="225"/>
      <c r="G45" s="225"/>
      <c r="H45" s="225"/>
      <c r="I45" s="17">
        <f>'11'!$E$12+'11'!$Q$12</f>
        <v>0</v>
      </c>
      <c r="J45" s="17">
        <f>'11'!$F$12+'11'!$R$12</f>
        <v>0</v>
      </c>
      <c r="K45" s="17">
        <f>'11'!$G$12+'11'!$S$12</f>
        <v>0</v>
      </c>
      <c r="L45" s="17">
        <f>'11'!$BC12</f>
        <v>0</v>
      </c>
      <c r="M45" s="17">
        <f>'11'!$BD12</f>
        <v>0</v>
      </c>
      <c r="N45" s="17">
        <f>'11'!$BE12</f>
        <v>0</v>
      </c>
      <c r="O45" s="61">
        <f>'11'!$AW12</f>
        <v>0</v>
      </c>
      <c r="P45" s="61">
        <f>'11'!$AX12</f>
        <v>0</v>
      </c>
      <c r="Q45" s="61">
        <f>'11'!$AY12</f>
        <v>0</v>
      </c>
      <c r="R45" s="62">
        <f>'11'!$AZ12</f>
        <v>0</v>
      </c>
      <c r="S45" s="62">
        <f>'11'!$BA12</f>
        <v>0</v>
      </c>
      <c r="T45" s="62">
        <f>'11'!$BB12</f>
        <v>0</v>
      </c>
      <c r="U45" s="63">
        <f>'11'!$AV12</f>
        <v>0</v>
      </c>
      <c r="V45" s="17">
        <f>'11'!$AU12</f>
        <v>0</v>
      </c>
      <c r="W45" s="225"/>
      <c r="X45" s="17">
        <f>'11'!CC$12</f>
        <v>0</v>
      </c>
      <c r="Y45" s="59" t="s">
        <v>227</v>
      </c>
    </row>
    <row r="46" spans="1:25" x14ac:dyDescent="0.35">
      <c r="A46" s="243"/>
      <c r="B46" s="242"/>
      <c r="C46" s="58">
        <v>41.5</v>
      </c>
      <c r="D46" s="230"/>
      <c r="E46" s="225"/>
      <c r="F46" s="225"/>
      <c r="G46" s="225"/>
      <c r="H46" s="225"/>
      <c r="I46" s="17">
        <f>'11'!$E$18+'11'!$Q$18</f>
        <v>0</v>
      </c>
      <c r="J46" s="17">
        <f>'11'!$F$18+'11'!$R$18</f>
        <v>0</v>
      </c>
      <c r="K46" s="17">
        <f>'11'!$G$18+'11'!$S$18</f>
        <v>0</v>
      </c>
      <c r="L46" s="17">
        <f>'11'!$BC18</f>
        <v>0</v>
      </c>
      <c r="M46" s="17">
        <f>'11'!$BD18</f>
        <v>0</v>
      </c>
      <c r="N46" s="17">
        <f>'11'!$BE18</f>
        <v>0</v>
      </c>
      <c r="O46" s="61">
        <f>'11'!$AW18</f>
        <v>0</v>
      </c>
      <c r="P46" s="61">
        <f>'11'!$AX18</f>
        <v>0</v>
      </c>
      <c r="Q46" s="61">
        <f>'11'!$AY18</f>
        <v>0</v>
      </c>
      <c r="R46" s="62">
        <f>'11'!$AZ18</f>
        <v>0</v>
      </c>
      <c r="S46" s="62">
        <f>'11'!$BA18</f>
        <v>0</v>
      </c>
      <c r="T46" s="62">
        <f>'11'!$BB18</f>
        <v>0</v>
      </c>
      <c r="U46" s="63">
        <f>'11'!$AV18</f>
        <v>0</v>
      </c>
      <c r="V46" s="17">
        <f>'11'!$AU18</f>
        <v>0</v>
      </c>
      <c r="W46" s="225"/>
      <c r="X46" s="17">
        <f>'11'!CC$18</f>
        <v>0</v>
      </c>
      <c r="Y46" s="59" t="s">
        <v>227</v>
      </c>
    </row>
    <row r="47" spans="1:25" x14ac:dyDescent="0.35">
      <c r="A47" s="243"/>
      <c r="B47" s="242"/>
      <c r="C47" s="58">
        <v>41.75</v>
      </c>
      <c r="D47" s="231"/>
      <c r="E47" s="228"/>
      <c r="F47" s="228"/>
      <c r="G47" s="228"/>
      <c r="H47" s="228"/>
      <c r="I47" s="17">
        <f>'11'!$E$24+'11'!$Q$24</f>
        <v>0</v>
      </c>
      <c r="J47" s="17">
        <f>'11'!$F$24+'11'!$R$24</f>
        <v>0</v>
      </c>
      <c r="K47" s="17">
        <f>'11'!$G$24+'11'!$S$24</f>
        <v>0</v>
      </c>
      <c r="L47" s="17">
        <f>'11'!$BC24</f>
        <v>0</v>
      </c>
      <c r="M47" s="17">
        <f>'11'!$BD24</f>
        <v>0</v>
      </c>
      <c r="N47" s="17">
        <f>'11'!$BE24</f>
        <v>0</v>
      </c>
      <c r="O47" s="61">
        <f>'11'!$AW24</f>
        <v>0</v>
      </c>
      <c r="P47" s="61">
        <f>'11'!$AX24</f>
        <v>0</v>
      </c>
      <c r="Q47" s="61">
        <f>'11'!$AY24</f>
        <v>0</v>
      </c>
      <c r="R47" s="62">
        <f>'11'!$AZ24</f>
        <v>0</v>
      </c>
      <c r="S47" s="62">
        <f>'11'!$BA24</f>
        <v>0</v>
      </c>
      <c r="T47" s="62">
        <f>'11'!$BB24</f>
        <v>0</v>
      </c>
      <c r="U47" s="63">
        <f>'11'!$AV24</f>
        <v>0</v>
      </c>
      <c r="V47" s="17">
        <f>'11'!$AU24</f>
        <v>0</v>
      </c>
      <c r="W47" s="228"/>
      <c r="X47" s="17">
        <f>'11'!CC$24</f>
        <v>0</v>
      </c>
      <c r="Y47" s="59" t="s">
        <v>227</v>
      </c>
    </row>
    <row r="48" spans="1:25" x14ac:dyDescent="0.35">
      <c r="A48" s="243" t="s">
        <v>142</v>
      </c>
      <c r="B48" s="242">
        <v>46185</v>
      </c>
      <c r="C48" s="58">
        <v>45</v>
      </c>
      <c r="D48" s="229" t="s">
        <v>203</v>
      </c>
      <c r="E48" s="224" t="s">
        <v>194</v>
      </c>
      <c r="F48" s="224" t="s">
        <v>218</v>
      </c>
      <c r="G48" s="224">
        <v>200</v>
      </c>
      <c r="H48" s="224" t="s">
        <v>217</v>
      </c>
      <c r="I48" s="17">
        <f>'12'!$E$6+'12'!$Q$6</f>
        <v>0</v>
      </c>
      <c r="J48" s="17">
        <f>'12'!$F$6+'12'!$R$6</f>
        <v>0</v>
      </c>
      <c r="K48" s="17">
        <f>'12'!$G$6+'12'!$S$6</f>
        <v>0</v>
      </c>
      <c r="L48" s="17">
        <f>'12'!$BC6</f>
        <v>0</v>
      </c>
      <c r="M48" s="17">
        <f>'12'!$BD6</f>
        <v>0</v>
      </c>
      <c r="N48" s="17">
        <f>'12'!$BE6</f>
        <v>0</v>
      </c>
      <c r="O48" s="61">
        <f>'12'!$AW6</f>
        <v>0</v>
      </c>
      <c r="P48" s="61">
        <f>'12'!$AX6</f>
        <v>0</v>
      </c>
      <c r="Q48" s="61">
        <f>'12'!$AY6</f>
        <v>0</v>
      </c>
      <c r="R48" s="62">
        <f>'12'!$AZ6</f>
        <v>0</v>
      </c>
      <c r="S48" s="62">
        <f>'12'!$BA6</f>
        <v>0</v>
      </c>
      <c r="T48" s="62">
        <f>'12'!$BB6</f>
        <v>0</v>
      </c>
      <c r="U48" s="63">
        <f>'12'!$AV6</f>
        <v>0</v>
      </c>
      <c r="V48" s="17">
        <f>'12'!$AU6</f>
        <v>0</v>
      </c>
      <c r="W48" s="224">
        <v>4</v>
      </c>
      <c r="X48" s="17">
        <f>'12'!CC$6</f>
        <v>0</v>
      </c>
      <c r="Y48" s="59" t="s">
        <v>227</v>
      </c>
    </row>
    <row r="49" spans="1:25" x14ac:dyDescent="0.35">
      <c r="A49" s="243"/>
      <c r="B49" s="242"/>
      <c r="C49" s="58">
        <v>45.25</v>
      </c>
      <c r="D49" s="230"/>
      <c r="E49" s="225"/>
      <c r="F49" s="225"/>
      <c r="G49" s="225"/>
      <c r="H49" s="225"/>
      <c r="I49" s="17">
        <f>'12'!$E$12+'12'!$Q$12</f>
        <v>0</v>
      </c>
      <c r="J49" s="17">
        <f>'12'!$F$12+'12'!$R$12</f>
        <v>0</v>
      </c>
      <c r="K49" s="17">
        <f>'12'!$G$12+'12'!$S$12</f>
        <v>0</v>
      </c>
      <c r="L49" s="17">
        <f>'12'!$BC12</f>
        <v>0</v>
      </c>
      <c r="M49" s="17">
        <f>'12'!$BD12</f>
        <v>0</v>
      </c>
      <c r="N49" s="17">
        <f>'12'!$BE12</f>
        <v>0</v>
      </c>
      <c r="O49" s="61">
        <f>'12'!$AW12</f>
        <v>0</v>
      </c>
      <c r="P49" s="61">
        <f>'12'!$AX12</f>
        <v>0</v>
      </c>
      <c r="Q49" s="61">
        <f>'12'!$AY12</f>
        <v>0</v>
      </c>
      <c r="R49" s="62">
        <f>'12'!$AZ12</f>
        <v>0</v>
      </c>
      <c r="S49" s="62">
        <f>'12'!$BA12</f>
        <v>0</v>
      </c>
      <c r="T49" s="62">
        <f>'12'!$BB12</f>
        <v>0</v>
      </c>
      <c r="U49" s="63">
        <f>'12'!$AV12</f>
        <v>0</v>
      </c>
      <c r="V49" s="17">
        <f>'12'!$AU12</f>
        <v>0</v>
      </c>
      <c r="W49" s="225"/>
      <c r="X49" s="17">
        <f>'12'!CC$12</f>
        <v>0</v>
      </c>
      <c r="Y49" s="59" t="s">
        <v>227</v>
      </c>
    </row>
    <row r="50" spans="1:25" x14ac:dyDescent="0.35">
      <c r="A50" s="243"/>
      <c r="B50" s="242"/>
      <c r="C50" s="58">
        <v>45.5</v>
      </c>
      <c r="D50" s="230"/>
      <c r="E50" s="225"/>
      <c r="F50" s="225"/>
      <c r="G50" s="225"/>
      <c r="H50" s="225"/>
      <c r="I50" s="17">
        <f>'12'!$E$18+'12'!$Q$18</f>
        <v>0</v>
      </c>
      <c r="J50" s="17">
        <f>'12'!$F$18+'12'!$R$18</f>
        <v>0</v>
      </c>
      <c r="K50" s="17">
        <f>'12'!$G$18+'12'!$S$18</f>
        <v>0</v>
      </c>
      <c r="L50" s="17">
        <f>'12'!$BC18</f>
        <v>0</v>
      </c>
      <c r="M50" s="17">
        <f>'12'!$BD18</f>
        <v>0</v>
      </c>
      <c r="N50" s="17">
        <f>'12'!$BE18</f>
        <v>0</v>
      </c>
      <c r="O50" s="61">
        <f>'12'!$AW18</f>
        <v>0</v>
      </c>
      <c r="P50" s="61">
        <f>'12'!$AX18</f>
        <v>0</v>
      </c>
      <c r="Q50" s="61">
        <f>'12'!$AY18</f>
        <v>0</v>
      </c>
      <c r="R50" s="62">
        <f>'12'!$AZ18</f>
        <v>0</v>
      </c>
      <c r="S50" s="62">
        <f>'12'!$BA18</f>
        <v>0</v>
      </c>
      <c r="T50" s="62">
        <f>'12'!$BB18</f>
        <v>0</v>
      </c>
      <c r="U50" s="63">
        <f>'12'!$AV18</f>
        <v>0</v>
      </c>
      <c r="V50" s="17">
        <f>'12'!$AU18</f>
        <v>0</v>
      </c>
      <c r="W50" s="225"/>
      <c r="X50" s="17">
        <f>'12'!CC$18</f>
        <v>0</v>
      </c>
      <c r="Y50" s="59" t="s">
        <v>227</v>
      </c>
    </row>
    <row r="51" spans="1:25" x14ac:dyDescent="0.35">
      <c r="A51" s="243"/>
      <c r="B51" s="242"/>
      <c r="C51" s="58">
        <v>45.75</v>
      </c>
      <c r="D51" s="231"/>
      <c r="E51" s="228"/>
      <c r="F51" s="228"/>
      <c r="G51" s="228"/>
      <c r="H51" s="228"/>
      <c r="I51" s="17">
        <f>'12'!$E$24+'12'!$Q$24</f>
        <v>0</v>
      </c>
      <c r="J51" s="17">
        <f>'12'!$F$24+'12'!$R$24</f>
        <v>0</v>
      </c>
      <c r="K51" s="17">
        <f>'12'!$G$24+'12'!$S$24</f>
        <v>0</v>
      </c>
      <c r="L51" s="17">
        <f>'12'!$BC24</f>
        <v>0</v>
      </c>
      <c r="M51" s="17">
        <f>'12'!$BD24</f>
        <v>0</v>
      </c>
      <c r="N51" s="17">
        <f>'12'!$BE24</f>
        <v>0</v>
      </c>
      <c r="O51" s="61">
        <f>'12'!$AW24</f>
        <v>0</v>
      </c>
      <c r="P51" s="61">
        <f>'12'!$AX24</f>
        <v>0</v>
      </c>
      <c r="Q51" s="61">
        <f>'12'!$AY24</f>
        <v>0</v>
      </c>
      <c r="R51" s="62">
        <f>'12'!$AZ24</f>
        <v>0</v>
      </c>
      <c r="S51" s="62">
        <f>'12'!$BA24</f>
        <v>0</v>
      </c>
      <c r="T51" s="62">
        <f>'12'!$BB24</f>
        <v>0</v>
      </c>
      <c r="U51" s="63">
        <f>'12'!$AV24</f>
        <v>0</v>
      </c>
      <c r="V51" s="17">
        <f>'12'!$AU24</f>
        <v>0</v>
      </c>
      <c r="W51" s="228"/>
      <c r="X51" s="17">
        <f>'12'!CC$24</f>
        <v>0</v>
      </c>
      <c r="Y51" s="59" t="s">
        <v>227</v>
      </c>
    </row>
    <row r="52" spans="1:25" x14ac:dyDescent="0.35">
      <c r="A52" s="243" t="s">
        <v>142</v>
      </c>
      <c r="B52" s="242">
        <v>46186</v>
      </c>
      <c r="C52" s="58">
        <v>49</v>
      </c>
      <c r="D52" s="229" t="s">
        <v>203</v>
      </c>
      <c r="E52" s="224" t="s">
        <v>194</v>
      </c>
      <c r="F52" s="224" t="s">
        <v>218</v>
      </c>
      <c r="G52" s="224">
        <v>200</v>
      </c>
      <c r="H52" s="224" t="s">
        <v>217</v>
      </c>
      <c r="I52" s="17">
        <f>'13'!$E$6+'13'!$Q$6</f>
        <v>0</v>
      </c>
      <c r="J52" s="17">
        <f>'13'!$F$6+'13'!$R$6</f>
        <v>0</v>
      </c>
      <c r="K52" s="17">
        <f>'13'!$G$6+'13'!$S$6</f>
        <v>0</v>
      </c>
      <c r="L52" s="17">
        <f>'13'!$BC6</f>
        <v>0</v>
      </c>
      <c r="M52" s="17">
        <f>'13'!$BD6</f>
        <v>0</v>
      </c>
      <c r="N52" s="17">
        <f>'13'!$BE6</f>
        <v>0</v>
      </c>
      <c r="O52" s="61">
        <f>'13'!$AW6</f>
        <v>0</v>
      </c>
      <c r="P52" s="61">
        <f>'13'!$AX6</f>
        <v>0</v>
      </c>
      <c r="Q52" s="61">
        <f>'13'!$AY6</f>
        <v>0</v>
      </c>
      <c r="R52" s="62">
        <f>'13'!$AZ6</f>
        <v>0</v>
      </c>
      <c r="S52" s="62">
        <f>'13'!$BA6</f>
        <v>0</v>
      </c>
      <c r="T52" s="62">
        <f>'13'!$BB6</f>
        <v>0</v>
      </c>
      <c r="U52" s="63">
        <f>'13'!$AV6</f>
        <v>0</v>
      </c>
      <c r="V52" s="17">
        <f>'13'!$AU6</f>
        <v>0</v>
      </c>
      <c r="W52" s="224">
        <v>4</v>
      </c>
      <c r="X52" s="17">
        <f>'13'!CC$6</f>
        <v>0</v>
      </c>
      <c r="Y52" s="59" t="s">
        <v>227</v>
      </c>
    </row>
    <row r="53" spans="1:25" x14ac:dyDescent="0.35">
      <c r="A53" s="243"/>
      <c r="B53" s="242"/>
      <c r="C53" s="58">
        <v>49.25</v>
      </c>
      <c r="D53" s="230"/>
      <c r="E53" s="225"/>
      <c r="F53" s="225"/>
      <c r="G53" s="225"/>
      <c r="H53" s="225"/>
      <c r="I53" s="17">
        <f>'13'!$E$12+'13'!$Q$12</f>
        <v>0</v>
      </c>
      <c r="J53" s="17">
        <f>'13'!$F$12+'13'!$R$12</f>
        <v>0</v>
      </c>
      <c r="K53" s="17">
        <f>'13'!$G$12+'13'!$S$12</f>
        <v>0</v>
      </c>
      <c r="L53" s="17">
        <f>'13'!$BC12</f>
        <v>0</v>
      </c>
      <c r="M53" s="17">
        <f>'13'!$BD12</f>
        <v>0</v>
      </c>
      <c r="N53" s="17">
        <f>'13'!$BE12</f>
        <v>0</v>
      </c>
      <c r="O53" s="61">
        <f>'13'!$AW12</f>
        <v>0</v>
      </c>
      <c r="P53" s="61">
        <f>'13'!$AX12</f>
        <v>0</v>
      </c>
      <c r="Q53" s="61">
        <f>'13'!$AY12</f>
        <v>0</v>
      </c>
      <c r="R53" s="62">
        <f>'13'!$AZ12</f>
        <v>0</v>
      </c>
      <c r="S53" s="62">
        <f>'13'!$BA12</f>
        <v>0</v>
      </c>
      <c r="T53" s="62">
        <f>'13'!$BB12</f>
        <v>0</v>
      </c>
      <c r="U53" s="63">
        <f>'13'!$AV12</f>
        <v>0</v>
      </c>
      <c r="V53" s="17">
        <f>'13'!$AU12</f>
        <v>0</v>
      </c>
      <c r="W53" s="225"/>
      <c r="X53" s="17">
        <f>'13'!CC$12</f>
        <v>0</v>
      </c>
      <c r="Y53" s="59" t="s">
        <v>227</v>
      </c>
    </row>
    <row r="54" spans="1:25" x14ac:dyDescent="0.35">
      <c r="A54" s="243"/>
      <c r="B54" s="242"/>
      <c r="C54" s="58">
        <v>49.5</v>
      </c>
      <c r="D54" s="230"/>
      <c r="E54" s="225"/>
      <c r="F54" s="225"/>
      <c r="G54" s="225"/>
      <c r="H54" s="225"/>
      <c r="I54" s="17">
        <f>'13'!$E$18+'13'!$Q$18</f>
        <v>0</v>
      </c>
      <c r="J54" s="17">
        <f>'13'!$F$18+'13'!$R$18</f>
        <v>0</v>
      </c>
      <c r="K54" s="17">
        <f>'13'!$G$18+'13'!$S$18</f>
        <v>0</v>
      </c>
      <c r="L54" s="17">
        <f>'13'!$BC18</f>
        <v>0</v>
      </c>
      <c r="M54" s="17">
        <f>'13'!$BD18</f>
        <v>0</v>
      </c>
      <c r="N54" s="17">
        <f>'13'!$BE18</f>
        <v>0</v>
      </c>
      <c r="O54" s="61">
        <f>'13'!$AW18</f>
        <v>0</v>
      </c>
      <c r="P54" s="61">
        <f>'13'!$AX18</f>
        <v>0</v>
      </c>
      <c r="Q54" s="61">
        <f>'13'!$AY18</f>
        <v>0</v>
      </c>
      <c r="R54" s="62">
        <f>'13'!$AZ18</f>
        <v>0</v>
      </c>
      <c r="S54" s="62">
        <f>'13'!$BA18</f>
        <v>0</v>
      </c>
      <c r="T54" s="62">
        <f>'13'!$BB18</f>
        <v>0</v>
      </c>
      <c r="U54" s="63">
        <f>'13'!$AV18</f>
        <v>0</v>
      </c>
      <c r="V54" s="17">
        <f>'13'!$AU18</f>
        <v>0</v>
      </c>
      <c r="W54" s="225"/>
      <c r="X54" s="17">
        <f>'13'!CC$18</f>
        <v>0</v>
      </c>
      <c r="Y54" s="59" t="s">
        <v>227</v>
      </c>
    </row>
    <row r="55" spans="1:25" x14ac:dyDescent="0.35">
      <c r="A55" s="243"/>
      <c r="B55" s="242"/>
      <c r="C55" s="58">
        <v>49.75</v>
      </c>
      <c r="D55" s="231"/>
      <c r="E55" s="228"/>
      <c r="F55" s="228"/>
      <c r="G55" s="228"/>
      <c r="H55" s="228"/>
      <c r="I55" s="17">
        <f>'13'!$E$24+'13'!$Q$24</f>
        <v>0</v>
      </c>
      <c r="J55" s="17">
        <f>'13'!$F$24+'13'!$R$24</f>
        <v>0</v>
      </c>
      <c r="K55" s="17">
        <f>'13'!$G$24+'13'!$S$24</f>
        <v>0</v>
      </c>
      <c r="L55" s="17">
        <f>'13'!$BC24</f>
        <v>0</v>
      </c>
      <c r="M55" s="17">
        <f>'13'!$BD24</f>
        <v>0</v>
      </c>
      <c r="N55" s="17">
        <f>'13'!$BE24</f>
        <v>0</v>
      </c>
      <c r="O55" s="61">
        <f>'13'!$AW24</f>
        <v>0</v>
      </c>
      <c r="P55" s="61">
        <f>'13'!$AX24</f>
        <v>0</v>
      </c>
      <c r="Q55" s="61">
        <f>'13'!$AY24</f>
        <v>0</v>
      </c>
      <c r="R55" s="62">
        <f>'13'!$AZ24</f>
        <v>0</v>
      </c>
      <c r="S55" s="62">
        <f>'13'!$BA24</f>
        <v>0</v>
      </c>
      <c r="T55" s="62">
        <f>'13'!$BB24</f>
        <v>0</v>
      </c>
      <c r="U55" s="63">
        <f>'13'!$AV24</f>
        <v>0</v>
      </c>
      <c r="V55" s="17">
        <f>'13'!$AU24</f>
        <v>0</v>
      </c>
      <c r="W55" s="228"/>
      <c r="X55" s="17">
        <f>'13'!CC$24</f>
        <v>0</v>
      </c>
      <c r="Y55" s="59" t="s">
        <v>227</v>
      </c>
    </row>
    <row r="56" spans="1:25" x14ac:dyDescent="0.35">
      <c r="A56" s="243" t="s">
        <v>142</v>
      </c>
      <c r="B56" s="242">
        <v>46187</v>
      </c>
      <c r="C56" s="58">
        <v>53</v>
      </c>
      <c r="D56" s="229" t="s">
        <v>203</v>
      </c>
      <c r="E56" s="224" t="s">
        <v>194</v>
      </c>
      <c r="F56" s="224" t="s">
        <v>218</v>
      </c>
      <c r="G56" s="224">
        <v>200</v>
      </c>
      <c r="H56" s="224" t="s">
        <v>217</v>
      </c>
      <c r="I56" s="17">
        <f>'14'!$E$6+'14'!$Q$6</f>
        <v>0</v>
      </c>
      <c r="J56" s="17">
        <f>'14'!$F$6+'14'!$R$6</f>
        <v>0</v>
      </c>
      <c r="K56" s="17">
        <f>'14'!$G$6+'14'!$S$6</f>
        <v>0</v>
      </c>
      <c r="L56" s="17">
        <f>'14'!$BC6</f>
        <v>0</v>
      </c>
      <c r="M56" s="17">
        <f>'14'!$BD6</f>
        <v>0</v>
      </c>
      <c r="N56" s="17">
        <f>'14'!$BE6</f>
        <v>0</v>
      </c>
      <c r="O56" s="61">
        <f>'14'!$AW6</f>
        <v>0</v>
      </c>
      <c r="P56" s="61">
        <f>'14'!$AX6</f>
        <v>0</v>
      </c>
      <c r="Q56" s="61">
        <f>'14'!$AY6</f>
        <v>0</v>
      </c>
      <c r="R56" s="62">
        <f>'14'!$AZ6</f>
        <v>0</v>
      </c>
      <c r="S56" s="62">
        <f>'14'!$BA6</f>
        <v>0</v>
      </c>
      <c r="T56" s="62">
        <f>'14'!$BB6</f>
        <v>0</v>
      </c>
      <c r="U56" s="63">
        <f>'14'!$AV6</f>
        <v>0</v>
      </c>
      <c r="V56" s="17">
        <f>'14'!$AU6</f>
        <v>0</v>
      </c>
      <c r="W56" s="224">
        <v>4</v>
      </c>
      <c r="X56" s="17">
        <f>'14'!CC$6</f>
        <v>0</v>
      </c>
      <c r="Y56" s="59" t="s">
        <v>227</v>
      </c>
    </row>
    <row r="57" spans="1:25" x14ac:dyDescent="0.35">
      <c r="A57" s="243"/>
      <c r="B57" s="242"/>
      <c r="C57" s="58">
        <v>53.25</v>
      </c>
      <c r="D57" s="230"/>
      <c r="E57" s="225"/>
      <c r="F57" s="225"/>
      <c r="G57" s="225"/>
      <c r="H57" s="225"/>
      <c r="I57" s="17">
        <f>'14'!$E$12+'14'!$Q$12</f>
        <v>0</v>
      </c>
      <c r="J57" s="17">
        <f>'14'!$F$12+'14'!$R$12</f>
        <v>0</v>
      </c>
      <c r="K57" s="17">
        <f>'14'!$G$12+'14'!$S$12</f>
        <v>0</v>
      </c>
      <c r="L57" s="17">
        <f>'14'!$BC12</f>
        <v>0</v>
      </c>
      <c r="M57" s="17">
        <f>'14'!$BD12</f>
        <v>0</v>
      </c>
      <c r="N57" s="17">
        <f>'14'!$BE12</f>
        <v>0</v>
      </c>
      <c r="O57" s="61">
        <f>'14'!$AW12</f>
        <v>0</v>
      </c>
      <c r="P57" s="61">
        <f>'14'!$AX12</f>
        <v>0</v>
      </c>
      <c r="Q57" s="61">
        <f>'14'!$AY12</f>
        <v>0</v>
      </c>
      <c r="R57" s="62">
        <f>'14'!$AZ12</f>
        <v>0</v>
      </c>
      <c r="S57" s="62">
        <f>'14'!$BA12</f>
        <v>0</v>
      </c>
      <c r="T57" s="62">
        <f>'14'!$BB12</f>
        <v>0</v>
      </c>
      <c r="U57" s="63">
        <f>'14'!$AV12</f>
        <v>0</v>
      </c>
      <c r="V57" s="17">
        <f>'14'!$AU12</f>
        <v>0</v>
      </c>
      <c r="W57" s="225"/>
      <c r="X57" s="17">
        <f>'14'!CC$12</f>
        <v>0</v>
      </c>
      <c r="Y57" s="59" t="s">
        <v>227</v>
      </c>
    </row>
    <row r="58" spans="1:25" x14ac:dyDescent="0.35">
      <c r="A58" s="243"/>
      <c r="B58" s="242"/>
      <c r="C58" s="58">
        <v>53.5</v>
      </c>
      <c r="D58" s="230"/>
      <c r="E58" s="225"/>
      <c r="F58" s="225"/>
      <c r="G58" s="225"/>
      <c r="H58" s="225"/>
      <c r="I58" s="17">
        <f>'14'!$E$18+'14'!$Q$18</f>
        <v>0</v>
      </c>
      <c r="J58" s="17">
        <f>'14'!$F$18+'14'!$R$18</f>
        <v>0</v>
      </c>
      <c r="K58" s="17">
        <f>'14'!$G$18+'14'!$S$18</f>
        <v>0</v>
      </c>
      <c r="L58" s="17">
        <f>'14'!$BC18</f>
        <v>0</v>
      </c>
      <c r="M58" s="17">
        <f>'14'!$BD18</f>
        <v>0</v>
      </c>
      <c r="N58" s="17">
        <f>'14'!$BE18</f>
        <v>0</v>
      </c>
      <c r="O58" s="61">
        <f>'14'!$AW18</f>
        <v>0</v>
      </c>
      <c r="P58" s="61">
        <f>'14'!$AX18</f>
        <v>0</v>
      </c>
      <c r="Q58" s="61">
        <f>'14'!$AY18</f>
        <v>0</v>
      </c>
      <c r="R58" s="62">
        <f>'14'!$AZ18</f>
        <v>0</v>
      </c>
      <c r="S58" s="62">
        <f>'14'!$BA18</f>
        <v>0</v>
      </c>
      <c r="T58" s="62">
        <f>'14'!$BB18</f>
        <v>0</v>
      </c>
      <c r="U58" s="63">
        <f>'14'!$AV18</f>
        <v>0</v>
      </c>
      <c r="V58" s="17">
        <f>'14'!$AU18</f>
        <v>0</v>
      </c>
      <c r="W58" s="225"/>
      <c r="X58" s="17">
        <f>'14'!CC$18</f>
        <v>0</v>
      </c>
      <c r="Y58" s="59" t="s">
        <v>227</v>
      </c>
    </row>
    <row r="59" spans="1:25" x14ac:dyDescent="0.35">
      <c r="A59" s="243"/>
      <c r="B59" s="242"/>
      <c r="C59" s="58">
        <v>53.75</v>
      </c>
      <c r="D59" s="231"/>
      <c r="E59" s="228"/>
      <c r="F59" s="228"/>
      <c r="G59" s="228"/>
      <c r="H59" s="228"/>
      <c r="I59" s="17">
        <f>'14'!$E$24+'14'!$Q$24</f>
        <v>0</v>
      </c>
      <c r="J59" s="17">
        <f>'14'!$F$24+'14'!$R$24</f>
        <v>0</v>
      </c>
      <c r="K59" s="17">
        <f>'14'!$G$24+'14'!$S$24</f>
        <v>0</v>
      </c>
      <c r="L59" s="17">
        <f>'14'!$BC24</f>
        <v>0</v>
      </c>
      <c r="M59" s="17">
        <f>'14'!$BD24</f>
        <v>0</v>
      </c>
      <c r="N59" s="17">
        <f>'14'!$BE24</f>
        <v>0</v>
      </c>
      <c r="O59" s="61">
        <f>'14'!$AW24</f>
        <v>0</v>
      </c>
      <c r="P59" s="61">
        <f>'14'!$AX24</f>
        <v>0</v>
      </c>
      <c r="Q59" s="61">
        <f>'14'!$AY24</f>
        <v>0</v>
      </c>
      <c r="R59" s="62">
        <f>'14'!$AZ24</f>
        <v>0</v>
      </c>
      <c r="S59" s="62">
        <f>'14'!$BA24</f>
        <v>0</v>
      </c>
      <c r="T59" s="62">
        <f>'14'!$BB24</f>
        <v>0</v>
      </c>
      <c r="U59" s="63">
        <f>'14'!$AV24</f>
        <v>0</v>
      </c>
      <c r="V59" s="17">
        <f>'14'!$AU24</f>
        <v>0</v>
      </c>
      <c r="W59" s="228"/>
      <c r="X59" s="17">
        <f>'14'!CC$24</f>
        <v>0</v>
      </c>
      <c r="Y59" s="59" t="s">
        <v>227</v>
      </c>
    </row>
    <row r="60" spans="1:25" x14ac:dyDescent="0.35">
      <c r="A60" s="243" t="s">
        <v>142</v>
      </c>
      <c r="B60" s="242">
        <v>46188</v>
      </c>
      <c r="C60" s="58">
        <v>57</v>
      </c>
      <c r="D60" s="229" t="s">
        <v>203</v>
      </c>
      <c r="E60" s="224" t="s">
        <v>194</v>
      </c>
      <c r="F60" s="224" t="s">
        <v>218</v>
      </c>
      <c r="G60" s="224">
        <v>200</v>
      </c>
      <c r="H60" s="224" t="s">
        <v>217</v>
      </c>
      <c r="I60" s="17">
        <f>'15'!$E$6+'15'!$Q$6</f>
        <v>0</v>
      </c>
      <c r="J60" s="17">
        <f>'15'!$F$6+'15'!$R$6</f>
        <v>0</v>
      </c>
      <c r="K60" s="17">
        <f>'15'!$G$6+'15'!$S$6</f>
        <v>0</v>
      </c>
      <c r="L60" s="17">
        <f>'15'!$BC6</f>
        <v>0</v>
      </c>
      <c r="M60" s="17">
        <f>'15'!$BD6</f>
        <v>0</v>
      </c>
      <c r="N60" s="17">
        <f>'15'!$BE6</f>
        <v>0</v>
      </c>
      <c r="O60" s="61">
        <f>'15'!$AW6</f>
        <v>0</v>
      </c>
      <c r="P60" s="61">
        <f>'15'!$AX6</f>
        <v>0</v>
      </c>
      <c r="Q60" s="61">
        <f>'15'!$AY6</f>
        <v>0</v>
      </c>
      <c r="R60" s="62">
        <f>'15'!$AZ6</f>
        <v>0</v>
      </c>
      <c r="S60" s="62">
        <f>'15'!$BA6</f>
        <v>0</v>
      </c>
      <c r="T60" s="62">
        <f>'15'!$BB6</f>
        <v>0</v>
      </c>
      <c r="U60" s="63">
        <f>'15'!$AV6</f>
        <v>0</v>
      </c>
      <c r="V60" s="17">
        <f>'15'!$AU6</f>
        <v>0</v>
      </c>
      <c r="W60" s="224">
        <v>4</v>
      </c>
      <c r="X60" s="17">
        <f>'15'!$CC$6</f>
        <v>0</v>
      </c>
      <c r="Y60" s="59" t="s">
        <v>227</v>
      </c>
    </row>
    <row r="61" spans="1:25" x14ac:dyDescent="0.35">
      <c r="A61" s="243"/>
      <c r="B61" s="242"/>
      <c r="C61" s="58">
        <v>57.25</v>
      </c>
      <c r="D61" s="230"/>
      <c r="E61" s="225"/>
      <c r="F61" s="225"/>
      <c r="G61" s="225"/>
      <c r="H61" s="225"/>
      <c r="I61" s="17">
        <f>'15'!$E$12+'15'!$Q$12</f>
        <v>0</v>
      </c>
      <c r="J61" s="17">
        <f>'15'!$F$12+'15'!$R$12</f>
        <v>0</v>
      </c>
      <c r="K61" s="17">
        <f>'15'!$G$12+'15'!$S$12</f>
        <v>0</v>
      </c>
      <c r="L61" s="17">
        <f>'15'!$BC12</f>
        <v>0</v>
      </c>
      <c r="M61" s="17">
        <f>'15'!$BD12</f>
        <v>0</v>
      </c>
      <c r="N61" s="17">
        <f>'15'!$BE12</f>
        <v>0</v>
      </c>
      <c r="O61" s="61">
        <f>'15'!$AW12</f>
        <v>0</v>
      </c>
      <c r="P61" s="61">
        <f>'15'!$AX12</f>
        <v>0</v>
      </c>
      <c r="Q61" s="61">
        <f>'15'!$AY12</f>
        <v>0</v>
      </c>
      <c r="R61" s="62">
        <f>'15'!$AZ12</f>
        <v>0</v>
      </c>
      <c r="S61" s="62">
        <f>'15'!$BA12</f>
        <v>0</v>
      </c>
      <c r="T61" s="62">
        <f>'15'!$BB12</f>
        <v>0</v>
      </c>
      <c r="U61" s="63">
        <f>'15'!$AV12</f>
        <v>0</v>
      </c>
      <c r="V61" s="17">
        <f>'15'!$AU12</f>
        <v>0</v>
      </c>
      <c r="W61" s="225"/>
      <c r="X61" s="17">
        <f>'15'!$CC$12</f>
        <v>0</v>
      </c>
      <c r="Y61" s="59" t="s">
        <v>227</v>
      </c>
    </row>
    <row r="62" spans="1:25" x14ac:dyDescent="0.35">
      <c r="A62" s="243"/>
      <c r="B62" s="242"/>
      <c r="C62" s="58">
        <v>57.5</v>
      </c>
      <c r="D62" s="230"/>
      <c r="E62" s="225"/>
      <c r="F62" s="225"/>
      <c r="G62" s="225"/>
      <c r="H62" s="225"/>
      <c r="I62" s="17">
        <f>'15'!$E$18+'15'!$Q$18</f>
        <v>0</v>
      </c>
      <c r="J62" s="17">
        <f>'15'!$F$18+'15'!$R$18</f>
        <v>0</v>
      </c>
      <c r="K62" s="17">
        <f>'15'!$G$18+'15'!$S$18</f>
        <v>0</v>
      </c>
      <c r="L62" s="17">
        <f>'15'!$BC18</f>
        <v>0</v>
      </c>
      <c r="M62" s="17">
        <f>'15'!$BD18</f>
        <v>0</v>
      </c>
      <c r="N62" s="17">
        <f>'15'!$BE18</f>
        <v>0</v>
      </c>
      <c r="O62" s="61">
        <f>'15'!$AW18</f>
        <v>0</v>
      </c>
      <c r="P62" s="61">
        <f>'15'!$AX18</f>
        <v>0</v>
      </c>
      <c r="Q62" s="61">
        <f>'15'!$AY18</f>
        <v>0</v>
      </c>
      <c r="R62" s="62">
        <f>'15'!$AZ18</f>
        <v>0</v>
      </c>
      <c r="S62" s="62">
        <f>'15'!$BA18</f>
        <v>0</v>
      </c>
      <c r="T62" s="62">
        <f>'15'!$BB18</f>
        <v>0</v>
      </c>
      <c r="U62" s="63">
        <f>'15'!$AV18</f>
        <v>0</v>
      </c>
      <c r="V62" s="17">
        <f>'15'!$AU18</f>
        <v>0</v>
      </c>
      <c r="W62" s="225"/>
      <c r="X62" s="17">
        <f>'15'!$CC$18</f>
        <v>0</v>
      </c>
      <c r="Y62" s="59" t="s">
        <v>227</v>
      </c>
    </row>
    <row r="63" spans="1:25" x14ac:dyDescent="0.35">
      <c r="A63" s="243"/>
      <c r="B63" s="242"/>
      <c r="C63" s="58">
        <v>57.75</v>
      </c>
      <c r="D63" s="231"/>
      <c r="E63" s="228"/>
      <c r="F63" s="228"/>
      <c r="G63" s="228"/>
      <c r="H63" s="228"/>
      <c r="I63" s="17">
        <f>'15'!$E$24+'15'!$Q$24</f>
        <v>0</v>
      </c>
      <c r="J63" s="17">
        <f>'15'!$F$24+'15'!$R$24</f>
        <v>0</v>
      </c>
      <c r="K63" s="17">
        <f>'15'!$G$24+'15'!$S$24</f>
        <v>0</v>
      </c>
      <c r="L63" s="17">
        <f>'15'!$BC24</f>
        <v>0</v>
      </c>
      <c r="M63" s="17">
        <f>'15'!$BD24</f>
        <v>0</v>
      </c>
      <c r="N63" s="17">
        <f>'15'!$BE24</f>
        <v>0</v>
      </c>
      <c r="O63" s="61">
        <f>'15'!$AW24</f>
        <v>0</v>
      </c>
      <c r="P63" s="61">
        <f>'15'!$AX24</f>
        <v>0</v>
      </c>
      <c r="Q63" s="61">
        <f>'15'!$AY24</f>
        <v>0</v>
      </c>
      <c r="R63" s="62">
        <f>'15'!$AZ24</f>
        <v>0</v>
      </c>
      <c r="S63" s="62">
        <f>'15'!$BA24</f>
        <v>0</v>
      </c>
      <c r="T63" s="62">
        <f>'15'!$BB24</f>
        <v>0</v>
      </c>
      <c r="U63" s="63">
        <f>'15'!$AV24</f>
        <v>0</v>
      </c>
      <c r="V63" s="17">
        <f>'15'!$AU24</f>
        <v>0</v>
      </c>
      <c r="W63" s="228"/>
      <c r="X63" s="17">
        <f>'15'!$CC$24</f>
        <v>0</v>
      </c>
      <c r="Y63" s="59" t="s">
        <v>227</v>
      </c>
    </row>
    <row r="64" spans="1:25" x14ac:dyDescent="0.35">
      <c r="A64" s="243" t="s">
        <v>142</v>
      </c>
      <c r="B64" s="242">
        <v>46189</v>
      </c>
      <c r="C64" s="58">
        <v>61</v>
      </c>
      <c r="D64" s="229" t="s">
        <v>203</v>
      </c>
      <c r="E64" s="224" t="s">
        <v>194</v>
      </c>
      <c r="F64" s="224" t="s">
        <v>218</v>
      </c>
      <c r="G64" s="224">
        <v>200</v>
      </c>
      <c r="H64" s="224" t="s">
        <v>217</v>
      </c>
      <c r="I64" s="17">
        <f>'16'!$E$6+'16'!$Q$6</f>
        <v>0</v>
      </c>
      <c r="J64" s="17">
        <f>'16'!$F$6+'16'!$R$6</f>
        <v>0</v>
      </c>
      <c r="K64" s="17">
        <f>'16'!$G$6+'16'!$S$6</f>
        <v>0</v>
      </c>
      <c r="L64" s="17">
        <f>'16'!$BC6</f>
        <v>0</v>
      </c>
      <c r="M64" s="17">
        <f>'16'!$BD6</f>
        <v>0</v>
      </c>
      <c r="N64" s="17">
        <f>'16'!$BE6</f>
        <v>0</v>
      </c>
      <c r="O64" s="61">
        <f>'16'!$AW6</f>
        <v>0</v>
      </c>
      <c r="P64" s="61">
        <f>'16'!$AX6</f>
        <v>0</v>
      </c>
      <c r="Q64" s="61">
        <f>'16'!$AY6</f>
        <v>0</v>
      </c>
      <c r="R64" s="62">
        <f>'16'!$AZ6</f>
        <v>0</v>
      </c>
      <c r="S64" s="62">
        <f>'16'!$BA6</f>
        <v>0</v>
      </c>
      <c r="T64" s="62">
        <f>'16'!$BB6</f>
        <v>0</v>
      </c>
      <c r="U64" s="63">
        <f>'16'!$AV6</f>
        <v>0</v>
      </c>
      <c r="V64" s="17">
        <f>'16'!$AU6</f>
        <v>0</v>
      </c>
      <c r="W64" s="224">
        <v>4</v>
      </c>
      <c r="X64" s="17">
        <f>'16'!$CC$6</f>
        <v>0</v>
      </c>
      <c r="Y64" s="59" t="s">
        <v>227</v>
      </c>
    </row>
    <row r="65" spans="1:25" x14ac:dyDescent="0.35">
      <c r="A65" s="243"/>
      <c r="B65" s="242"/>
      <c r="C65" s="58">
        <v>61.25</v>
      </c>
      <c r="D65" s="230"/>
      <c r="E65" s="225"/>
      <c r="F65" s="225"/>
      <c r="G65" s="225"/>
      <c r="H65" s="225"/>
      <c r="I65" s="17">
        <f>'16'!$E$12+'16'!$Q$12</f>
        <v>0</v>
      </c>
      <c r="J65" s="17">
        <f>'16'!$F$12+'16'!$R$12</f>
        <v>0</v>
      </c>
      <c r="K65" s="17">
        <f>'16'!$G$12+'16'!$S$12</f>
        <v>0</v>
      </c>
      <c r="L65" s="17">
        <f>'16'!$BC12</f>
        <v>0</v>
      </c>
      <c r="M65" s="17">
        <f>'16'!$BD12</f>
        <v>0</v>
      </c>
      <c r="N65" s="17">
        <f>'16'!$BE12</f>
        <v>0</v>
      </c>
      <c r="O65" s="61">
        <f>'16'!$AW12</f>
        <v>0</v>
      </c>
      <c r="P65" s="61">
        <f>'16'!$AX12</f>
        <v>0</v>
      </c>
      <c r="Q65" s="61">
        <f>'16'!$AY12</f>
        <v>0</v>
      </c>
      <c r="R65" s="62">
        <f>'16'!$AZ12</f>
        <v>0</v>
      </c>
      <c r="S65" s="62">
        <f>'16'!$BA12</f>
        <v>0</v>
      </c>
      <c r="T65" s="62">
        <f>'16'!$BB12</f>
        <v>0</v>
      </c>
      <c r="U65" s="63">
        <f>'16'!$AV12</f>
        <v>0</v>
      </c>
      <c r="V65" s="17">
        <f>'16'!$AU12</f>
        <v>0</v>
      </c>
      <c r="W65" s="225"/>
      <c r="X65" s="17">
        <f>'16'!$CC$12</f>
        <v>0</v>
      </c>
      <c r="Y65" s="59" t="s">
        <v>227</v>
      </c>
    </row>
    <row r="66" spans="1:25" x14ac:dyDescent="0.35">
      <c r="A66" s="243"/>
      <c r="B66" s="242"/>
      <c r="C66" s="58">
        <v>61.5</v>
      </c>
      <c r="D66" s="230"/>
      <c r="E66" s="225"/>
      <c r="F66" s="225"/>
      <c r="G66" s="225"/>
      <c r="H66" s="225"/>
      <c r="I66" s="17">
        <f>'16'!$E$18+'16'!$Q$18</f>
        <v>0</v>
      </c>
      <c r="J66" s="17">
        <f>'16'!$F$18+'16'!$R$18</f>
        <v>0</v>
      </c>
      <c r="K66" s="17">
        <f>'16'!$G$18+'16'!$S$18</f>
        <v>0</v>
      </c>
      <c r="L66" s="17">
        <f>'16'!$BC18</f>
        <v>0</v>
      </c>
      <c r="M66" s="17">
        <f>'16'!$BD18</f>
        <v>0</v>
      </c>
      <c r="N66" s="17">
        <f>'16'!$BE18</f>
        <v>0</v>
      </c>
      <c r="O66" s="61">
        <f>'16'!$AW18</f>
        <v>0</v>
      </c>
      <c r="P66" s="61">
        <f>'16'!$AX18</f>
        <v>0</v>
      </c>
      <c r="Q66" s="61">
        <f>'16'!$AY18</f>
        <v>0</v>
      </c>
      <c r="R66" s="62">
        <f>'16'!$AZ18</f>
        <v>0</v>
      </c>
      <c r="S66" s="62">
        <f>'16'!$BA18</f>
        <v>0</v>
      </c>
      <c r="T66" s="62">
        <f>'16'!$BB18</f>
        <v>0</v>
      </c>
      <c r="U66" s="63">
        <f>'16'!$AV18</f>
        <v>0</v>
      </c>
      <c r="V66" s="17">
        <f>'16'!$AU18</f>
        <v>0</v>
      </c>
      <c r="W66" s="225"/>
      <c r="X66" s="17">
        <f>'16'!$CC$18</f>
        <v>0</v>
      </c>
      <c r="Y66" s="59" t="s">
        <v>227</v>
      </c>
    </row>
    <row r="67" spans="1:25" x14ac:dyDescent="0.35">
      <c r="A67" s="243"/>
      <c r="B67" s="242"/>
      <c r="C67" s="58">
        <v>61.75</v>
      </c>
      <c r="D67" s="231"/>
      <c r="E67" s="228"/>
      <c r="F67" s="228"/>
      <c r="G67" s="228"/>
      <c r="H67" s="228"/>
      <c r="I67" s="17">
        <f>'16'!$E$24+'16'!$Q$24</f>
        <v>0</v>
      </c>
      <c r="J67" s="17">
        <f>'16'!$F$24+'16'!$R$24</f>
        <v>0</v>
      </c>
      <c r="K67" s="17">
        <f>'16'!$G$24+'16'!$S$24</f>
        <v>0</v>
      </c>
      <c r="L67" s="17">
        <f>'16'!$BC24</f>
        <v>0</v>
      </c>
      <c r="M67" s="17">
        <f>'16'!$BD24</f>
        <v>0</v>
      </c>
      <c r="N67" s="17">
        <f>'16'!$BE24</f>
        <v>0</v>
      </c>
      <c r="O67" s="61">
        <f>'16'!$AW24</f>
        <v>0</v>
      </c>
      <c r="P67" s="61">
        <f>'16'!$AX24</f>
        <v>0</v>
      </c>
      <c r="Q67" s="61">
        <f>'16'!$AY24</f>
        <v>0</v>
      </c>
      <c r="R67" s="62">
        <f>'16'!$AZ24</f>
        <v>0</v>
      </c>
      <c r="S67" s="62">
        <f>'16'!$BA24</f>
        <v>0</v>
      </c>
      <c r="T67" s="62">
        <f>'16'!$BB24</f>
        <v>0</v>
      </c>
      <c r="U67" s="63">
        <f>'16'!$AV24</f>
        <v>0</v>
      </c>
      <c r="V67" s="17">
        <f>'16'!$AU24</f>
        <v>0</v>
      </c>
      <c r="W67" s="228"/>
      <c r="X67" s="17">
        <f>'16'!$CC$24</f>
        <v>0</v>
      </c>
      <c r="Y67" s="59" t="s">
        <v>227</v>
      </c>
    </row>
    <row r="68" spans="1:25" x14ac:dyDescent="0.35">
      <c r="A68" s="243" t="s">
        <v>142</v>
      </c>
      <c r="B68" s="242">
        <v>46190</v>
      </c>
      <c r="C68" s="58">
        <v>65</v>
      </c>
      <c r="D68" s="229" t="s">
        <v>203</v>
      </c>
      <c r="E68" s="224" t="s">
        <v>194</v>
      </c>
      <c r="F68" s="224" t="s">
        <v>218</v>
      </c>
      <c r="G68" s="224">
        <v>200</v>
      </c>
      <c r="H68" s="224" t="s">
        <v>217</v>
      </c>
      <c r="I68" s="17">
        <f>'17'!$E$6+'17'!$Q$6</f>
        <v>0</v>
      </c>
      <c r="J68" s="17">
        <f>'17'!$F$6+'17'!$R$6</f>
        <v>0</v>
      </c>
      <c r="K68" s="17">
        <f>'17'!$G$6+'17'!$S$6</f>
        <v>0</v>
      </c>
      <c r="L68" s="17">
        <f>'17'!$BC6</f>
        <v>0</v>
      </c>
      <c r="M68" s="17">
        <f>'17'!$BD6</f>
        <v>0</v>
      </c>
      <c r="N68" s="17">
        <f>'17'!$BE6</f>
        <v>0</v>
      </c>
      <c r="O68" s="61">
        <f>'17'!$AW6</f>
        <v>0</v>
      </c>
      <c r="P68" s="61">
        <f>'17'!$AX6</f>
        <v>0</v>
      </c>
      <c r="Q68" s="61">
        <f>'17'!$AY6</f>
        <v>0</v>
      </c>
      <c r="R68" s="62">
        <f>'17'!$AZ6</f>
        <v>0</v>
      </c>
      <c r="S68" s="62">
        <f>'17'!$BA6</f>
        <v>0</v>
      </c>
      <c r="T68" s="62">
        <f>'17'!$BB6</f>
        <v>0</v>
      </c>
      <c r="U68" s="63">
        <f>'17'!$AV6</f>
        <v>0</v>
      </c>
      <c r="V68" s="17">
        <f>'17'!$AU6</f>
        <v>0</v>
      </c>
      <c r="W68" s="224">
        <v>4</v>
      </c>
      <c r="X68" s="17">
        <f>'17'!$CC$6</f>
        <v>0</v>
      </c>
      <c r="Y68" s="59" t="s">
        <v>227</v>
      </c>
    </row>
    <row r="69" spans="1:25" x14ac:dyDescent="0.35">
      <c r="A69" s="243"/>
      <c r="B69" s="242"/>
      <c r="C69" s="58">
        <v>65.25</v>
      </c>
      <c r="D69" s="230"/>
      <c r="E69" s="225"/>
      <c r="F69" s="225"/>
      <c r="G69" s="225"/>
      <c r="H69" s="225"/>
      <c r="I69" s="17">
        <f>'17'!$E$12+'17'!$Q$12</f>
        <v>0</v>
      </c>
      <c r="J69" s="17">
        <f>'17'!$F$12+'17'!$R$12</f>
        <v>0</v>
      </c>
      <c r="K69" s="17">
        <f>'17'!$G$12+'17'!$S$12</f>
        <v>0</v>
      </c>
      <c r="L69" s="17">
        <f>'17'!$BC12</f>
        <v>0</v>
      </c>
      <c r="M69" s="17">
        <f>'17'!$BD12</f>
        <v>0</v>
      </c>
      <c r="N69" s="17">
        <f>'17'!$BE12</f>
        <v>0</v>
      </c>
      <c r="O69" s="61">
        <f>'17'!$AW12</f>
        <v>0</v>
      </c>
      <c r="P69" s="61">
        <f>'17'!$AX12</f>
        <v>0</v>
      </c>
      <c r="Q69" s="61">
        <f>'17'!$AY12</f>
        <v>0</v>
      </c>
      <c r="R69" s="62">
        <f>'17'!$AZ12</f>
        <v>0</v>
      </c>
      <c r="S69" s="62">
        <f>'17'!$BA12</f>
        <v>0</v>
      </c>
      <c r="T69" s="62">
        <f>'17'!$BB12</f>
        <v>0</v>
      </c>
      <c r="U69" s="63">
        <f>'17'!$AV12</f>
        <v>0</v>
      </c>
      <c r="V69" s="17">
        <f>'17'!$AU12</f>
        <v>0</v>
      </c>
      <c r="W69" s="225"/>
      <c r="X69" s="17">
        <f>'17'!$CC$12</f>
        <v>0</v>
      </c>
      <c r="Y69" s="59" t="s">
        <v>227</v>
      </c>
    </row>
    <row r="70" spans="1:25" x14ac:dyDescent="0.35">
      <c r="A70" s="243"/>
      <c r="B70" s="242"/>
      <c r="C70" s="58">
        <v>65.5</v>
      </c>
      <c r="D70" s="230"/>
      <c r="E70" s="225"/>
      <c r="F70" s="225"/>
      <c r="G70" s="225"/>
      <c r="H70" s="225"/>
      <c r="I70" s="17">
        <f>'17'!$E$18+'17'!$Q$18</f>
        <v>0</v>
      </c>
      <c r="J70" s="17">
        <f>'17'!$F$18+'17'!$R$18</f>
        <v>0</v>
      </c>
      <c r="K70" s="17">
        <f>'17'!$G$18+'17'!$S$18</f>
        <v>0</v>
      </c>
      <c r="L70" s="17">
        <f>'17'!$BC18</f>
        <v>0</v>
      </c>
      <c r="M70" s="17">
        <f>'17'!$BD18</f>
        <v>0</v>
      </c>
      <c r="N70" s="17">
        <f>'17'!$BE18</f>
        <v>0</v>
      </c>
      <c r="O70" s="61">
        <f>'17'!$AW18</f>
        <v>0</v>
      </c>
      <c r="P70" s="61">
        <f>'17'!$AX18</f>
        <v>0</v>
      </c>
      <c r="Q70" s="61">
        <f>'17'!$AY18</f>
        <v>0</v>
      </c>
      <c r="R70" s="62">
        <f>'17'!$AZ18</f>
        <v>0</v>
      </c>
      <c r="S70" s="62">
        <f>'17'!$BA18</f>
        <v>0</v>
      </c>
      <c r="T70" s="62">
        <f>'17'!$BB18</f>
        <v>0</v>
      </c>
      <c r="U70" s="63">
        <f>'17'!$AV18</f>
        <v>0</v>
      </c>
      <c r="V70" s="17">
        <f>'17'!$AU18</f>
        <v>0</v>
      </c>
      <c r="W70" s="225"/>
      <c r="X70" s="17">
        <f>'17'!$CC$18</f>
        <v>0</v>
      </c>
      <c r="Y70" s="59" t="s">
        <v>227</v>
      </c>
    </row>
    <row r="71" spans="1:25" x14ac:dyDescent="0.35">
      <c r="A71" s="243"/>
      <c r="B71" s="242"/>
      <c r="C71" s="58">
        <v>65.75</v>
      </c>
      <c r="D71" s="231"/>
      <c r="E71" s="228"/>
      <c r="F71" s="228"/>
      <c r="G71" s="228"/>
      <c r="H71" s="228"/>
      <c r="I71" s="17">
        <f>'17'!$E$24+'17'!$Q$24</f>
        <v>0</v>
      </c>
      <c r="J71" s="17">
        <f>'17'!$F$24+'17'!$R$24</f>
        <v>0</v>
      </c>
      <c r="K71" s="17">
        <f>'17'!$G$24+'17'!$S$24</f>
        <v>0</v>
      </c>
      <c r="L71" s="17">
        <f>'17'!$BC24</f>
        <v>0</v>
      </c>
      <c r="M71" s="17">
        <f>'17'!$BD24</f>
        <v>0</v>
      </c>
      <c r="N71" s="17">
        <f>'17'!$BE24</f>
        <v>0</v>
      </c>
      <c r="O71" s="61">
        <f>'17'!$AW24</f>
        <v>0</v>
      </c>
      <c r="P71" s="61">
        <f>'17'!$AX24</f>
        <v>0</v>
      </c>
      <c r="Q71" s="61">
        <f>'17'!$AY24</f>
        <v>0</v>
      </c>
      <c r="R71" s="62">
        <f>'17'!$AZ24</f>
        <v>0</v>
      </c>
      <c r="S71" s="62">
        <f>'17'!$BA24</f>
        <v>0</v>
      </c>
      <c r="T71" s="62">
        <f>'17'!$BB24</f>
        <v>0</v>
      </c>
      <c r="U71" s="63">
        <f>'17'!$AV24</f>
        <v>0</v>
      </c>
      <c r="V71" s="17">
        <f>'17'!$AU24</f>
        <v>0</v>
      </c>
      <c r="W71" s="228"/>
      <c r="X71" s="17">
        <f>'17'!$CC$24</f>
        <v>0</v>
      </c>
      <c r="Y71" s="59" t="s">
        <v>227</v>
      </c>
    </row>
    <row r="72" spans="1:25" x14ac:dyDescent="0.35">
      <c r="A72" s="243" t="s">
        <v>142</v>
      </c>
      <c r="B72" s="242">
        <v>46191</v>
      </c>
      <c r="C72" s="58">
        <v>69</v>
      </c>
      <c r="D72" s="229" t="s">
        <v>203</v>
      </c>
      <c r="E72" s="224" t="s">
        <v>194</v>
      </c>
      <c r="F72" s="224" t="s">
        <v>218</v>
      </c>
      <c r="G72" s="224">
        <v>200</v>
      </c>
      <c r="H72" s="224" t="s">
        <v>217</v>
      </c>
      <c r="I72" s="17">
        <f>'18'!$E$6+'18'!$Q$6</f>
        <v>0</v>
      </c>
      <c r="J72" s="17">
        <f>'18'!$F$6+'18'!$R$6</f>
        <v>0</v>
      </c>
      <c r="K72" s="17">
        <f>'18'!$G$6+'18'!$S$6</f>
        <v>0</v>
      </c>
      <c r="L72" s="17">
        <f>'18'!$BC6</f>
        <v>0</v>
      </c>
      <c r="M72" s="17">
        <f>'18'!$BD6</f>
        <v>0</v>
      </c>
      <c r="N72" s="17">
        <f>'18'!$BE6</f>
        <v>0</v>
      </c>
      <c r="O72" s="61">
        <f>'18'!$AW6</f>
        <v>0</v>
      </c>
      <c r="P72" s="61">
        <f>'18'!$AX6</f>
        <v>0</v>
      </c>
      <c r="Q72" s="61">
        <f>'18'!$AY6</f>
        <v>0</v>
      </c>
      <c r="R72" s="62">
        <f>'18'!$AZ6</f>
        <v>0</v>
      </c>
      <c r="S72" s="62">
        <f>'18'!$BA6</f>
        <v>0</v>
      </c>
      <c r="T72" s="62">
        <f>'18'!$BB6</f>
        <v>0</v>
      </c>
      <c r="U72" s="63">
        <f>'18'!$AV6</f>
        <v>0</v>
      </c>
      <c r="V72" s="17">
        <f>'18'!$AU6</f>
        <v>0</v>
      </c>
      <c r="W72" s="224">
        <v>4</v>
      </c>
      <c r="X72" s="17">
        <f>'18'!$CC$6</f>
        <v>0</v>
      </c>
      <c r="Y72" s="59" t="s">
        <v>227</v>
      </c>
    </row>
    <row r="73" spans="1:25" x14ac:dyDescent="0.35">
      <c r="A73" s="243"/>
      <c r="B73" s="242"/>
      <c r="C73" s="58">
        <v>69.25</v>
      </c>
      <c r="D73" s="230"/>
      <c r="E73" s="225"/>
      <c r="F73" s="225"/>
      <c r="G73" s="225"/>
      <c r="H73" s="225"/>
      <c r="I73" s="17">
        <f>'18'!$E$12+'18'!$Q$12</f>
        <v>0</v>
      </c>
      <c r="J73" s="17">
        <f>'18'!$F$12+'18'!$R$12</f>
        <v>0</v>
      </c>
      <c r="K73" s="17">
        <f>'18'!$G$12+'18'!$S$12</f>
        <v>0</v>
      </c>
      <c r="L73" s="17">
        <f>'18'!$BC12</f>
        <v>0</v>
      </c>
      <c r="M73" s="17">
        <f>'18'!$BD12</f>
        <v>0</v>
      </c>
      <c r="N73" s="17">
        <f>'18'!$BE12</f>
        <v>0</v>
      </c>
      <c r="O73" s="61">
        <f>'18'!$AW12</f>
        <v>0</v>
      </c>
      <c r="P73" s="61">
        <f>'18'!$AX12</f>
        <v>0</v>
      </c>
      <c r="Q73" s="61">
        <f>'18'!$AY12</f>
        <v>0</v>
      </c>
      <c r="R73" s="62">
        <f>'18'!$AZ12</f>
        <v>0</v>
      </c>
      <c r="S73" s="62">
        <f>'18'!$BA12</f>
        <v>0</v>
      </c>
      <c r="T73" s="62">
        <f>'18'!$BB12</f>
        <v>0</v>
      </c>
      <c r="U73" s="63">
        <f>'18'!$AV12</f>
        <v>0</v>
      </c>
      <c r="V73" s="17">
        <f>'18'!$AU12</f>
        <v>0</v>
      </c>
      <c r="W73" s="225"/>
      <c r="X73" s="17">
        <f>'18'!$CC$12</f>
        <v>0</v>
      </c>
      <c r="Y73" s="59" t="s">
        <v>227</v>
      </c>
    </row>
    <row r="74" spans="1:25" x14ac:dyDescent="0.35">
      <c r="A74" s="243"/>
      <c r="B74" s="242"/>
      <c r="C74" s="58">
        <v>69.5</v>
      </c>
      <c r="D74" s="230"/>
      <c r="E74" s="225"/>
      <c r="F74" s="225"/>
      <c r="G74" s="225"/>
      <c r="H74" s="225"/>
      <c r="I74" s="17">
        <f>'18'!$E$18+'18'!$Q$18</f>
        <v>0</v>
      </c>
      <c r="J74" s="17">
        <f>'18'!$F$18+'18'!$R$18</f>
        <v>0</v>
      </c>
      <c r="K74" s="17">
        <f>'18'!$G$18+'18'!$S$18</f>
        <v>0</v>
      </c>
      <c r="L74" s="17">
        <f>'18'!$BC18</f>
        <v>0</v>
      </c>
      <c r="M74" s="17">
        <f>'18'!$BD18</f>
        <v>0</v>
      </c>
      <c r="N74" s="17">
        <f>'18'!$BE18</f>
        <v>0</v>
      </c>
      <c r="O74" s="61">
        <f>'18'!$AW18</f>
        <v>0</v>
      </c>
      <c r="P74" s="61">
        <f>'18'!$AX18</f>
        <v>0</v>
      </c>
      <c r="Q74" s="61">
        <f>'18'!$AY18</f>
        <v>0</v>
      </c>
      <c r="R74" s="62">
        <f>'18'!$AZ18</f>
        <v>0</v>
      </c>
      <c r="S74" s="62">
        <f>'18'!$BA18</f>
        <v>0</v>
      </c>
      <c r="T74" s="62">
        <f>'18'!$BB18</f>
        <v>0</v>
      </c>
      <c r="U74" s="63">
        <f>'18'!$AV18</f>
        <v>0</v>
      </c>
      <c r="V74" s="17">
        <f>'18'!$AU18</f>
        <v>0</v>
      </c>
      <c r="W74" s="225"/>
      <c r="X74" s="17">
        <f>'18'!$CC$18</f>
        <v>0</v>
      </c>
      <c r="Y74" s="59" t="s">
        <v>227</v>
      </c>
    </row>
    <row r="75" spans="1:25" x14ac:dyDescent="0.35">
      <c r="A75" s="243"/>
      <c r="B75" s="242"/>
      <c r="C75" s="58">
        <v>69.75</v>
      </c>
      <c r="D75" s="231"/>
      <c r="E75" s="228"/>
      <c r="F75" s="228"/>
      <c r="G75" s="228"/>
      <c r="H75" s="228"/>
      <c r="I75" s="17">
        <f>'18'!$E$24+'18'!$Q$24</f>
        <v>0</v>
      </c>
      <c r="J75" s="17">
        <f>'18'!$F$24+'18'!$R$24</f>
        <v>0</v>
      </c>
      <c r="K75" s="17">
        <f>'18'!$G$24+'18'!$S$24</f>
        <v>0</v>
      </c>
      <c r="L75" s="17">
        <f>'18'!$BC24</f>
        <v>0</v>
      </c>
      <c r="M75" s="17">
        <f>'18'!$BD24</f>
        <v>0</v>
      </c>
      <c r="N75" s="17">
        <f>'18'!$BE24</f>
        <v>0</v>
      </c>
      <c r="O75" s="61">
        <f>'18'!$AW24</f>
        <v>0</v>
      </c>
      <c r="P75" s="61">
        <f>'18'!$AX24</f>
        <v>0</v>
      </c>
      <c r="Q75" s="61">
        <f>'18'!$AY24</f>
        <v>0</v>
      </c>
      <c r="R75" s="62">
        <f>'18'!$AZ24</f>
        <v>0</v>
      </c>
      <c r="S75" s="62">
        <f>'18'!$BA24</f>
        <v>0</v>
      </c>
      <c r="T75" s="62">
        <f>'18'!$BB24</f>
        <v>0</v>
      </c>
      <c r="U75" s="63">
        <f>'18'!$AV24</f>
        <v>0</v>
      </c>
      <c r="V75" s="17">
        <f>'18'!$AU24</f>
        <v>0</v>
      </c>
      <c r="W75" s="228"/>
      <c r="X75" s="17">
        <f>'18'!$CC$24</f>
        <v>0</v>
      </c>
      <c r="Y75" s="59" t="s">
        <v>227</v>
      </c>
    </row>
    <row r="76" spans="1:25" x14ac:dyDescent="0.35">
      <c r="A76" s="243" t="s">
        <v>142</v>
      </c>
      <c r="B76" s="242">
        <v>46192</v>
      </c>
      <c r="C76" s="58">
        <v>73</v>
      </c>
      <c r="D76" s="229" t="s">
        <v>203</v>
      </c>
      <c r="E76" s="224" t="s">
        <v>194</v>
      </c>
      <c r="F76" s="224" t="s">
        <v>218</v>
      </c>
      <c r="G76" s="224">
        <v>200</v>
      </c>
      <c r="H76" s="224" t="s">
        <v>217</v>
      </c>
      <c r="I76" s="17">
        <f>'19'!$E$6+'19'!$Q$6</f>
        <v>0</v>
      </c>
      <c r="J76" s="17">
        <f>'19'!$F$6+'19'!$R$6</f>
        <v>0</v>
      </c>
      <c r="K76" s="17">
        <f>'19'!$G$6+'19'!$S$6</f>
        <v>0</v>
      </c>
      <c r="L76" s="17">
        <f>'19'!$BC6</f>
        <v>0</v>
      </c>
      <c r="M76" s="17">
        <f>'19'!$BD6</f>
        <v>0</v>
      </c>
      <c r="N76" s="17">
        <f>'19'!$BE6</f>
        <v>0</v>
      </c>
      <c r="O76" s="61">
        <f>'19'!$AW6</f>
        <v>0</v>
      </c>
      <c r="P76" s="61">
        <f>'19'!$AX6</f>
        <v>0</v>
      </c>
      <c r="Q76" s="61">
        <f>'19'!$AY6</f>
        <v>0</v>
      </c>
      <c r="R76" s="62">
        <f>'19'!$AZ6</f>
        <v>0</v>
      </c>
      <c r="S76" s="62">
        <f>'19'!$BA6</f>
        <v>0</v>
      </c>
      <c r="T76" s="62">
        <f>'19'!$BB6</f>
        <v>0</v>
      </c>
      <c r="U76" s="63">
        <f>'19'!$AV6</f>
        <v>0</v>
      </c>
      <c r="V76" s="17">
        <f>'19'!$AU6</f>
        <v>0</v>
      </c>
      <c r="W76" s="224">
        <v>4</v>
      </c>
      <c r="X76" s="17">
        <f>'19'!$CC$6</f>
        <v>0</v>
      </c>
      <c r="Y76" s="59" t="s">
        <v>227</v>
      </c>
    </row>
    <row r="77" spans="1:25" x14ac:dyDescent="0.35">
      <c r="A77" s="243"/>
      <c r="B77" s="242"/>
      <c r="C77" s="58">
        <v>73.25</v>
      </c>
      <c r="D77" s="230"/>
      <c r="E77" s="225"/>
      <c r="F77" s="225"/>
      <c r="G77" s="225"/>
      <c r="H77" s="225"/>
      <c r="I77" s="17">
        <f>'19'!$E$12+'19'!$Q$12</f>
        <v>0</v>
      </c>
      <c r="J77" s="17">
        <f>'19'!$F$12+'19'!$R$12</f>
        <v>0</v>
      </c>
      <c r="K77" s="17">
        <f>'19'!$G$12+'19'!$S$12</f>
        <v>0</v>
      </c>
      <c r="L77" s="17">
        <f>'19'!$BC12</f>
        <v>0</v>
      </c>
      <c r="M77" s="17">
        <f>'19'!$BD12</f>
        <v>0</v>
      </c>
      <c r="N77" s="17">
        <f>'19'!$BE12</f>
        <v>0</v>
      </c>
      <c r="O77" s="61">
        <f>'19'!$AW12</f>
        <v>0</v>
      </c>
      <c r="P77" s="61">
        <f>'19'!$AX12</f>
        <v>0</v>
      </c>
      <c r="Q77" s="61">
        <f>'19'!$AY12</f>
        <v>0</v>
      </c>
      <c r="R77" s="62">
        <f>'19'!$AZ12</f>
        <v>0</v>
      </c>
      <c r="S77" s="62">
        <f>'19'!$BA12</f>
        <v>0</v>
      </c>
      <c r="T77" s="62">
        <f>'19'!$BB12</f>
        <v>0</v>
      </c>
      <c r="U77" s="63">
        <f>'19'!$AV12</f>
        <v>0</v>
      </c>
      <c r="V77" s="17">
        <f>'19'!$AU12</f>
        <v>0</v>
      </c>
      <c r="W77" s="225"/>
      <c r="X77" s="17">
        <f>'19'!$CC$12</f>
        <v>0</v>
      </c>
      <c r="Y77" s="59" t="s">
        <v>227</v>
      </c>
    </row>
    <row r="78" spans="1:25" x14ac:dyDescent="0.35">
      <c r="A78" s="243"/>
      <c r="B78" s="242"/>
      <c r="C78" s="58">
        <v>73.5</v>
      </c>
      <c r="D78" s="230"/>
      <c r="E78" s="225"/>
      <c r="F78" s="225"/>
      <c r="G78" s="225"/>
      <c r="H78" s="225"/>
      <c r="I78" s="17">
        <f>'19'!$E$18+'19'!$Q$18</f>
        <v>0</v>
      </c>
      <c r="J78" s="17">
        <f>'19'!$F$18+'19'!$R$18</f>
        <v>0</v>
      </c>
      <c r="K78" s="17">
        <f>'19'!$G$18+'19'!$S$18</f>
        <v>0</v>
      </c>
      <c r="L78" s="17">
        <f>'19'!$BC18</f>
        <v>0</v>
      </c>
      <c r="M78" s="17">
        <f>'19'!$BD18</f>
        <v>0</v>
      </c>
      <c r="N78" s="17">
        <f>'19'!$BE18</f>
        <v>0</v>
      </c>
      <c r="O78" s="61">
        <f>'19'!$AW18</f>
        <v>0</v>
      </c>
      <c r="P78" s="61">
        <f>'19'!$AX18</f>
        <v>0</v>
      </c>
      <c r="Q78" s="61">
        <f>'19'!$AY18</f>
        <v>0</v>
      </c>
      <c r="R78" s="62">
        <f>'19'!$AZ18</f>
        <v>0</v>
      </c>
      <c r="S78" s="62">
        <f>'19'!$BA18</f>
        <v>0</v>
      </c>
      <c r="T78" s="62">
        <f>'19'!$BB18</f>
        <v>0</v>
      </c>
      <c r="U78" s="63">
        <f>'19'!$AV18</f>
        <v>0</v>
      </c>
      <c r="V78" s="17">
        <f>'19'!$AU18</f>
        <v>0</v>
      </c>
      <c r="W78" s="225"/>
      <c r="X78" s="17">
        <f>'19'!$CC$18</f>
        <v>0</v>
      </c>
      <c r="Y78" s="59" t="s">
        <v>227</v>
      </c>
    </row>
    <row r="79" spans="1:25" x14ac:dyDescent="0.35">
      <c r="A79" s="243"/>
      <c r="B79" s="242"/>
      <c r="C79" s="58">
        <v>73.75</v>
      </c>
      <c r="D79" s="231"/>
      <c r="E79" s="228"/>
      <c r="F79" s="228"/>
      <c r="G79" s="228"/>
      <c r="H79" s="228"/>
      <c r="I79" s="17">
        <f>'19'!$E$24+'19'!$Q$24</f>
        <v>0</v>
      </c>
      <c r="J79" s="17">
        <f>'19'!$F$24+'19'!$R$24</f>
        <v>0</v>
      </c>
      <c r="K79" s="17">
        <f>'19'!$G$24+'19'!$S$24</f>
        <v>0</v>
      </c>
      <c r="L79" s="17">
        <f>'19'!$BC24</f>
        <v>0</v>
      </c>
      <c r="M79" s="17">
        <f>'19'!$BD24</f>
        <v>0</v>
      </c>
      <c r="N79" s="17">
        <f>'19'!$BE24</f>
        <v>0</v>
      </c>
      <c r="O79" s="61">
        <f>'19'!$AW24</f>
        <v>0</v>
      </c>
      <c r="P79" s="61">
        <f>'19'!$AX24</f>
        <v>0</v>
      </c>
      <c r="Q79" s="61">
        <f>'19'!$AY24</f>
        <v>0</v>
      </c>
      <c r="R79" s="62">
        <f>'19'!$AZ24</f>
        <v>0</v>
      </c>
      <c r="S79" s="62">
        <f>'19'!$BA24</f>
        <v>0</v>
      </c>
      <c r="T79" s="62">
        <f>'19'!$BB24</f>
        <v>0</v>
      </c>
      <c r="U79" s="63">
        <f>'19'!$AV24</f>
        <v>0</v>
      </c>
      <c r="V79" s="17">
        <f>'19'!$AU24</f>
        <v>0</v>
      </c>
      <c r="W79" s="228"/>
      <c r="X79" s="17">
        <f>'19'!$CC$24</f>
        <v>0</v>
      </c>
      <c r="Y79" s="59" t="s">
        <v>227</v>
      </c>
    </row>
    <row r="80" spans="1:25" x14ac:dyDescent="0.35">
      <c r="A80" s="243" t="s">
        <v>142</v>
      </c>
      <c r="B80" s="242">
        <v>46193</v>
      </c>
      <c r="C80" s="58">
        <v>77</v>
      </c>
      <c r="D80" s="229" t="s">
        <v>203</v>
      </c>
      <c r="E80" s="224" t="s">
        <v>194</v>
      </c>
      <c r="F80" s="224" t="s">
        <v>218</v>
      </c>
      <c r="G80" s="224">
        <v>200</v>
      </c>
      <c r="H80" s="224" t="s">
        <v>217</v>
      </c>
      <c r="I80" s="17">
        <f>'20'!$E$6+'20'!$Q$6</f>
        <v>0</v>
      </c>
      <c r="J80" s="17">
        <f>'20'!$F$6+'20'!$R$6</f>
        <v>0</v>
      </c>
      <c r="K80" s="17">
        <f>'20'!$G$6+'20'!$S$6</f>
        <v>0</v>
      </c>
      <c r="L80" s="17">
        <f>'20'!$BC6</f>
        <v>0</v>
      </c>
      <c r="M80" s="17">
        <f>'20'!$BD6</f>
        <v>0</v>
      </c>
      <c r="N80" s="17">
        <f>'20'!$BE6</f>
        <v>0</v>
      </c>
      <c r="O80" s="61">
        <f>'20'!$AW6</f>
        <v>0</v>
      </c>
      <c r="P80" s="61">
        <f>'20'!$AX6</f>
        <v>0</v>
      </c>
      <c r="Q80" s="61">
        <f>'20'!$AY6</f>
        <v>0</v>
      </c>
      <c r="R80" s="62">
        <f>'20'!$AZ6</f>
        <v>0</v>
      </c>
      <c r="S80" s="62">
        <f>'20'!$BA6</f>
        <v>0</v>
      </c>
      <c r="T80" s="62">
        <f>'20'!$BB6</f>
        <v>0</v>
      </c>
      <c r="U80" s="63">
        <f>'20'!$AV6</f>
        <v>0</v>
      </c>
      <c r="V80" s="17">
        <f>'20'!$AU6</f>
        <v>0</v>
      </c>
      <c r="W80" s="224">
        <v>4</v>
      </c>
      <c r="X80" s="17">
        <f>'20'!$CC$6</f>
        <v>0</v>
      </c>
      <c r="Y80" s="59" t="s">
        <v>227</v>
      </c>
    </row>
    <row r="81" spans="1:25" x14ac:dyDescent="0.35">
      <c r="A81" s="243"/>
      <c r="B81" s="242"/>
      <c r="C81" s="58">
        <v>77.25</v>
      </c>
      <c r="D81" s="230"/>
      <c r="E81" s="225"/>
      <c r="F81" s="225"/>
      <c r="G81" s="225"/>
      <c r="H81" s="225"/>
      <c r="I81" s="17">
        <f>'20'!$E$12+'20'!$Q$12</f>
        <v>0</v>
      </c>
      <c r="J81" s="17">
        <f>'20'!$F$12+'20'!$R$12</f>
        <v>0</v>
      </c>
      <c r="K81" s="17">
        <f>'20'!$G$12+'20'!$S$12</f>
        <v>0</v>
      </c>
      <c r="L81" s="17">
        <f>'20'!$BC12</f>
        <v>0</v>
      </c>
      <c r="M81" s="17">
        <f>'20'!$BD12</f>
        <v>0</v>
      </c>
      <c r="N81" s="17">
        <f>'20'!$BE12</f>
        <v>0</v>
      </c>
      <c r="O81" s="61">
        <f>'20'!$AW12</f>
        <v>0</v>
      </c>
      <c r="P81" s="61">
        <f>'20'!$AX12</f>
        <v>0</v>
      </c>
      <c r="Q81" s="61">
        <f>'20'!$AY12</f>
        <v>0</v>
      </c>
      <c r="R81" s="62">
        <f>'20'!$AZ12</f>
        <v>0</v>
      </c>
      <c r="S81" s="62">
        <f>'20'!$BA12</f>
        <v>0</v>
      </c>
      <c r="T81" s="62">
        <f>'20'!$BB12</f>
        <v>0</v>
      </c>
      <c r="U81" s="63">
        <f>'20'!$AV12</f>
        <v>0</v>
      </c>
      <c r="V81" s="17">
        <f>'20'!$AU12</f>
        <v>0</v>
      </c>
      <c r="W81" s="225"/>
      <c r="X81" s="17">
        <f>'20'!$CC$12</f>
        <v>0</v>
      </c>
      <c r="Y81" s="59" t="s">
        <v>227</v>
      </c>
    </row>
    <row r="82" spans="1:25" x14ac:dyDescent="0.35">
      <c r="A82" s="243"/>
      <c r="B82" s="242"/>
      <c r="C82" s="58">
        <v>77.5</v>
      </c>
      <c r="D82" s="230"/>
      <c r="E82" s="225"/>
      <c r="F82" s="225"/>
      <c r="G82" s="225"/>
      <c r="H82" s="225"/>
      <c r="I82" s="17">
        <f>'20'!$E$18+'20'!$Q$18</f>
        <v>0</v>
      </c>
      <c r="J82" s="17">
        <f>'20'!$F$18+'20'!$R$18</f>
        <v>0</v>
      </c>
      <c r="K82" s="17">
        <f>'20'!$G$18+'20'!$S$18</f>
        <v>0</v>
      </c>
      <c r="L82" s="17">
        <f>'20'!$BC18</f>
        <v>0</v>
      </c>
      <c r="M82" s="17">
        <f>'20'!$BD18</f>
        <v>0</v>
      </c>
      <c r="N82" s="17">
        <f>'20'!$BE18</f>
        <v>0</v>
      </c>
      <c r="O82" s="61">
        <f>'20'!$AW18</f>
        <v>0</v>
      </c>
      <c r="P82" s="61">
        <f>'20'!$AX18</f>
        <v>0</v>
      </c>
      <c r="Q82" s="61">
        <f>'20'!$AY18</f>
        <v>0</v>
      </c>
      <c r="R82" s="62">
        <f>'20'!$AZ18</f>
        <v>0</v>
      </c>
      <c r="S82" s="62">
        <f>'20'!$BA18</f>
        <v>0</v>
      </c>
      <c r="T82" s="62">
        <f>'20'!$BB18</f>
        <v>0</v>
      </c>
      <c r="U82" s="63">
        <f>'20'!$AV18</f>
        <v>0</v>
      </c>
      <c r="V82" s="17">
        <f>'20'!$AU18</f>
        <v>0</v>
      </c>
      <c r="W82" s="225"/>
      <c r="X82" s="17">
        <f>'20'!$CC$18</f>
        <v>0</v>
      </c>
      <c r="Y82" s="59" t="s">
        <v>227</v>
      </c>
    </row>
    <row r="83" spans="1:25" x14ac:dyDescent="0.35">
      <c r="A83" s="243"/>
      <c r="B83" s="242"/>
      <c r="C83" s="58">
        <v>77.75</v>
      </c>
      <c r="D83" s="231"/>
      <c r="E83" s="228"/>
      <c r="F83" s="228"/>
      <c r="G83" s="228"/>
      <c r="H83" s="228"/>
      <c r="I83" s="17">
        <f>'20'!$E$24+'20'!$Q$24</f>
        <v>0</v>
      </c>
      <c r="J83" s="17">
        <f>'20'!$F$24+'20'!$R$24</f>
        <v>0</v>
      </c>
      <c r="K83" s="17">
        <f>'20'!$G$24+'20'!$S$24</f>
        <v>0</v>
      </c>
      <c r="L83" s="17">
        <f>'20'!$BC24</f>
        <v>0</v>
      </c>
      <c r="M83" s="17">
        <f>'20'!$BD24</f>
        <v>0</v>
      </c>
      <c r="N83" s="17">
        <f>'20'!$BE24</f>
        <v>0</v>
      </c>
      <c r="O83" s="61">
        <f>'20'!$AW24</f>
        <v>0</v>
      </c>
      <c r="P83" s="61">
        <f>'20'!$AX24</f>
        <v>0</v>
      </c>
      <c r="Q83" s="61">
        <f>'20'!$AY24</f>
        <v>0</v>
      </c>
      <c r="R83" s="62">
        <f>'20'!$AZ24</f>
        <v>0</v>
      </c>
      <c r="S83" s="62">
        <f>'20'!$BA24</f>
        <v>0</v>
      </c>
      <c r="T83" s="62">
        <f>'20'!$BB24</f>
        <v>0</v>
      </c>
      <c r="U83" s="63">
        <f>'20'!$AV24</f>
        <v>0</v>
      </c>
      <c r="V83" s="17">
        <f>'20'!$AU24</f>
        <v>0</v>
      </c>
      <c r="W83" s="228"/>
      <c r="X83" s="17">
        <f>'20'!$CC$24</f>
        <v>0</v>
      </c>
      <c r="Y83" s="59" t="s">
        <v>227</v>
      </c>
    </row>
    <row r="84" spans="1:25" x14ac:dyDescent="0.35">
      <c r="A84" s="243" t="s">
        <v>142</v>
      </c>
      <c r="B84" s="242">
        <v>46194</v>
      </c>
      <c r="C84" s="58">
        <v>81</v>
      </c>
      <c r="D84" s="229" t="s">
        <v>203</v>
      </c>
      <c r="E84" s="224" t="s">
        <v>194</v>
      </c>
      <c r="F84" s="224" t="s">
        <v>218</v>
      </c>
      <c r="G84" s="224">
        <v>200</v>
      </c>
      <c r="H84" s="224" t="s">
        <v>217</v>
      </c>
      <c r="I84" s="17">
        <f>'21'!$E$6+'21'!$Q$6</f>
        <v>0</v>
      </c>
      <c r="J84" s="17">
        <f>'21'!$F$6+'21'!$R$6</f>
        <v>0</v>
      </c>
      <c r="K84" s="17">
        <f>'21'!$G$6+'21'!$S$6</f>
        <v>0</v>
      </c>
      <c r="L84" s="17">
        <f>'21'!$BC6</f>
        <v>0</v>
      </c>
      <c r="M84" s="17">
        <f>'21'!$BD6</f>
        <v>0</v>
      </c>
      <c r="N84" s="17">
        <f>'21'!$BE6</f>
        <v>0</v>
      </c>
      <c r="O84" s="61">
        <f>'21'!$AW6</f>
        <v>0</v>
      </c>
      <c r="P84" s="61">
        <f>'21'!$AX6</f>
        <v>0</v>
      </c>
      <c r="Q84" s="61">
        <f>'21'!$AY6</f>
        <v>0</v>
      </c>
      <c r="R84" s="62">
        <f>'21'!$AZ6</f>
        <v>0</v>
      </c>
      <c r="S84" s="62">
        <f>'21'!$BA6</f>
        <v>0</v>
      </c>
      <c r="T84" s="62">
        <f>'21'!$BB6</f>
        <v>0</v>
      </c>
      <c r="U84" s="63">
        <f>'21'!$AV6</f>
        <v>0</v>
      </c>
      <c r="V84" s="17">
        <f>'21'!$AU6</f>
        <v>0</v>
      </c>
      <c r="W84" s="224">
        <v>4</v>
      </c>
      <c r="X84" s="17">
        <f>'21'!$CC$6</f>
        <v>0</v>
      </c>
      <c r="Y84" s="59" t="s">
        <v>227</v>
      </c>
    </row>
    <row r="85" spans="1:25" x14ac:dyDescent="0.35">
      <c r="A85" s="243"/>
      <c r="B85" s="242"/>
      <c r="C85" s="58">
        <v>81.25</v>
      </c>
      <c r="D85" s="230"/>
      <c r="E85" s="225"/>
      <c r="F85" s="225"/>
      <c r="G85" s="225"/>
      <c r="H85" s="225"/>
      <c r="I85" s="17">
        <f>'21'!$E$12+'21'!$Q$12</f>
        <v>0</v>
      </c>
      <c r="J85" s="17">
        <f>'21'!$F$12+'21'!$R$12</f>
        <v>0</v>
      </c>
      <c r="K85" s="17">
        <f>'21'!$G$12+'21'!$S$12</f>
        <v>0</v>
      </c>
      <c r="L85" s="17">
        <f>'21'!$BC12</f>
        <v>0</v>
      </c>
      <c r="M85" s="17">
        <f>'21'!$BD12</f>
        <v>0</v>
      </c>
      <c r="N85" s="17">
        <f>'21'!$BE12</f>
        <v>0</v>
      </c>
      <c r="O85" s="61">
        <f>'21'!$AW12</f>
        <v>0</v>
      </c>
      <c r="P85" s="61">
        <f>'21'!$AX12</f>
        <v>0</v>
      </c>
      <c r="Q85" s="61">
        <f>'21'!$AY12</f>
        <v>0</v>
      </c>
      <c r="R85" s="62">
        <f>'21'!$AZ12</f>
        <v>0</v>
      </c>
      <c r="S85" s="62">
        <f>'21'!$BA12</f>
        <v>0</v>
      </c>
      <c r="T85" s="62">
        <f>'21'!$BB12</f>
        <v>0</v>
      </c>
      <c r="U85" s="63">
        <f>'21'!$AV12</f>
        <v>0</v>
      </c>
      <c r="V85" s="17">
        <f>'21'!$AU12</f>
        <v>0</v>
      </c>
      <c r="W85" s="225"/>
      <c r="X85" s="17">
        <f>'21'!$CC$12</f>
        <v>0</v>
      </c>
      <c r="Y85" s="59" t="s">
        <v>227</v>
      </c>
    </row>
    <row r="86" spans="1:25" x14ac:dyDescent="0.35">
      <c r="A86" s="243"/>
      <c r="B86" s="242"/>
      <c r="C86" s="58">
        <v>81.5</v>
      </c>
      <c r="D86" s="230"/>
      <c r="E86" s="225"/>
      <c r="F86" s="225"/>
      <c r="G86" s="225"/>
      <c r="H86" s="225"/>
      <c r="I86" s="17">
        <f>'21'!$E$18+'21'!$Q$18</f>
        <v>0</v>
      </c>
      <c r="J86" s="17">
        <f>'21'!$F$18+'21'!$R$18</f>
        <v>0</v>
      </c>
      <c r="K86" s="17">
        <f>'21'!$G$18+'21'!$S$18</f>
        <v>0</v>
      </c>
      <c r="L86" s="17">
        <f>'21'!$BC18</f>
        <v>0</v>
      </c>
      <c r="M86" s="17">
        <f>'21'!$BD18</f>
        <v>0</v>
      </c>
      <c r="N86" s="17">
        <f>'21'!$BE18</f>
        <v>0</v>
      </c>
      <c r="O86" s="61">
        <f>'21'!$AW18</f>
        <v>0</v>
      </c>
      <c r="P86" s="61">
        <f>'21'!$AX18</f>
        <v>0</v>
      </c>
      <c r="Q86" s="61">
        <f>'21'!$AY18</f>
        <v>0</v>
      </c>
      <c r="R86" s="62">
        <f>'21'!$AZ18</f>
        <v>0</v>
      </c>
      <c r="S86" s="62">
        <f>'21'!$BA18</f>
        <v>0</v>
      </c>
      <c r="T86" s="62">
        <f>'21'!$BB18</f>
        <v>0</v>
      </c>
      <c r="U86" s="63">
        <f>'21'!$AV18</f>
        <v>0</v>
      </c>
      <c r="V86" s="17">
        <f>'21'!$AU18</f>
        <v>0</v>
      </c>
      <c r="W86" s="225"/>
      <c r="X86" s="17">
        <f>'21'!$CC$18</f>
        <v>0</v>
      </c>
      <c r="Y86" s="59" t="s">
        <v>227</v>
      </c>
    </row>
    <row r="87" spans="1:25" x14ac:dyDescent="0.35">
      <c r="A87" s="243"/>
      <c r="B87" s="242"/>
      <c r="C87" s="58">
        <v>81.75</v>
      </c>
      <c r="D87" s="231"/>
      <c r="E87" s="228"/>
      <c r="F87" s="228"/>
      <c r="G87" s="228"/>
      <c r="H87" s="228"/>
      <c r="I87" s="17">
        <f>'21'!$E$24+'21'!$Q$24</f>
        <v>0</v>
      </c>
      <c r="J87" s="17">
        <f>'21'!$F$24+'21'!$R$24</f>
        <v>0</v>
      </c>
      <c r="K87" s="17">
        <f>'21'!$G$24+'21'!$S$24</f>
        <v>0</v>
      </c>
      <c r="L87" s="17">
        <f>'21'!$BC24</f>
        <v>0</v>
      </c>
      <c r="M87" s="17">
        <f>'21'!$BD24</f>
        <v>0</v>
      </c>
      <c r="N87" s="17">
        <f>'21'!$BE24</f>
        <v>0</v>
      </c>
      <c r="O87" s="61">
        <f>'21'!$AW24</f>
        <v>0</v>
      </c>
      <c r="P87" s="61">
        <f>'21'!$AX24</f>
        <v>0</v>
      </c>
      <c r="Q87" s="61">
        <f>'21'!$AY24</f>
        <v>0</v>
      </c>
      <c r="R87" s="62">
        <f>'21'!$AZ24</f>
        <v>0</v>
      </c>
      <c r="S87" s="62">
        <f>'21'!$BA24</f>
        <v>0</v>
      </c>
      <c r="T87" s="62">
        <f>'21'!$BB24</f>
        <v>0</v>
      </c>
      <c r="U87" s="63">
        <f>'21'!$AV24</f>
        <v>0</v>
      </c>
      <c r="V87" s="17">
        <f>'21'!$AU24</f>
        <v>0</v>
      </c>
      <c r="W87" s="228"/>
      <c r="X87" s="17">
        <f>'21'!$CC$24</f>
        <v>0</v>
      </c>
      <c r="Y87" s="59" t="s">
        <v>227</v>
      </c>
    </row>
    <row r="88" spans="1:25" x14ac:dyDescent="0.35">
      <c r="A88" s="243" t="s">
        <v>142</v>
      </c>
      <c r="B88" s="242">
        <v>46195</v>
      </c>
      <c r="C88" s="58">
        <v>85</v>
      </c>
      <c r="D88" s="229" t="s">
        <v>203</v>
      </c>
      <c r="E88" s="224" t="s">
        <v>194</v>
      </c>
      <c r="F88" s="224" t="s">
        <v>218</v>
      </c>
      <c r="G88" s="224">
        <v>200</v>
      </c>
      <c r="H88" s="224" t="s">
        <v>217</v>
      </c>
      <c r="I88" s="17">
        <f>'22'!$E$7+'22'!$Q$7</f>
        <v>0</v>
      </c>
      <c r="J88" s="17">
        <f>'22'!$F$7+'22'!$R$7</f>
        <v>0</v>
      </c>
      <c r="K88" s="17">
        <f>'22'!$G$7+'22'!$S$7</f>
        <v>0</v>
      </c>
      <c r="L88" s="17">
        <f>'22'!$BC7</f>
        <v>0</v>
      </c>
      <c r="M88" s="17">
        <f>'22'!$BD7</f>
        <v>0</v>
      </c>
      <c r="N88" s="17">
        <f>'22'!$BE7</f>
        <v>0</v>
      </c>
      <c r="O88" s="61">
        <f>'22'!$AW7</f>
        <v>0</v>
      </c>
      <c r="P88" s="61">
        <f>'22'!$AX7</f>
        <v>0</v>
      </c>
      <c r="Q88" s="61">
        <f>'22'!$AY7</f>
        <v>0</v>
      </c>
      <c r="R88" s="62">
        <f>'22'!$AZ7</f>
        <v>0</v>
      </c>
      <c r="S88" s="62">
        <f>'22'!$BA7</f>
        <v>0</v>
      </c>
      <c r="T88" s="62">
        <f>'22'!$BB7</f>
        <v>0</v>
      </c>
      <c r="U88" s="63">
        <f>'22'!$AV7</f>
        <v>0</v>
      </c>
      <c r="V88" s="17">
        <f>'22'!$AU7</f>
        <v>0</v>
      </c>
      <c r="W88" s="224">
        <v>4</v>
      </c>
      <c r="X88" s="17">
        <f>'22'!$CC$7</f>
        <v>0</v>
      </c>
      <c r="Y88" s="59" t="s">
        <v>227</v>
      </c>
    </row>
    <row r="89" spans="1:25" x14ac:dyDescent="0.35">
      <c r="A89" s="243"/>
      <c r="B89" s="242"/>
      <c r="C89" s="58">
        <v>85.25</v>
      </c>
      <c r="D89" s="230"/>
      <c r="E89" s="225"/>
      <c r="F89" s="225"/>
      <c r="G89" s="225"/>
      <c r="H89" s="225"/>
      <c r="I89" s="17">
        <f>'22'!$E$13+'22'!$Q$13</f>
        <v>0</v>
      </c>
      <c r="J89" s="17">
        <f>'22'!$F$13+'22'!$R$13</f>
        <v>0</v>
      </c>
      <c r="K89" s="17">
        <f>'22'!$G$13+'22'!$S$13</f>
        <v>0</v>
      </c>
      <c r="L89" s="17">
        <f>'22'!$BC13</f>
        <v>0</v>
      </c>
      <c r="M89" s="17">
        <f>'22'!$BD13</f>
        <v>0</v>
      </c>
      <c r="N89" s="17">
        <f>'22'!$BE13</f>
        <v>0</v>
      </c>
      <c r="O89" s="61">
        <f>'22'!$AW13</f>
        <v>0</v>
      </c>
      <c r="P89" s="61">
        <f>'22'!$AX13</f>
        <v>0</v>
      </c>
      <c r="Q89" s="61">
        <f>'22'!$AY13</f>
        <v>0</v>
      </c>
      <c r="R89" s="62">
        <f>'22'!$AZ13</f>
        <v>0</v>
      </c>
      <c r="S89" s="62">
        <f>'22'!$BA13</f>
        <v>0</v>
      </c>
      <c r="T89" s="62">
        <f>'22'!$BB13</f>
        <v>0</v>
      </c>
      <c r="U89" s="63">
        <f>'22'!$AV13</f>
        <v>0</v>
      </c>
      <c r="V89" s="17">
        <f>'22'!$AU13</f>
        <v>0</v>
      </c>
      <c r="W89" s="225"/>
      <c r="X89" s="17">
        <f>'22'!$CC$13</f>
        <v>0</v>
      </c>
      <c r="Y89" s="59" t="s">
        <v>227</v>
      </c>
    </row>
    <row r="90" spans="1:25" x14ac:dyDescent="0.35">
      <c r="A90" s="243"/>
      <c r="B90" s="242"/>
      <c r="C90" s="58">
        <v>85.5</v>
      </c>
      <c r="D90" s="230"/>
      <c r="E90" s="225"/>
      <c r="F90" s="225"/>
      <c r="G90" s="225"/>
      <c r="H90" s="225"/>
      <c r="I90" s="17">
        <f>'22'!$E$19+'22'!$Q$19</f>
        <v>0</v>
      </c>
      <c r="J90" s="17">
        <f>'22'!$F$19+'22'!$R$19</f>
        <v>0</v>
      </c>
      <c r="K90" s="17">
        <f>'22'!$G$19+'22'!$S$19</f>
        <v>0</v>
      </c>
      <c r="L90" s="17">
        <f>'22'!$BC19</f>
        <v>0</v>
      </c>
      <c r="M90" s="17">
        <f>'22'!$BD19</f>
        <v>0</v>
      </c>
      <c r="N90" s="17">
        <f>'22'!$BE19</f>
        <v>0</v>
      </c>
      <c r="O90" s="61">
        <f>'22'!$AW19</f>
        <v>0</v>
      </c>
      <c r="P90" s="61">
        <f>'22'!$AX19</f>
        <v>0</v>
      </c>
      <c r="Q90" s="61">
        <f>'22'!$AY19</f>
        <v>0</v>
      </c>
      <c r="R90" s="62">
        <f>'22'!$AZ19</f>
        <v>0</v>
      </c>
      <c r="S90" s="62">
        <f>'22'!$BA19</f>
        <v>0</v>
      </c>
      <c r="T90" s="62">
        <f>'22'!$BB19</f>
        <v>0</v>
      </c>
      <c r="U90" s="63">
        <f>'22'!$AV19</f>
        <v>0</v>
      </c>
      <c r="V90" s="17">
        <f>'22'!$AU19</f>
        <v>0</v>
      </c>
      <c r="W90" s="225"/>
      <c r="X90" s="17">
        <f>'22'!$CC$19</f>
        <v>0</v>
      </c>
      <c r="Y90" s="59" t="s">
        <v>227</v>
      </c>
    </row>
    <row r="91" spans="1:25" x14ac:dyDescent="0.35">
      <c r="A91" s="243"/>
      <c r="B91" s="242"/>
      <c r="C91" s="58">
        <v>85.75</v>
      </c>
      <c r="D91" s="231"/>
      <c r="E91" s="228"/>
      <c r="F91" s="228"/>
      <c r="G91" s="228"/>
      <c r="H91" s="228"/>
      <c r="I91" s="17">
        <f>'22'!$E$25+'22'!$Q$25</f>
        <v>0</v>
      </c>
      <c r="J91" s="17">
        <f>'22'!$F$25+'22'!$R$25</f>
        <v>0</v>
      </c>
      <c r="K91" s="17">
        <f>'22'!$G$25+'22'!$S$25</f>
        <v>0</v>
      </c>
      <c r="L91" s="17">
        <f>'22'!$BC25</f>
        <v>0</v>
      </c>
      <c r="M91" s="17">
        <f>'22'!$BD25</f>
        <v>0</v>
      </c>
      <c r="N91" s="17">
        <f>'22'!$BE25</f>
        <v>0</v>
      </c>
      <c r="O91" s="61">
        <f>'22'!$AW25</f>
        <v>0</v>
      </c>
      <c r="P91" s="61">
        <f>'22'!$AX25</f>
        <v>0</v>
      </c>
      <c r="Q91" s="61">
        <f>'22'!$AY25</f>
        <v>0</v>
      </c>
      <c r="R91" s="62">
        <f>'22'!$AZ25</f>
        <v>0</v>
      </c>
      <c r="S91" s="62">
        <f>'22'!$BA25</f>
        <v>0</v>
      </c>
      <c r="T91" s="62">
        <f>'22'!$BB25</f>
        <v>0</v>
      </c>
      <c r="U91" s="63">
        <f>'22'!$AV25</f>
        <v>0</v>
      </c>
      <c r="V91" s="17">
        <f>'22'!$AU25</f>
        <v>0</v>
      </c>
      <c r="W91" s="228"/>
      <c r="X91" s="17">
        <f>'22'!$CC$25</f>
        <v>0</v>
      </c>
      <c r="Y91" s="59" t="s">
        <v>227</v>
      </c>
    </row>
    <row r="92" spans="1:25" x14ac:dyDescent="0.35">
      <c r="A92" s="243" t="s">
        <v>142</v>
      </c>
      <c r="B92" s="242">
        <v>46196</v>
      </c>
      <c r="C92" s="58">
        <v>89</v>
      </c>
      <c r="D92" s="229" t="s">
        <v>203</v>
      </c>
      <c r="E92" s="224" t="s">
        <v>194</v>
      </c>
      <c r="F92" s="224" t="s">
        <v>218</v>
      </c>
      <c r="G92" s="224">
        <v>200</v>
      </c>
      <c r="H92" s="224" t="s">
        <v>217</v>
      </c>
      <c r="I92" s="17">
        <f>'23'!$E$6+'23'!$Q$6</f>
        <v>0</v>
      </c>
      <c r="J92" s="17">
        <f>'23'!$F$6+'23'!$R$6</f>
        <v>0</v>
      </c>
      <c r="K92" s="17">
        <f>'23'!$G$6+'23'!$S$6</f>
        <v>0</v>
      </c>
      <c r="L92" s="17">
        <f>'23'!$BC6</f>
        <v>0</v>
      </c>
      <c r="M92" s="17">
        <f>'23'!$BD6</f>
        <v>0</v>
      </c>
      <c r="N92" s="17">
        <f>'23'!$BE6</f>
        <v>0</v>
      </c>
      <c r="O92" s="61">
        <f>'23'!$AW6</f>
        <v>0</v>
      </c>
      <c r="P92" s="61">
        <f>'23'!$AX6</f>
        <v>0</v>
      </c>
      <c r="Q92" s="61">
        <f>'23'!$AY6</f>
        <v>0</v>
      </c>
      <c r="R92" s="62">
        <f>'23'!$AZ6</f>
        <v>0</v>
      </c>
      <c r="S92" s="62">
        <f>'23'!$BA6</f>
        <v>0</v>
      </c>
      <c r="T92" s="62">
        <f>'23'!$BB6</f>
        <v>0</v>
      </c>
      <c r="U92" s="63">
        <f>'23'!$AV6</f>
        <v>0</v>
      </c>
      <c r="V92" s="17">
        <f>'23'!$AU6</f>
        <v>0</v>
      </c>
      <c r="W92" s="224">
        <v>4</v>
      </c>
      <c r="X92" s="17">
        <f>'23'!$CC$6</f>
        <v>0</v>
      </c>
      <c r="Y92" s="59" t="s">
        <v>227</v>
      </c>
    </row>
    <row r="93" spans="1:25" x14ac:dyDescent="0.35">
      <c r="A93" s="243"/>
      <c r="B93" s="242"/>
      <c r="C93" s="58">
        <v>89.25</v>
      </c>
      <c r="D93" s="230"/>
      <c r="E93" s="225"/>
      <c r="F93" s="225"/>
      <c r="G93" s="225"/>
      <c r="H93" s="225"/>
      <c r="I93" s="17">
        <f>'23'!$E$12+'23'!$Q$12</f>
        <v>0</v>
      </c>
      <c r="J93" s="17">
        <f>'23'!$F$12+'23'!$R$12</f>
        <v>0</v>
      </c>
      <c r="K93" s="17">
        <f>'23'!$G$12+'23'!$S$12</f>
        <v>0</v>
      </c>
      <c r="L93" s="17">
        <f>'23'!$BC12</f>
        <v>0</v>
      </c>
      <c r="M93" s="17">
        <f>'23'!$BD12</f>
        <v>0</v>
      </c>
      <c r="N93" s="17">
        <f>'23'!$BE12</f>
        <v>0</v>
      </c>
      <c r="O93" s="61">
        <f>'23'!$AW12</f>
        <v>0</v>
      </c>
      <c r="P93" s="61">
        <f>'23'!$AX12</f>
        <v>0</v>
      </c>
      <c r="Q93" s="61">
        <f>'23'!$AY12</f>
        <v>0</v>
      </c>
      <c r="R93" s="62">
        <f>'23'!$AZ12</f>
        <v>0</v>
      </c>
      <c r="S93" s="62">
        <f>'23'!$BA12</f>
        <v>0</v>
      </c>
      <c r="T93" s="62">
        <f>'23'!$BB12</f>
        <v>0</v>
      </c>
      <c r="U93" s="63">
        <f>'23'!$AV12</f>
        <v>0</v>
      </c>
      <c r="V93" s="17">
        <f>'23'!$AU12</f>
        <v>0</v>
      </c>
      <c r="W93" s="225"/>
      <c r="X93" s="17">
        <f>'23'!$CC$12</f>
        <v>0</v>
      </c>
      <c r="Y93" s="59" t="s">
        <v>227</v>
      </c>
    </row>
    <row r="94" spans="1:25" x14ac:dyDescent="0.35">
      <c r="A94" s="243"/>
      <c r="B94" s="242"/>
      <c r="C94" s="58">
        <v>89.5</v>
      </c>
      <c r="D94" s="230"/>
      <c r="E94" s="225"/>
      <c r="F94" s="225"/>
      <c r="G94" s="225"/>
      <c r="H94" s="225"/>
      <c r="I94" s="17">
        <f>'23'!$E$18+'23'!$Q$18</f>
        <v>0</v>
      </c>
      <c r="J94" s="17">
        <f>'23'!$F$18+'23'!$R$18</f>
        <v>0</v>
      </c>
      <c r="K94" s="17">
        <f>'23'!$G$18+'23'!$S$18</f>
        <v>0</v>
      </c>
      <c r="L94" s="17">
        <f>'23'!$BC18</f>
        <v>0</v>
      </c>
      <c r="M94" s="17">
        <f>'23'!$BD18</f>
        <v>0</v>
      </c>
      <c r="N94" s="17">
        <f>'23'!$BE18</f>
        <v>0</v>
      </c>
      <c r="O94" s="61">
        <f>'23'!$AW18</f>
        <v>0</v>
      </c>
      <c r="P94" s="61">
        <f>'23'!$AX18</f>
        <v>0</v>
      </c>
      <c r="Q94" s="61">
        <f>'23'!$AY18</f>
        <v>0</v>
      </c>
      <c r="R94" s="62">
        <f>'23'!$AZ18</f>
        <v>0</v>
      </c>
      <c r="S94" s="62">
        <f>'23'!$BA18</f>
        <v>0</v>
      </c>
      <c r="T94" s="62">
        <f>'23'!$BB18</f>
        <v>0</v>
      </c>
      <c r="U94" s="63">
        <f>'23'!$AV18</f>
        <v>0</v>
      </c>
      <c r="V94" s="17">
        <f>'23'!$AU18</f>
        <v>0</v>
      </c>
      <c r="W94" s="225"/>
      <c r="X94" s="17">
        <f>'23'!$CC$18</f>
        <v>0</v>
      </c>
      <c r="Y94" s="59" t="s">
        <v>227</v>
      </c>
    </row>
    <row r="95" spans="1:25" x14ac:dyDescent="0.35">
      <c r="A95" s="243"/>
      <c r="B95" s="242"/>
      <c r="C95" s="58">
        <v>89.75</v>
      </c>
      <c r="D95" s="231"/>
      <c r="E95" s="228"/>
      <c r="F95" s="228"/>
      <c r="G95" s="228"/>
      <c r="H95" s="228"/>
      <c r="I95" s="17">
        <f>'23'!$E$24+'23'!$Q$24</f>
        <v>0</v>
      </c>
      <c r="J95" s="17">
        <f>'23'!$F$24+'23'!$R$24</f>
        <v>0</v>
      </c>
      <c r="K95" s="17">
        <f>'23'!$G$24+'23'!$S$24</f>
        <v>0</v>
      </c>
      <c r="L95" s="17">
        <f>'23'!$BC24</f>
        <v>0</v>
      </c>
      <c r="M95" s="17">
        <f>'23'!$BD24</f>
        <v>0</v>
      </c>
      <c r="N95" s="17">
        <f>'23'!$BE24</f>
        <v>0</v>
      </c>
      <c r="O95" s="61">
        <f>'23'!$AW24</f>
        <v>0</v>
      </c>
      <c r="P95" s="61">
        <f>'23'!$AX24</f>
        <v>0</v>
      </c>
      <c r="Q95" s="61">
        <f>'23'!$AY24</f>
        <v>0</v>
      </c>
      <c r="R95" s="62">
        <f>'23'!$AZ24</f>
        <v>0</v>
      </c>
      <c r="S95" s="62">
        <f>'23'!$BA24</f>
        <v>0</v>
      </c>
      <c r="T95" s="62">
        <f>'23'!$BB24</f>
        <v>0</v>
      </c>
      <c r="U95" s="63">
        <f>'23'!$AV24</f>
        <v>0</v>
      </c>
      <c r="V95" s="17">
        <f>'23'!$AU24</f>
        <v>0</v>
      </c>
      <c r="W95" s="228"/>
      <c r="X95" s="17">
        <f>'23'!$CC$24</f>
        <v>0</v>
      </c>
      <c r="Y95" s="59" t="s">
        <v>227</v>
      </c>
    </row>
    <row r="96" spans="1:25" x14ac:dyDescent="0.35">
      <c r="A96" s="243" t="s">
        <v>142</v>
      </c>
      <c r="B96" s="242">
        <v>46197</v>
      </c>
      <c r="C96" s="58">
        <v>93</v>
      </c>
      <c r="D96" s="229" t="s">
        <v>203</v>
      </c>
      <c r="E96" s="224" t="s">
        <v>194</v>
      </c>
      <c r="F96" s="224" t="s">
        <v>218</v>
      </c>
      <c r="G96" s="224">
        <v>200</v>
      </c>
      <c r="H96" s="224" t="s">
        <v>217</v>
      </c>
      <c r="I96" s="17">
        <f>'24'!$E$6+'24'!$Q$6</f>
        <v>0</v>
      </c>
      <c r="J96" s="17">
        <f>'24'!$F$6+'24'!$R$6</f>
        <v>0</v>
      </c>
      <c r="K96" s="17">
        <f>'24'!$G$6+'24'!$S$6</f>
        <v>0</v>
      </c>
      <c r="L96" s="17">
        <f>'24'!$BC6</f>
        <v>0</v>
      </c>
      <c r="M96" s="17">
        <f>'24'!$BD6</f>
        <v>0</v>
      </c>
      <c r="N96" s="17">
        <f>'24'!$BE6</f>
        <v>0</v>
      </c>
      <c r="O96" s="61">
        <f>'24'!$AW6</f>
        <v>0</v>
      </c>
      <c r="P96" s="61">
        <f>'24'!$AX6</f>
        <v>0</v>
      </c>
      <c r="Q96" s="61">
        <f>'24'!$AY6</f>
        <v>0</v>
      </c>
      <c r="R96" s="62">
        <f>'24'!$AZ6</f>
        <v>0</v>
      </c>
      <c r="S96" s="62">
        <f>'24'!$BA6</f>
        <v>0</v>
      </c>
      <c r="T96" s="62">
        <f>'24'!$BB6</f>
        <v>0</v>
      </c>
      <c r="U96" s="63">
        <f>'24'!$AV6</f>
        <v>0</v>
      </c>
      <c r="V96" s="17">
        <f>'24'!$AU6</f>
        <v>0</v>
      </c>
      <c r="W96" s="224">
        <v>4</v>
      </c>
      <c r="X96" s="17">
        <f>'24'!$CC$6</f>
        <v>0</v>
      </c>
      <c r="Y96" s="59" t="s">
        <v>227</v>
      </c>
    </row>
    <row r="97" spans="1:25" x14ac:dyDescent="0.35">
      <c r="A97" s="243"/>
      <c r="B97" s="242"/>
      <c r="C97" s="58">
        <v>93.25</v>
      </c>
      <c r="D97" s="230"/>
      <c r="E97" s="225"/>
      <c r="F97" s="225"/>
      <c r="G97" s="225"/>
      <c r="H97" s="225"/>
      <c r="I97" s="17">
        <f>'24'!$E$12+'24'!$Q$12</f>
        <v>0</v>
      </c>
      <c r="J97" s="17">
        <f>'24'!$F$12+'24'!$R$12</f>
        <v>0</v>
      </c>
      <c r="K97" s="17">
        <f>'24'!$G$12+'24'!$S$12</f>
        <v>0</v>
      </c>
      <c r="L97" s="17">
        <f>'24'!$BC12</f>
        <v>0</v>
      </c>
      <c r="M97" s="17">
        <f>'24'!$BD12</f>
        <v>0</v>
      </c>
      <c r="N97" s="17">
        <f>'24'!$BE12</f>
        <v>0</v>
      </c>
      <c r="O97" s="61">
        <f>'24'!$AW12</f>
        <v>0</v>
      </c>
      <c r="P97" s="61">
        <f>'24'!$AX12</f>
        <v>0</v>
      </c>
      <c r="Q97" s="61">
        <f>'24'!$AY12</f>
        <v>0</v>
      </c>
      <c r="R97" s="62">
        <f>'24'!$AZ12</f>
        <v>0</v>
      </c>
      <c r="S97" s="62">
        <f>'24'!$BA12</f>
        <v>0</v>
      </c>
      <c r="T97" s="62">
        <f>'24'!$BB12</f>
        <v>0</v>
      </c>
      <c r="U97" s="63">
        <f>'24'!$AV12</f>
        <v>0</v>
      </c>
      <c r="V97" s="17">
        <f>'24'!$AU12</f>
        <v>0</v>
      </c>
      <c r="W97" s="225"/>
      <c r="X97" s="17">
        <f>'24'!$CC$12</f>
        <v>0</v>
      </c>
      <c r="Y97" s="59" t="s">
        <v>227</v>
      </c>
    </row>
    <row r="98" spans="1:25" x14ac:dyDescent="0.35">
      <c r="A98" s="243"/>
      <c r="B98" s="242"/>
      <c r="C98" s="58">
        <v>93.5</v>
      </c>
      <c r="D98" s="230"/>
      <c r="E98" s="225"/>
      <c r="F98" s="225"/>
      <c r="G98" s="225"/>
      <c r="H98" s="225"/>
      <c r="I98" s="17">
        <f>'24'!$E$18+'24'!$Q$18</f>
        <v>0</v>
      </c>
      <c r="J98" s="17">
        <f>'24'!$F$18+'24'!$R$18</f>
        <v>0</v>
      </c>
      <c r="K98" s="17">
        <f>'24'!$G$18+'24'!$S$18</f>
        <v>0</v>
      </c>
      <c r="L98" s="17">
        <f>'24'!$BC18</f>
        <v>0</v>
      </c>
      <c r="M98" s="17">
        <f>'24'!$BD18</f>
        <v>0</v>
      </c>
      <c r="N98" s="17">
        <f>'24'!$BE18</f>
        <v>0</v>
      </c>
      <c r="O98" s="61">
        <f>'24'!$AW18</f>
        <v>0</v>
      </c>
      <c r="P98" s="61">
        <f>'24'!$AX18</f>
        <v>0</v>
      </c>
      <c r="Q98" s="61">
        <f>'24'!$AY18</f>
        <v>0</v>
      </c>
      <c r="R98" s="62">
        <f>'24'!$AZ18</f>
        <v>0</v>
      </c>
      <c r="S98" s="62">
        <f>'24'!$BA18</f>
        <v>0</v>
      </c>
      <c r="T98" s="62">
        <f>'24'!$BB18</f>
        <v>0</v>
      </c>
      <c r="U98" s="63">
        <f>'24'!$AV18</f>
        <v>0</v>
      </c>
      <c r="V98" s="17">
        <f>'24'!$AU18</f>
        <v>0</v>
      </c>
      <c r="W98" s="225"/>
      <c r="X98" s="17">
        <f>'24'!$CC$18</f>
        <v>0</v>
      </c>
      <c r="Y98" s="59" t="s">
        <v>227</v>
      </c>
    </row>
    <row r="99" spans="1:25" x14ac:dyDescent="0.35">
      <c r="A99" s="243"/>
      <c r="B99" s="242"/>
      <c r="C99" s="58">
        <v>93.75</v>
      </c>
      <c r="D99" s="231"/>
      <c r="E99" s="228"/>
      <c r="F99" s="228"/>
      <c r="G99" s="228"/>
      <c r="H99" s="228"/>
      <c r="I99" s="17">
        <f>'24'!$E$24+'24'!$Q$24</f>
        <v>0</v>
      </c>
      <c r="J99" s="17">
        <f>'24'!$F$24+'24'!$R$24</f>
        <v>0</v>
      </c>
      <c r="K99" s="17">
        <f>'24'!$G$24+'24'!$S$24</f>
        <v>0</v>
      </c>
      <c r="L99" s="17">
        <f>'24'!$BC24</f>
        <v>0</v>
      </c>
      <c r="M99" s="17">
        <f>'24'!$BD24</f>
        <v>0</v>
      </c>
      <c r="N99" s="17">
        <f>'24'!$BE24</f>
        <v>0</v>
      </c>
      <c r="O99" s="61">
        <f>'24'!$AW24</f>
        <v>0</v>
      </c>
      <c r="P99" s="61">
        <f>'24'!$AX24</f>
        <v>0</v>
      </c>
      <c r="Q99" s="61">
        <f>'24'!$AY24</f>
        <v>0</v>
      </c>
      <c r="R99" s="62">
        <f>'24'!$AZ24</f>
        <v>0</v>
      </c>
      <c r="S99" s="62">
        <f>'24'!$BA24</f>
        <v>0</v>
      </c>
      <c r="T99" s="62">
        <f>'24'!$BB24</f>
        <v>0</v>
      </c>
      <c r="U99" s="63">
        <f>'24'!$AV24</f>
        <v>0</v>
      </c>
      <c r="V99" s="17">
        <f>'24'!$AU24</f>
        <v>0</v>
      </c>
      <c r="W99" s="228"/>
      <c r="X99" s="17">
        <f>'24'!$CC$24</f>
        <v>0</v>
      </c>
      <c r="Y99" s="59" t="s">
        <v>227</v>
      </c>
    </row>
    <row r="100" spans="1:25" x14ac:dyDescent="0.35">
      <c r="A100" s="243" t="s">
        <v>142</v>
      </c>
      <c r="B100" s="242">
        <v>46198</v>
      </c>
      <c r="C100" s="58">
        <v>97</v>
      </c>
      <c r="D100" s="229" t="s">
        <v>203</v>
      </c>
      <c r="E100" s="224" t="s">
        <v>194</v>
      </c>
      <c r="F100" s="224" t="s">
        <v>218</v>
      </c>
      <c r="G100" s="224">
        <v>200</v>
      </c>
      <c r="H100" s="224" t="s">
        <v>217</v>
      </c>
      <c r="I100" s="17">
        <f>'25'!$E$6+'25'!$Q$6</f>
        <v>0</v>
      </c>
      <c r="J100" s="17">
        <f>'25'!$F$6+'25'!$R$6</f>
        <v>0</v>
      </c>
      <c r="K100" s="17">
        <f>'25'!$G$6+'25'!$S$6</f>
        <v>0</v>
      </c>
      <c r="L100" s="17">
        <f>'25'!$BC6</f>
        <v>0</v>
      </c>
      <c r="M100" s="17">
        <f>'25'!$BD6</f>
        <v>0</v>
      </c>
      <c r="N100" s="17">
        <f>'25'!$BE6</f>
        <v>0</v>
      </c>
      <c r="O100" s="61">
        <f>'25'!$AW6</f>
        <v>0</v>
      </c>
      <c r="P100" s="61">
        <f>'25'!$AX6</f>
        <v>0</v>
      </c>
      <c r="Q100" s="61">
        <f>'25'!$AY6</f>
        <v>0</v>
      </c>
      <c r="R100" s="62">
        <f>'25'!$AZ6</f>
        <v>0</v>
      </c>
      <c r="S100" s="62">
        <f>'25'!$BA6</f>
        <v>0</v>
      </c>
      <c r="T100" s="62">
        <f>'25'!$BB6</f>
        <v>0</v>
      </c>
      <c r="U100" s="63">
        <f>'25'!$AV6</f>
        <v>0</v>
      </c>
      <c r="V100" s="17">
        <f>'25'!$AU6</f>
        <v>0</v>
      </c>
      <c r="W100" s="224">
        <v>4</v>
      </c>
      <c r="X100" s="17">
        <f>'25'!$CC$6</f>
        <v>0</v>
      </c>
      <c r="Y100" s="59" t="s">
        <v>227</v>
      </c>
    </row>
    <row r="101" spans="1:25" x14ac:dyDescent="0.35">
      <c r="A101" s="243"/>
      <c r="B101" s="242"/>
      <c r="C101" s="58">
        <v>97.25</v>
      </c>
      <c r="D101" s="230"/>
      <c r="E101" s="225"/>
      <c r="F101" s="225"/>
      <c r="G101" s="225"/>
      <c r="H101" s="225"/>
      <c r="I101" s="17">
        <f>'25'!$E$12+'25'!$Q$12</f>
        <v>0</v>
      </c>
      <c r="J101" s="17">
        <f>'25'!$F$12+'25'!$R$12</f>
        <v>0</v>
      </c>
      <c r="K101" s="17">
        <f>'25'!$G$12+'25'!$S$12</f>
        <v>0</v>
      </c>
      <c r="L101" s="17">
        <f>'25'!$BC12</f>
        <v>0</v>
      </c>
      <c r="M101" s="17">
        <f>'25'!$BD12</f>
        <v>0</v>
      </c>
      <c r="N101" s="17">
        <f>'25'!$BE12</f>
        <v>0</v>
      </c>
      <c r="O101" s="61">
        <f>'25'!$AW12</f>
        <v>0</v>
      </c>
      <c r="P101" s="61">
        <f>'25'!$AX12</f>
        <v>0</v>
      </c>
      <c r="Q101" s="61">
        <f>'25'!$AY12</f>
        <v>0</v>
      </c>
      <c r="R101" s="62">
        <f>'25'!$AZ12</f>
        <v>0</v>
      </c>
      <c r="S101" s="62">
        <f>'25'!$BA12</f>
        <v>0</v>
      </c>
      <c r="T101" s="62">
        <f>'25'!$BB12</f>
        <v>0</v>
      </c>
      <c r="U101" s="63">
        <f>'25'!$AV12</f>
        <v>0</v>
      </c>
      <c r="V101" s="17">
        <f>'25'!$AU12</f>
        <v>0</v>
      </c>
      <c r="W101" s="225"/>
      <c r="X101" s="17">
        <f>'25'!$CC$12</f>
        <v>0</v>
      </c>
      <c r="Y101" s="59" t="s">
        <v>227</v>
      </c>
    </row>
    <row r="102" spans="1:25" x14ac:dyDescent="0.35">
      <c r="A102" s="243"/>
      <c r="B102" s="242"/>
      <c r="C102" s="58">
        <v>97.5</v>
      </c>
      <c r="D102" s="230"/>
      <c r="E102" s="225"/>
      <c r="F102" s="225"/>
      <c r="G102" s="225"/>
      <c r="H102" s="225"/>
      <c r="I102" s="17">
        <f>'25'!$E$18+'25'!$Q$18</f>
        <v>0</v>
      </c>
      <c r="J102" s="17">
        <f>'25'!$F$18+'25'!$R$18</f>
        <v>0</v>
      </c>
      <c r="K102" s="17">
        <f>'25'!$G$18+'25'!$S$18</f>
        <v>0</v>
      </c>
      <c r="L102" s="17">
        <f>'25'!$BC18</f>
        <v>0</v>
      </c>
      <c r="M102" s="17">
        <f>'25'!$BD18</f>
        <v>0</v>
      </c>
      <c r="N102" s="17">
        <f>'25'!$BE18</f>
        <v>0</v>
      </c>
      <c r="O102" s="61">
        <f>'25'!$AW18</f>
        <v>0</v>
      </c>
      <c r="P102" s="61">
        <f>'25'!$AX18</f>
        <v>0</v>
      </c>
      <c r="Q102" s="61">
        <f>'25'!$AY18</f>
        <v>0</v>
      </c>
      <c r="R102" s="62">
        <f>'25'!$AZ18</f>
        <v>0</v>
      </c>
      <c r="S102" s="62">
        <f>'25'!$BA18</f>
        <v>0</v>
      </c>
      <c r="T102" s="62">
        <f>'25'!$BB18</f>
        <v>0</v>
      </c>
      <c r="U102" s="63">
        <f>'25'!$AV18</f>
        <v>0</v>
      </c>
      <c r="V102" s="17">
        <f>'25'!$AU18</f>
        <v>0</v>
      </c>
      <c r="W102" s="225"/>
      <c r="X102" s="17">
        <f>'25'!$CC$18</f>
        <v>0</v>
      </c>
      <c r="Y102" s="59" t="s">
        <v>227</v>
      </c>
    </row>
    <row r="103" spans="1:25" x14ac:dyDescent="0.35">
      <c r="A103" s="243"/>
      <c r="B103" s="242"/>
      <c r="C103" s="58">
        <v>97.75</v>
      </c>
      <c r="D103" s="231"/>
      <c r="E103" s="228"/>
      <c r="F103" s="228"/>
      <c r="G103" s="228"/>
      <c r="H103" s="228"/>
      <c r="I103" s="17">
        <f>'25'!$E$24+'25'!$Q$24</f>
        <v>0</v>
      </c>
      <c r="J103" s="17">
        <f>'25'!$F$24+'25'!$R$24</f>
        <v>0</v>
      </c>
      <c r="K103" s="17">
        <f>'25'!$G$24+'25'!$S$24</f>
        <v>0</v>
      </c>
      <c r="L103" s="17">
        <f>'25'!$BC24</f>
        <v>0</v>
      </c>
      <c r="M103" s="17">
        <f>'25'!$BD24</f>
        <v>0</v>
      </c>
      <c r="N103" s="17">
        <f>'25'!$BE24</f>
        <v>0</v>
      </c>
      <c r="O103" s="61">
        <f>'25'!$AW24</f>
        <v>0</v>
      </c>
      <c r="P103" s="61">
        <f>'25'!$AX24</f>
        <v>0</v>
      </c>
      <c r="Q103" s="61">
        <f>'25'!$AY24</f>
        <v>0</v>
      </c>
      <c r="R103" s="62">
        <f>'25'!$AZ24</f>
        <v>0</v>
      </c>
      <c r="S103" s="62">
        <f>'25'!$BA24</f>
        <v>0</v>
      </c>
      <c r="T103" s="62">
        <f>'25'!$BB24</f>
        <v>0</v>
      </c>
      <c r="U103" s="63">
        <f>'25'!$AV24</f>
        <v>0</v>
      </c>
      <c r="V103" s="17">
        <f>'25'!$AU24</f>
        <v>0</v>
      </c>
      <c r="W103" s="228"/>
      <c r="X103" s="17">
        <f>'25'!$CC$24</f>
        <v>0</v>
      </c>
      <c r="Y103" s="59" t="s">
        <v>227</v>
      </c>
    </row>
    <row r="104" spans="1:25" x14ac:dyDescent="0.35">
      <c r="A104" s="243" t="s">
        <v>142</v>
      </c>
      <c r="B104" s="242">
        <v>46199</v>
      </c>
      <c r="C104" s="58">
        <v>101</v>
      </c>
      <c r="D104" s="229" t="s">
        <v>203</v>
      </c>
      <c r="E104" s="224" t="s">
        <v>194</v>
      </c>
      <c r="F104" s="224" t="s">
        <v>218</v>
      </c>
      <c r="G104" s="224">
        <v>200</v>
      </c>
      <c r="H104" s="224" t="s">
        <v>217</v>
      </c>
      <c r="I104" s="17">
        <f>'26'!$E$6+'26'!$Q$6</f>
        <v>0</v>
      </c>
      <c r="J104" s="17">
        <f>'26'!$F$6+'26'!$R$6</f>
        <v>0</v>
      </c>
      <c r="K104" s="17">
        <f>'26'!$G$6+'26'!$S$6</f>
        <v>0</v>
      </c>
      <c r="L104" s="17">
        <f>'26'!$BC6</f>
        <v>0</v>
      </c>
      <c r="M104" s="17">
        <f>'26'!$BD6</f>
        <v>0</v>
      </c>
      <c r="N104" s="17">
        <f>'26'!$BE6</f>
        <v>0</v>
      </c>
      <c r="O104" s="61">
        <f>'26'!$AW6</f>
        <v>0</v>
      </c>
      <c r="P104" s="61">
        <f>'26'!$AX6</f>
        <v>0</v>
      </c>
      <c r="Q104" s="61">
        <f>'26'!$AY6</f>
        <v>0</v>
      </c>
      <c r="R104" s="62">
        <f>'26'!$AZ6</f>
        <v>0</v>
      </c>
      <c r="S104" s="62">
        <f>'26'!$BA6</f>
        <v>0</v>
      </c>
      <c r="T104" s="62">
        <f>'26'!$BB6</f>
        <v>0</v>
      </c>
      <c r="U104" s="63">
        <f>'26'!$AV6</f>
        <v>0</v>
      </c>
      <c r="V104" s="17">
        <f>'26'!$AU6</f>
        <v>0</v>
      </c>
      <c r="W104" s="224">
        <v>4</v>
      </c>
      <c r="X104" s="17">
        <f>'26'!$CC$6</f>
        <v>0</v>
      </c>
      <c r="Y104" s="59" t="s">
        <v>227</v>
      </c>
    </row>
    <row r="105" spans="1:25" x14ac:dyDescent="0.35">
      <c r="A105" s="243"/>
      <c r="B105" s="242"/>
      <c r="C105" s="58">
        <v>101.25</v>
      </c>
      <c r="D105" s="230"/>
      <c r="E105" s="225"/>
      <c r="F105" s="225"/>
      <c r="G105" s="225"/>
      <c r="H105" s="225"/>
      <c r="I105" s="17">
        <f>'26'!$E$12+'26'!$Q$12</f>
        <v>0</v>
      </c>
      <c r="J105" s="17">
        <f>'26'!$F$12+'26'!$R$12</f>
        <v>0</v>
      </c>
      <c r="K105" s="17">
        <f>'26'!$G$12+'26'!$S$12</f>
        <v>0</v>
      </c>
      <c r="L105" s="17">
        <f>'26'!$BC12</f>
        <v>0</v>
      </c>
      <c r="M105" s="17">
        <f>'26'!$BD12</f>
        <v>0</v>
      </c>
      <c r="N105" s="17">
        <f>'26'!$BE12</f>
        <v>0</v>
      </c>
      <c r="O105" s="61">
        <f>'26'!$AW12</f>
        <v>0</v>
      </c>
      <c r="P105" s="61">
        <f>'26'!$AX12</f>
        <v>0</v>
      </c>
      <c r="Q105" s="61">
        <f>'26'!$AY12</f>
        <v>0</v>
      </c>
      <c r="R105" s="62">
        <f>'26'!$AZ12</f>
        <v>0</v>
      </c>
      <c r="S105" s="62">
        <f>'26'!$BA12</f>
        <v>0</v>
      </c>
      <c r="T105" s="62">
        <f>'26'!$BB12</f>
        <v>0</v>
      </c>
      <c r="U105" s="63">
        <f>'26'!$AV12</f>
        <v>0</v>
      </c>
      <c r="V105" s="17">
        <f>'26'!$AU12</f>
        <v>0</v>
      </c>
      <c r="W105" s="225"/>
      <c r="X105" s="17">
        <f>'26'!$CC$12</f>
        <v>0</v>
      </c>
      <c r="Y105" s="59" t="s">
        <v>227</v>
      </c>
    </row>
    <row r="106" spans="1:25" x14ac:dyDescent="0.35">
      <c r="A106" s="243"/>
      <c r="B106" s="242"/>
      <c r="C106" s="58">
        <v>101.5</v>
      </c>
      <c r="D106" s="230"/>
      <c r="E106" s="225"/>
      <c r="F106" s="225"/>
      <c r="G106" s="225"/>
      <c r="H106" s="225"/>
      <c r="I106" s="17">
        <f>'26'!$E$18+'26'!$Q$18</f>
        <v>0</v>
      </c>
      <c r="J106" s="17">
        <f>'26'!$F$18+'26'!$R$18</f>
        <v>0</v>
      </c>
      <c r="K106" s="17">
        <f>'26'!$G$18+'26'!$S$18</f>
        <v>0</v>
      </c>
      <c r="L106" s="17">
        <f>'26'!$BC18</f>
        <v>0</v>
      </c>
      <c r="M106" s="17">
        <f>'26'!$BD18</f>
        <v>0</v>
      </c>
      <c r="N106" s="17">
        <f>'26'!$BE18</f>
        <v>0</v>
      </c>
      <c r="O106" s="61">
        <f>'26'!$AW18</f>
        <v>0</v>
      </c>
      <c r="P106" s="61">
        <f>'26'!$AX18</f>
        <v>0</v>
      </c>
      <c r="Q106" s="61">
        <f>'26'!$AY18</f>
        <v>0</v>
      </c>
      <c r="R106" s="62">
        <f>'26'!$AZ18</f>
        <v>0</v>
      </c>
      <c r="S106" s="62">
        <f>'26'!$BA18</f>
        <v>0</v>
      </c>
      <c r="T106" s="62">
        <f>'26'!$BB18</f>
        <v>0</v>
      </c>
      <c r="U106" s="63">
        <f>'26'!$AV18</f>
        <v>0</v>
      </c>
      <c r="V106" s="17">
        <f>'26'!$AU18</f>
        <v>0</v>
      </c>
      <c r="W106" s="225"/>
      <c r="X106" s="17">
        <f>'26'!$CC$18</f>
        <v>0</v>
      </c>
      <c r="Y106" s="59" t="s">
        <v>227</v>
      </c>
    </row>
    <row r="107" spans="1:25" x14ac:dyDescent="0.35">
      <c r="A107" s="243"/>
      <c r="B107" s="242"/>
      <c r="C107" s="58">
        <v>101.75</v>
      </c>
      <c r="D107" s="231"/>
      <c r="E107" s="228"/>
      <c r="F107" s="228"/>
      <c r="G107" s="228"/>
      <c r="H107" s="228"/>
      <c r="I107" s="17">
        <f>'26'!$E$24+'26'!$Q$24</f>
        <v>0</v>
      </c>
      <c r="J107" s="17">
        <f>'26'!$F$24+'26'!$R$24</f>
        <v>0</v>
      </c>
      <c r="K107" s="17">
        <f>'26'!$G$24+'26'!$S$24</f>
        <v>0</v>
      </c>
      <c r="L107" s="17">
        <f>'26'!$BC24</f>
        <v>0</v>
      </c>
      <c r="M107" s="17">
        <f>'26'!$BD24</f>
        <v>0</v>
      </c>
      <c r="N107" s="17">
        <f>'26'!$BE24</f>
        <v>0</v>
      </c>
      <c r="O107" s="61">
        <f>'26'!$AW24</f>
        <v>0</v>
      </c>
      <c r="P107" s="61">
        <f>'26'!$AX24</f>
        <v>0</v>
      </c>
      <c r="Q107" s="61">
        <f>'26'!$AY24</f>
        <v>0</v>
      </c>
      <c r="R107" s="62">
        <f>'26'!$AZ24</f>
        <v>0</v>
      </c>
      <c r="S107" s="62">
        <f>'26'!$BA24</f>
        <v>0</v>
      </c>
      <c r="T107" s="62">
        <f>'26'!$BB24</f>
        <v>0</v>
      </c>
      <c r="U107" s="63">
        <f>'26'!$AV24</f>
        <v>0</v>
      </c>
      <c r="V107" s="17">
        <f>'26'!$AU24</f>
        <v>0</v>
      </c>
      <c r="W107" s="228"/>
      <c r="X107" s="17">
        <f>'26'!$CC$24</f>
        <v>0</v>
      </c>
      <c r="Y107" s="59" t="s">
        <v>227</v>
      </c>
    </row>
    <row r="108" spans="1:25" x14ac:dyDescent="0.35">
      <c r="A108" s="243" t="s">
        <v>142</v>
      </c>
      <c r="B108" s="242">
        <v>46200</v>
      </c>
      <c r="C108" s="58">
        <v>105</v>
      </c>
      <c r="D108" s="229" t="s">
        <v>203</v>
      </c>
      <c r="E108" s="224" t="s">
        <v>194</v>
      </c>
      <c r="F108" s="224" t="s">
        <v>218</v>
      </c>
      <c r="G108" s="224">
        <v>200</v>
      </c>
      <c r="H108" s="224" t="s">
        <v>217</v>
      </c>
      <c r="I108" s="17">
        <f>'27'!$E$6+'27'!$Q$6</f>
        <v>0</v>
      </c>
      <c r="J108" s="17">
        <f>'27'!$F$6+'27'!$R$6</f>
        <v>0</v>
      </c>
      <c r="K108" s="17">
        <f>'27'!$G$6+'27'!$S$6</f>
        <v>0</v>
      </c>
      <c r="L108" s="17">
        <f>'27'!$BC6</f>
        <v>0</v>
      </c>
      <c r="M108" s="17">
        <f>'27'!$BD6</f>
        <v>0</v>
      </c>
      <c r="N108" s="17">
        <f>'27'!$BE6</f>
        <v>0</v>
      </c>
      <c r="O108" s="61">
        <f>'27'!$AW6</f>
        <v>0</v>
      </c>
      <c r="P108" s="61">
        <f>'27'!$AX6</f>
        <v>0</v>
      </c>
      <c r="Q108" s="61">
        <f>'27'!$AY6</f>
        <v>0</v>
      </c>
      <c r="R108" s="62">
        <f>'27'!$AZ6</f>
        <v>0</v>
      </c>
      <c r="S108" s="62">
        <f>'27'!$BA6</f>
        <v>0</v>
      </c>
      <c r="T108" s="62">
        <f>'27'!$BB6</f>
        <v>0</v>
      </c>
      <c r="U108" s="63">
        <f>'27'!$AV6</f>
        <v>0</v>
      </c>
      <c r="V108" s="17">
        <f>'27'!$AU6</f>
        <v>0</v>
      </c>
      <c r="W108" s="224">
        <v>4</v>
      </c>
      <c r="X108" s="17">
        <f>'27'!$CC$6</f>
        <v>0</v>
      </c>
      <c r="Y108" s="59"/>
    </row>
    <row r="109" spans="1:25" x14ac:dyDescent="0.35">
      <c r="A109" s="243"/>
      <c r="B109" s="242"/>
      <c r="C109" s="58">
        <v>105.25</v>
      </c>
      <c r="D109" s="230"/>
      <c r="E109" s="225"/>
      <c r="F109" s="225"/>
      <c r="G109" s="225"/>
      <c r="H109" s="225"/>
      <c r="I109" s="17">
        <f>'27'!$E$12+'27'!$Q$12</f>
        <v>0</v>
      </c>
      <c r="J109" s="17">
        <f>'27'!$F$12+'27'!$R$12</f>
        <v>0</v>
      </c>
      <c r="K109" s="17">
        <f>'27'!$G$12+'27'!$S$12</f>
        <v>0</v>
      </c>
      <c r="L109" s="17">
        <f>'27'!$BC12</f>
        <v>0</v>
      </c>
      <c r="M109" s="17">
        <f>'27'!$BD12</f>
        <v>0</v>
      </c>
      <c r="N109" s="17">
        <f>'27'!$BE12</f>
        <v>0</v>
      </c>
      <c r="O109" s="61">
        <f>'27'!$AW12</f>
        <v>0</v>
      </c>
      <c r="P109" s="61">
        <f>'27'!$AX12</f>
        <v>0</v>
      </c>
      <c r="Q109" s="61">
        <f>'27'!$AY12</f>
        <v>0</v>
      </c>
      <c r="R109" s="62">
        <f>'27'!$AZ12</f>
        <v>0</v>
      </c>
      <c r="S109" s="62">
        <f>'27'!$BA12</f>
        <v>0</v>
      </c>
      <c r="T109" s="62">
        <f>'27'!$BB12</f>
        <v>0</v>
      </c>
      <c r="U109" s="63">
        <f>'27'!$AV12</f>
        <v>0</v>
      </c>
      <c r="V109" s="17">
        <f>'27'!$AU12</f>
        <v>0</v>
      </c>
      <c r="W109" s="225"/>
      <c r="X109" s="17">
        <f>'27'!$CC$12</f>
        <v>0</v>
      </c>
      <c r="Y109" s="59"/>
    </row>
    <row r="110" spans="1:25" x14ac:dyDescent="0.35">
      <c r="A110" s="243"/>
      <c r="B110" s="242"/>
      <c r="C110" s="58">
        <v>105.5</v>
      </c>
      <c r="D110" s="230"/>
      <c r="E110" s="225"/>
      <c r="F110" s="225"/>
      <c r="G110" s="225"/>
      <c r="H110" s="225"/>
      <c r="I110" s="17">
        <f>'27'!$E$18+'27'!$Q$18</f>
        <v>0</v>
      </c>
      <c r="J110" s="17">
        <f>'27'!$F$18+'27'!$R$18</f>
        <v>0</v>
      </c>
      <c r="K110" s="17">
        <f>'27'!$G$18+'27'!$S$18</f>
        <v>0</v>
      </c>
      <c r="L110" s="17">
        <f>'27'!$BC18</f>
        <v>0</v>
      </c>
      <c r="M110" s="17">
        <f>'27'!$BD18</f>
        <v>0</v>
      </c>
      <c r="N110" s="17">
        <f>'27'!$BE18</f>
        <v>0</v>
      </c>
      <c r="O110" s="61">
        <f>'27'!$AW18</f>
        <v>0</v>
      </c>
      <c r="P110" s="61">
        <f>'27'!$AX18</f>
        <v>0</v>
      </c>
      <c r="Q110" s="61">
        <f>'27'!$AY18</f>
        <v>0</v>
      </c>
      <c r="R110" s="62">
        <f>'27'!$AZ18</f>
        <v>0</v>
      </c>
      <c r="S110" s="62">
        <f>'27'!$BA18</f>
        <v>0</v>
      </c>
      <c r="T110" s="62">
        <f>'27'!$BB18</f>
        <v>0</v>
      </c>
      <c r="U110" s="63">
        <f>'27'!$AV18</f>
        <v>0</v>
      </c>
      <c r="V110" s="17">
        <f>'27'!$AU18</f>
        <v>0</v>
      </c>
      <c r="W110" s="225"/>
      <c r="X110" s="17">
        <f>'27'!$CC$18</f>
        <v>0</v>
      </c>
      <c r="Y110" s="59"/>
    </row>
    <row r="111" spans="1:25" x14ac:dyDescent="0.35">
      <c r="A111" s="243"/>
      <c r="B111" s="242"/>
      <c r="C111" s="58">
        <v>105.75</v>
      </c>
      <c r="D111" s="231"/>
      <c r="E111" s="228"/>
      <c r="F111" s="228"/>
      <c r="G111" s="228"/>
      <c r="H111" s="228"/>
      <c r="I111" s="17">
        <f>'27'!$E$24+'27'!$Q$24</f>
        <v>0</v>
      </c>
      <c r="J111" s="17">
        <f>'27'!$F$24+'27'!$R$24</f>
        <v>0</v>
      </c>
      <c r="K111" s="17">
        <f>'27'!$G$24+'27'!$S$24</f>
        <v>0</v>
      </c>
      <c r="L111" s="17">
        <f>'27'!$BC24</f>
        <v>0</v>
      </c>
      <c r="M111" s="17">
        <f>'27'!$BD24</f>
        <v>0</v>
      </c>
      <c r="N111" s="17">
        <f>'27'!$BE24</f>
        <v>0</v>
      </c>
      <c r="O111" s="61">
        <f>'27'!$AW24</f>
        <v>0</v>
      </c>
      <c r="P111" s="61">
        <f>'27'!$AX24</f>
        <v>0</v>
      </c>
      <c r="Q111" s="61">
        <f>'27'!$AY24</f>
        <v>0</v>
      </c>
      <c r="R111" s="62">
        <f>'27'!$AZ24</f>
        <v>0</v>
      </c>
      <c r="S111" s="62">
        <f>'27'!$BA24</f>
        <v>0</v>
      </c>
      <c r="T111" s="62">
        <f>'27'!$BB24</f>
        <v>0</v>
      </c>
      <c r="U111" s="63">
        <f>'27'!$AV24</f>
        <v>0</v>
      </c>
      <c r="V111" s="17">
        <f>'27'!$AU24</f>
        <v>0</v>
      </c>
      <c r="W111" s="228"/>
      <c r="X111" s="17">
        <f>'27'!$CC$24</f>
        <v>0</v>
      </c>
      <c r="Y111" s="59"/>
    </row>
    <row r="112" spans="1:25" x14ac:dyDescent="0.35">
      <c r="A112" s="243" t="s">
        <v>142</v>
      </c>
      <c r="B112" s="242">
        <v>46201</v>
      </c>
      <c r="C112" s="58">
        <v>109</v>
      </c>
      <c r="D112" s="229" t="s">
        <v>203</v>
      </c>
      <c r="E112" s="224" t="s">
        <v>194</v>
      </c>
      <c r="F112" s="224" t="s">
        <v>218</v>
      </c>
      <c r="G112" s="224">
        <v>200</v>
      </c>
      <c r="H112" s="224" t="s">
        <v>217</v>
      </c>
      <c r="I112" s="17">
        <f>'28'!$E$6+'28'!$Q$6</f>
        <v>0</v>
      </c>
      <c r="J112" s="17">
        <f>'28'!$F$6+'28'!$R$6</f>
        <v>0</v>
      </c>
      <c r="K112" s="17">
        <f>'28'!$G$6+'28'!$S$6</f>
        <v>0</v>
      </c>
      <c r="L112" s="17">
        <f>'28'!$BC6</f>
        <v>0</v>
      </c>
      <c r="M112" s="17">
        <f>'28'!$BD6</f>
        <v>0</v>
      </c>
      <c r="N112" s="17">
        <f>'28'!$BE6</f>
        <v>0</v>
      </c>
      <c r="O112" s="61">
        <f>'28'!$AW6</f>
        <v>0</v>
      </c>
      <c r="P112" s="61">
        <f>'28'!$AX6</f>
        <v>0</v>
      </c>
      <c r="Q112" s="61">
        <f>'28'!$AY6</f>
        <v>0</v>
      </c>
      <c r="R112" s="62">
        <f>'28'!$AZ6</f>
        <v>0</v>
      </c>
      <c r="S112" s="62">
        <f>'28'!$BA6</f>
        <v>0</v>
      </c>
      <c r="T112" s="62">
        <f>'28'!$BB6</f>
        <v>0</v>
      </c>
      <c r="U112" s="63">
        <f>'28'!$AV6</f>
        <v>0</v>
      </c>
      <c r="V112" s="17">
        <f>'28'!$AU6</f>
        <v>0</v>
      </c>
      <c r="W112" s="224">
        <v>4</v>
      </c>
      <c r="X112" s="17">
        <f>'28'!$CC$6</f>
        <v>0</v>
      </c>
      <c r="Y112" s="59"/>
    </row>
    <row r="113" spans="1:25" x14ac:dyDescent="0.35">
      <c r="A113" s="243"/>
      <c r="B113" s="242"/>
      <c r="C113" s="58">
        <v>109.25</v>
      </c>
      <c r="D113" s="230"/>
      <c r="E113" s="225"/>
      <c r="F113" s="225"/>
      <c r="G113" s="225"/>
      <c r="H113" s="225"/>
      <c r="I113" s="17">
        <f>'28'!$E$12+'28'!$Q$12</f>
        <v>0</v>
      </c>
      <c r="J113" s="17">
        <f>'28'!$F$12+'28'!$R$12</f>
        <v>0</v>
      </c>
      <c r="K113" s="17">
        <f>'28'!$G$12+'28'!$S$12</f>
        <v>0</v>
      </c>
      <c r="L113" s="17">
        <f>'28'!$BC12</f>
        <v>0</v>
      </c>
      <c r="M113" s="17">
        <f>'28'!$BD12</f>
        <v>0</v>
      </c>
      <c r="N113" s="17">
        <f>'28'!$BE12</f>
        <v>0</v>
      </c>
      <c r="O113" s="61">
        <f>'28'!$AW12</f>
        <v>0</v>
      </c>
      <c r="P113" s="61">
        <f>'28'!$AX12</f>
        <v>0</v>
      </c>
      <c r="Q113" s="61">
        <f>'28'!$AY12</f>
        <v>0</v>
      </c>
      <c r="R113" s="62">
        <f>'28'!$AZ12</f>
        <v>0</v>
      </c>
      <c r="S113" s="62">
        <f>'28'!$BA12</f>
        <v>0</v>
      </c>
      <c r="T113" s="62">
        <f>'28'!$BB12</f>
        <v>0</v>
      </c>
      <c r="U113" s="63">
        <f>'28'!$AV12</f>
        <v>0</v>
      </c>
      <c r="V113" s="17">
        <f>'28'!$AU12</f>
        <v>0</v>
      </c>
      <c r="W113" s="225"/>
      <c r="X113" s="17">
        <f>'28'!$CC$12</f>
        <v>0</v>
      </c>
      <c r="Y113" s="59"/>
    </row>
    <row r="114" spans="1:25" x14ac:dyDescent="0.35">
      <c r="A114" s="243"/>
      <c r="B114" s="242"/>
      <c r="C114" s="58">
        <v>109.5</v>
      </c>
      <c r="D114" s="230"/>
      <c r="E114" s="225"/>
      <c r="F114" s="225"/>
      <c r="G114" s="225"/>
      <c r="H114" s="225"/>
      <c r="I114" s="17">
        <f>'28'!$E$18+'28'!$Q$18</f>
        <v>0</v>
      </c>
      <c r="J114" s="17">
        <f>'28'!$F$18+'28'!$R$18</f>
        <v>0</v>
      </c>
      <c r="K114" s="17">
        <f>'28'!$G$18+'28'!$S$18</f>
        <v>0</v>
      </c>
      <c r="L114" s="17">
        <f>'28'!$BC18</f>
        <v>0</v>
      </c>
      <c r="M114" s="17">
        <f>'28'!$BD18</f>
        <v>0</v>
      </c>
      <c r="N114" s="17">
        <f>'28'!$BE18</f>
        <v>0</v>
      </c>
      <c r="O114" s="61">
        <f>'28'!$AW18</f>
        <v>0</v>
      </c>
      <c r="P114" s="61">
        <f>'28'!$AX18</f>
        <v>0</v>
      </c>
      <c r="Q114" s="61">
        <f>'28'!$AY18</f>
        <v>0</v>
      </c>
      <c r="R114" s="62">
        <f>'28'!$AZ18</f>
        <v>0</v>
      </c>
      <c r="S114" s="62">
        <f>'28'!$BA18</f>
        <v>0</v>
      </c>
      <c r="T114" s="62">
        <f>'28'!$BB18</f>
        <v>0</v>
      </c>
      <c r="U114" s="63">
        <f>'28'!$AV18</f>
        <v>0</v>
      </c>
      <c r="V114" s="17">
        <f>'28'!$AU18</f>
        <v>0</v>
      </c>
      <c r="W114" s="225"/>
      <c r="X114" s="17">
        <f>'28'!$CC$18</f>
        <v>0</v>
      </c>
      <c r="Y114" s="59"/>
    </row>
    <row r="115" spans="1:25" x14ac:dyDescent="0.35">
      <c r="A115" s="243"/>
      <c r="B115" s="242"/>
      <c r="C115" s="58">
        <v>109.75</v>
      </c>
      <c r="D115" s="231"/>
      <c r="E115" s="228"/>
      <c r="F115" s="228"/>
      <c r="G115" s="228"/>
      <c r="H115" s="228"/>
      <c r="I115" s="17">
        <f>'28'!$E$24+'28'!$Q$24</f>
        <v>0</v>
      </c>
      <c r="J115" s="17">
        <f>'28'!$F$24+'28'!$R$24</f>
        <v>0</v>
      </c>
      <c r="K115" s="17">
        <f>'28'!$G$24+'28'!$S$24</f>
        <v>0</v>
      </c>
      <c r="L115" s="17">
        <f>'28'!$BC24</f>
        <v>0</v>
      </c>
      <c r="M115" s="17">
        <f>'28'!$BD24</f>
        <v>0</v>
      </c>
      <c r="N115" s="17">
        <f>'28'!$BE24</f>
        <v>0</v>
      </c>
      <c r="O115" s="61">
        <f>'28'!$AW24</f>
        <v>0</v>
      </c>
      <c r="P115" s="61">
        <f>'28'!$AX24</f>
        <v>0</v>
      </c>
      <c r="Q115" s="61">
        <f>'28'!$AY24</f>
        <v>0</v>
      </c>
      <c r="R115" s="62">
        <f>'28'!$AZ24</f>
        <v>0</v>
      </c>
      <c r="S115" s="62">
        <f>'28'!$BA24</f>
        <v>0</v>
      </c>
      <c r="T115" s="62">
        <f>'28'!$BB24</f>
        <v>0</v>
      </c>
      <c r="U115" s="63">
        <f>'28'!$AV24</f>
        <v>0</v>
      </c>
      <c r="V115" s="17">
        <f>'28'!$AU24</f>
        <v>0</v>
      </c>
      <c r="W115" s="228"/>
      <c r="X115" s="17">
        <f>'28'!$CC$24</f>
        <v>0</v>
      </c>
      <c r="Y115" s="59"/>
    </row>
    <row r="116" spans="1:25" x14ac:dyDescent="0.35">
      <c r="A116" s="243" t="s">
        <v>142</v>
      </c>
      <c r="B116" s="242">
        <v>46202</v>
      </c>
      <c r="C116" s="58">
        <v>109</v>
      </c>
      <c r="D116" s="229" t="s">
        <v>203</v>
      </c>
      <c r="E116" s="224" t="s">
        <v>194</v>
      </c>
      <c r="F116" s="224" t="s">
        <v>218</v>
      </c>
      <c r="G116" s="224">
        <v>200</v>
      </c>
      <c r="H116" s="224" t="s">
        <v>217</v>
      </c>
      <c r="I116" s="17">
        <f>'29'!$E$6+'29'!$Q$6</f>
        <v>0</v>
      </c>
      <c r="J116" s="17">
        <f>'29'!$F$6+'29'!$R$6</f>
        <v>0</v>
      </c>
      <c r="K116" s="17">
        <f>'29'!$G$6+'29'!$S$6</f>
        <v>0</v>
      </c>
      <c r="L116" s="17">
        <f>'29'!$BC6</f>
        <v>0</v>
      </c>
      <c r="M116" s="17">
        <f>'29'!$BD6</f>
        <v>0</v>
      </c>
      <c r="N116" s="17">
        <f>'29'!$BE6</f>
        <v>0</v>
      </c>
      <c r="O116" s="61">
        <f>'29'!$AW6</f>
        <v>0</v>
      </c>
      <c r="P116" s="61">
        <f>'29'!$AX6</f>
        <v>0</v>
      </c>
      <c r="Q116" s="61">
        <f>'29'!$AY6</f>
        <v>0</v>
      </c>
      <c r="R116" s="62">
        <f>'29'!$AZ6</f>
        <v>0</v>
      </c>
      <c r="S116" s="62">
        <f>'29'!$BA6</f>
        <v>0</v>
      </c>
      <c r="T116" s="62">
        <f>'29'!$BB6</f>
        <v>0</v>
      </c>
      <c r="U116" s="63">
        <f>'29'!$AV6</f>
        <v>0</v>
      </c>
      <c r="V116" s="17">
        <f>'29'!$AU6</f>
        <v>0</v>
      </c>
      <c r="W116" s="224">
        <v>4</v>
      </c>
      <c r="X116" s="17">
        <f>'29'!$CC$6</f>
        <v>0</v>
      </c>
      <c r="Y116" s="59"/>
    </row>
    <row r="117" spans="1:25" x14ac:dyDescent="0.35">
      <c r="A117" s="243"/>
      <c r="B117" s="242"/>
      <c r="C117" s="58">
        <v>109.25</v>
      </c>
      <c r="D117" s="230"/>
      <c r="E117" s="225"/>
      <c r="F117" s="225"/>
      <c r="G117" s="225"/>
      <c r="H117" s="225"/>
      <c r="I117" s="17">
        <f>'29'!$E$12+'29'!$Q$12</f>
        <v>0</v>
      </c>
      <c r="J117" s="17">
        <f>'29'!$F$12+'29'!$R$12</f>
        <v>0</v>
      </c>
      <c r="K117" s="17">
        <f>'29'!$G$12+'29'!$S$12</f>
        <v>0</v>
      </c>
      <c r="L117" s="17">
        <f>'29'!$BC12</f>
        <v>0</v>
      </c>
      <c r="M117" s="17">
        <f>'29'!$BD12</f>
        <v>0</v>
      </c>
      <c r="N117" s="17">
        <f>'29'!$BE12</f>
        <v>0</v>
      </c>
      <c r="O117" s="61">
        <f>'29'!$AW12</f>
        <v>0</v>
      </c>
      <c r="P117" s="61">
        <f>'29'!$AX12</f>
        <v>0</v>
      </c>
      <c r="Q117" s="61">
        <f>'29'!$AY12</f>
        <v>0</v>
      </c>
      <c r="R117" s="62">
        <f>'29'!$AZ12</f>
        <v>0</v>
      </c>
      <c r="S117" s="62">
        <f>'29'!$BA12</f>
        <v>0</v>
      </c>
      <c r="T117" s="62">
        <f>'29'!$BB12</f>
        <v>0</v>
      </c>
      <c r="U117" s="63">
        <f>'29'!$AV12</f>
        <v>0</v>
      </c>
      <c r="V117" s="17">
        <f>'29'!$AU12</f>
        <v>0</v>
      </c>
      <c r="W117" s="225"/>
      <c r="X117" s="17">
        <f>'29'!$CC$12</f>
        <v>0</v>
      </c>
      <c r="Y117" s="59"/>
    </row>
    <row r="118" spans="1:25" x14ac:dyDescent="0.35">
      <c r="A118" s="243"/>
      <c r="B118" s="242"/>
      <c r="C118" s="58">
        <v>109.5</v>
      </c>
      <c r="D118" s="230"/>
      <c r="E118" s="225"/>
      <c r="F118" s="225"/>
      <c r="G118" s="225"/>
      <c r="H118" s="225"/>
      <c r="I118" s="17">
        <f>'29'!$E$18+'29'!$Q$18</f>
        <v>0</v>
      </c>
      <c r="J118" s="17">
        <f>'29'!$F$18+'29'!$R$18</f>
        <v>0</v>
      </c>
      <c r="K118" s="17">
        <f>'29'!$G$18+'29'!$S$18</f>
        <v>0</v>
      </c>
      <c r="L118" s="17">
        <f>'29'!$BC18</f>
        <v>0</v>
      </c>
      <c r="M118" s="17">
        <f>'29'!$BD18</f>
        <v>0</v>
      </c>
      <c r="N118" s="17">
        <f>'29'!$BE18</f>
        <v>0</v>
      </c>
      <c r="O118" s="61">
        <f>'29'!$AW18</f>
        <v>0</v>
      </c>
      <c r="P118" s="61">
        <f>'29'!$AX18</f>
        <v>0</v>
      </c>
      <c r="Q118" s="61">
        <f>'29'!$AY18</f>
        <v>0</v>
      </c>
      <c r="R118" s="62">
        <f>'29'!$AZ18</f>
        <v>0</v>
      </c>
      <c r="S118" s="62">
        <f>'29'!$BA18</f>
        <v>0</v>
      </c>
      <c r="T118" s="62">
        <f>'29'!$BB18</f>
        <v>0</v>
      </c>
      <c r="U118" s="63">
        <f>'29'!$AV18</f>
        <v>0</v>
      </c>
      <c r="V118" s="17">
        <f>'29'!$AU18</f>
        <v>0</v>
      </c>
      <c r="W118" s="225"/>
      <c r="X118" s="17">
        <f>'29'!$CC$18</f>
        <v>0</v>
      </c>
      <c r="Y118" s="59"/>
    </row>
    <row r="119" spans="1:25" x14ac:dyDescent="0.35">
      <c r="A119" s="243"/>
      <c r="B119" s="242"/>
      <c r="C119" s="58">
        <v>109.75</v>
      </c>
      <c r="D119" s="231"/>
      <c r="E119" s="228"/>
      <c r="F119" s="228"/>
      <c r="G119" s="228"/>
      <c r="H119" s="228"/>
      <c r="I119" s="17">
        <f>'29'!$E$24+'29'!$Q$24</f>
        <v>0</v>
      </c>
      <c r="J119" s="17">
        <f>'29'!$F$24+'29'!$R$24</f>
        <v>0</v>
      </c>
      <c r="K119" s="17">
        <f>'29'!$G$24+'29'!$S$24</f>
        <v>0</v>
      </c>
      <c r="L119" s="17">
        <f>'29'!$BC24</f>
        <v>0</v>
      </c>
      <c r="M119" s="17">
        <f>'29'!$BD24</f>
        <v>0</v>
      </c>
      <c r="N119" s="17">
        <f>'29'!$BE24</f>
        <v>0</v>
      </c>
      <c r="O119" s="61">
        <f>'29'!$AW24</f>
        <v>0</v>
      </c>
      <c r="P119" s="61">
        <f>'29'!$AX24</f>
        <v>0</v>
      </c>
      <c r="Q119" s="61">
        <f>'29'!$AY24</f>
        <v>0</v>
      </c>
      <c r="R119" s="62">
        <f>'29'!$AZ24</f>
        <v>0</v>
      </c>
      <c r="S119" s="62">
        <f>'29'!$BA24</f>
        <v>0</v>
      </c>
      <c r="T119" s="62">
        <f>'29'!$BB24</f>
        <v>0</v>
      </c>
      <c r="U119" s="63">
        <f>'29'!$AV24</f>
        <v>0</v>
      </c>
      <c r="V119" s="17">
        <f>'29'!$AU24</f>
        <v>0</v>
      </c>
      <c r="W119" s="228"/>
      <c r="X119" s="17">
        <f>'29'!$CC$24</f>
        <v>0</v>
      </c>
      <c r="Y119" s="59"/>
    </row>
    <row r="120" spans="1:25" x14ac:dyDescent="0.35">
      <c r="A120" s="243" t="s">
        <v>142</v>
      </c>
      <c r="B120" s="242">
        <v>46203</v>
      </c>
      <c r="C120" s="58">
        <v>109</v>
      </c>
      <c r="D120" s="229" t="s">
        <v>203</v>
      </c>
      <c r="E120" s="224" t="s">
        <v>194</v>
      </c>
      <c r="F120" s="224" t="s">
        <v>218</v>
      </c>
      <c r="G120" s="224">
        <v>200</v>
      </c>
      <c r="H120" s="224" t="s">
        <v>217</v>
      </c>
      <c r="I120" s="17">
        <f>'30'!$E$6+'30'!$Q$6</f>
        <v>0</v>
      </c>
      <c r="J120" s="17">
        <f>'30'!$F$6+'30'!$R$6</f>
        <v>0</v>
      </c>
      <c r="K120" s="17">
        <f>'30'!$G$6+'30'!$S$6</f>
        <v>0</v>
      </c>
      <c r="L120" s="17">
        <f>'30'!$BC6</f>
        <v>0</v>
      </c>
      <c r="M120" s="17">
        <f>'30'!$BD6</f>
        <v>0</v>
      </c>
      <c r="N120" s="17">
        <f>'30'!$BE6</f>
        <v>0</v>
      </c>
      <c r="O120" s="61">
        <f>'30'!$AW6</f>
        <v>0</v>
      </c>
      <c r="P120" s="61">
        <f>'30'!$AX6</f>
        <v>0</v>
      </c>
      <c r="Q120" s="61">
        <f>'30'!$AY6</f>
        <v>0</v>
      </c>
      <c r="R120" s="62">
        <f>'30'!$AZ6</f>
        <v>0</v>
      </c>
      <c r="S120" s="62">
        <f>'30'!$BA6</f>
        <v>0</v>
      </c>
      <c r="T120" s="62">
        <f>'30'!$BB6</f>
        <v>0</v>
      </c>
      <c r="U120" s="63">
        <f>'30'!$AV6</f>
        <v>0</v>
      </c>
      <c r="V120" s="17">
        <f>'30'!$AU6</f>
        <v>0</v>
      </c>
      <c r="W120" s="224">
        <v>4</v>
      </c>
      <c r="X120" s="17">
        <f>'30'!$CC$6</f>
        <v>0</v>
      </c>
      <c r="Y120" s="59"/>
    </row>
    <row r="121" spans="1:25" x14ac:dyDescent="0.35">
      <c r="A121" s="243"/>
      <c r="B121" s="242"/>
      <c r="C121" s="58">
        <v>109.25</v>
      </c>
      <c r="D121" s="230"/>
      <c r="E121" s="225"/>
      <c r="F121" s="225"/>
      <c r="G121" s="225"/>
      <c r="H121" s="225"/>
      <c r="I121" s="17">
        <f>'30'!$E$12+'30'!$Q$12</f>
        <v>0</v>
      </c>
      <c r="J121" s="17">
        <f>'30'!$F$12+'30'!$R$12</f>
        <v>0</v>
      </c>
      <c r="K121" s="17">
        <f>'30'!$G$12+'30'!$S$12</f>
        <v>0</v>
      </c>
      <c r="L121" s="17">
        <f>'30'!$BC12</f>
        <v>0</v>
      </c>
      <c r="M121" s="17">
        <f>'30'!$BD12</f>
        <v>0</v>
      </c>
      <c r="N121" s="17">
        <f>'30'!$BE12</f>
        <v>0</v>
      </c>
      <c r="O121" s="61">
        <f>'30'!$AW12</f>
        <v>0</v>
      </c>
      <c r="P121" s="61">
        <f>'30'!$AX12</f>
        <v>0</v>
      </c>
      <c r="Q121" s="61">
        <f>'30'!$AY12</f>
        <v>0</v>
      </c>
      <c r="R121" s="62">
        <f>'30'!$AZ12</f>
        <v>0</v>
      </c>
      <c r="S121" s="62">
        <f>'30'!$BA12</f>
        <v>0</v>
      </c>
      <c r="T121" s="62">
        <f>'30'!$BB12</f>
        <v>0</v>
      </c>
      <c r="U121" s="63">
        <f>'30'!$AV12</f>
        <v>0</v>
      </c>
      <c r="V121" s="17">
        <f>'30'!$AU12</f>
        <v>0</v>
      </c>
      <c r="W121" s="225"/>
      <c r="X121" s="17">
        <f>'30'!$CC$12</f>
        <v>0</v>
      </c>
      <c r="Y121" s="59"/>
    </row>
    <row r="122" spans="1:25" x14ac:dyDescent="0.35">
      <c r="A122" s="243"/>
      <c r="B122" s="242"/>
      <c r="C122" s="58">
        <v>109.5</v>
      </c>
      <c r="D122" s="230"/>
      <c r="E122" s="225"/>
      <c r="F122" s="225"/>
      <c r="G122" s="225"/>
      <c r="H122" s="225"/>
      <c r="I122" s="17">
        <f>'30'!$E$18+'30'!$Q$18</f>
        <v>0</v>
      </c>
      <c r="J122" s="17">
        <f>'30'!$F$18+'30'!$R$18</f>
        <v>0</v>
      </c>
      <c r="K122" s="17">
        <f>'30'!$G$18+'30'!$S$18</f>
        <v>0</v>
      </c>
      <c r="L122" s="17">
        <f>'30'!$BC18</f>
        <v>0</v>
      </c>
      <c r="M122" s="17">
        <f>'30'!$BD18</f>
        <v>0</v>
      </c>
      <c r="N122" s="17">
        <f>'30'!$BE18</f>
        <v>0</v>
      </c>
      <c r="O122" s="61">
        <f>'30'!$AW18</f>
        <v>0</v>
      </c>
      <c r="P122" s="61">
        <f>'30'!$AX18</f>
        <v>0</v>
      </c>
      <c r="Q122" s="61">
        <f>'30'!$AY18</f>
        <v>0</v>
      </c>
      <c r="R122" s="62">
        <f>'30'!$AZ18</f>
        <v>0</v>
      </c>
      <c r="S122" s="62">
        <f>'30'!$BA18</f>
        <v>0</v>
      </c>
      <c r="T122" s="62">
        <f>'30'!$BB18</f>
        <v>0</v>
      </c>
      <c r="U122" s="63">
        <f>'30'!$AV18</f>
        <v>0</v>
      </c>
      <c r="V122" s="17">
        <f>'30'!$AU18</f>
        <v>0</v>
      </c>
      <c r="W122" s="225"/>
      <c r="X122" s="17">
        <f>'30'!$CC$18</f>
        <v>0</v>
      </c>
      <c r="Y122" s="59"/>
    </row>
    <row r="123" spans="1:25" x14ac:dyDescent="0.35">
      <c r="A123" s="243"/>
      <c r="B123" s="242"/>
      <c r="C123" s="58">
        <v>109.75</v>
      </c>
      <c r="D123" s="231"/>
      <c r="E123" s="228"/>
      <c r="F123" s="228"/>
      <c r="G123" s="228"/>
      <c r="H123" s="228"/>
      <c r="I123" s="17">
        <f>'30'!$E$24+'30'!$Q$24</f>
        <v>0</v>
      </c>
      <c r="J123" s="17">
        <f>'30'!$F$24+'30'!$R$24</f>
        <v>0</v>
      </c>
      <c r="K123" s="17">
        <f>'30'!$G$24+'30'!$S$24</f>
        <v>0</v>
      </c>
      <c r="L123" s="17">
        <f>'30'!$BC24</f>
        <v>0</v>
      </c>
      <c r="M123" s="17">
        <f>'30'!$BD24</f>
        <v>0</v>
      </c>
      <c r="N123" s="17">
        <f>'30'!$BE24</f>
        <v>0</v>
      </c>
      <c r="O123" s="61">
        <f>'30'!$AW24</f>
        <v>0</v>
      </c>
      <c r="P123" s="61">
        <f>'30'!$AX24</f>
        <v>0</v>
      </c>
      <c r="Q123" s="61">
        <f>'30'!$AY24</f>
        <v>0</v>
      </c>
      <c r="R123" s="62">
        <f>'30'!$AZ24</f>
        <v>0</v>
      </c>
      <c r="S123" s="62">
        <f>'30'!$BA24</f>
        <v>0</v>
      </c>
      <c r="T123" s="62">
        <f>'30'!$BB24</f>
        <v>0</v>
      </c>
      <c r="U123" s="63">
        <f>'30'!$AV24</f>
        <v>0</v>
      </c>
      <c r="V123" s="17">
        <f>'30'!$AU24</f>
        <v>0</v>
      </c>
      <c r="W123" s="228"/>
      <c r="X123" s="17">
        <f>'30'!$CC$24</f>
        <v>0</v>
      </c>
      <c r="Y123" s="59"/>
    </row>
  </sheetData>
  <mergeCells count="258">
    <mergeCell ref="A116:A119"/>
    <mergeCell ref="B116:B119"/>
    <mergeCell ref="D116:D119"/>
    <mergeCell ref="E116:E119"/>
    <mergeCell ref="F116:F119"/>
    <mergeCell ref="G116:G119"/>
    <mergeCell ref="H116:H119"/>
    <mergeCell ref="W116:W119"/>
    <mergeCell ref="A120:A123"/>
    <mergeCell ref="B120:B123"/>
    <mergeCell ref="D120:D123"/>
    <mergeCell ref="E120:E123"/>
    <mergeCell ref="F120:F123"/>
    <mergeCell ref="G120:G123"/>
    <mergeCell ref="H120:H123"/>
    <mergeCell ref="W120:W123"/>
    <mergeCell ref="A1:H1"/>
    <mergeCell ref="A2:A3"/>
    <mergeCell ref="B2:B3"/>
    <mergeCell ref="C2:C3"/>
    <mergeCell ref="D2:D3"/>
    <mergeCell ref="E2:E3"/>
    <mergeCell ref="F2:F3"/>
    <mergeCell ref="H2:H3"/>
    <mergeCell ref="G2:G3"/>
    <mergeCell ref="E4:E7"/>
    <mergeCell ref="F4:F7"/>
    <mergeCell ref="H4:H7"/>
    <mergeCell ref="W4:W7"/>
    <mergeCell ref="A8:A11"/>
    <mergeCell ref="B8:B11"/>
    <mergeCell ref="D12:D15"/>
    <mergeCell ref="X2:X3"/>
    <mergeCell ref="Y2:Y3"/>
    <mergeCell ref="A4:A7"/>
    <mergeCell ref="B4:B7"/>
    <mergeCell ref="D4:D7"/>
    <mergeCell ref="I2:K2"/>
    <mergeCell ref="U2:U3"/>
    <mergeCell ref="V2:V3"/>
    <mergeCell ref="W2:W3"/>
    <mergeCell ref="L2:N2"/>
    <mergeCell ref="O2:Q2"/>
    <mergeCell ref="R2:T2"/>
    <mergeCell ref="G4:G7"/>
    <mergeCell ref="E12:E15"/>
    <mergeCell ref="F12:F15"/>
    <mergeCell ref="H12:H15"/>
    <mergeCell ref="W12:W15"/>
    <mergeCell ref="A12:A15"/>
    <mergeCell ref="B12:B15"/>
    <mergeCell ref="D8:D11"/>
    <mergeCell ref="E8:E11"/>
    <mergeCell ref="F8:F11"/>
    <mergeCell ref="H8:H11"/>
    <mergeCell ref="W8:W11"/>
    <mergeCell ref="G8:G11"/>
    <mergeCell ref="G12:G15"/>
    <mergeCell ref="D20:D23"/>
    <mergeCell ref="E20:E23"/>
    <mergeCell ref="F20:F23"/>
    <mergeCell ref="H20:H23"/>
    <mergeCell ref="W20:W23"/>
    <mergeCell ref="G20:G23"/>
    <mergeCell ref="A20:A23"/>
    <mergeCell ref="B20:B23"/>
    <mergeCell ref="D16:D19"/>
    <mergeCell ref="E16:E19"/>
    <mergeCell ref="F16:F19"/>
    <mergeCell ref="H16:H19"/>
    <mergeCell ref="W16:W19"/>
    <mergeCell ref="G16:G19"/>
    <mergeCell ref="A16:A19"/>
    <mergeCell ref="B16:B19"/>
    <mergeCell ref="D28:D31"/>
    <mergeCell ref="E28:E31"/>
    <mergeCell ref="F28:F31"/>
    <mergeCell ref="H28:H31"/>
    <mergeCell ref="W28:W31"/>
    <mergeCell ref="G28:G31"/>
    <mergeCell ref="A28:A31"/>
    <mergeCell ref="B28:B31"/>
    <mergeCell ref="D24:D27"/>
    <mergeCell ref="E24:E27"/>
    <mergeCell ref="F24:F27"/>
    <mergeCell ref="H24:H27"/>
    <mergeCell ref="W24:W27"/>
    <mergeCell ref="G24:G27"/>
    <mergeCell ref="A24:A27"/>
    <mergeCell ref="B24:B27"/>
    <mergeCell ref="D36:D39"/>
    <mergeCell ref="E36:E39"/>
    <mergeCell ref="F36:F39"/>
    <mergeCell ref="H36:H39"/>
    <mergeCell ref="W36:W39"/>
    <mergeCell ref="G36:G39"/>
    <mergeCell ref="A36:A39"/>
    <mergeCell ref="B36:B39"/>
    <mergeCell ref="D32:D35"/>
    <mergeCell ref="E32:E35"/>
    <mergeCell ref="F32:F35"/>
    <mergeCell ref="H32:H35"/>
    <mergeCell ref="W32:W35"/>
    <mergeCell ref="G32:G35"/>
    <mergeCell ref="A32:A35"/>
    <mergeCell ref="B32:B35"/>
    <mergeCell ref="D44:D47"/>
    <mergeCell ref="E44:E47"/>
    <mergeCell ref="F44:F47"/>
    <mergeCell ref="H44:H47"/>
    <mergeCell ref="W44:W47"/>
    <mergeCell ref="G44:G47"/>
    <mergeCell ref="A44:A47"/>
    <mergeCell ref="B44:B47"/>
    <mergeCell ref="D40:D43"/>
    <mergeCell ref="E40:E43"/>
    <mergeCell ref="F40:F43"/>
    <mergeCell ref="H40:H43"/>
    <mergeCell ref="W40:W43"/>
    <mergeCell ref="G40:G43"/>
    <mergeCell ref="A40:A43"/>
    <mergeCell ref="B40:B43"/>
    <mergeCell ref="D52:D55"/>
    <mergeCell ref="E52:E55"/>
    <mergeCell ref="F52:F55"/>
    <mergeCell ref="H52:H55"/>
    <mergeCell ref="W52:W55"/>
    <mergeCell ref="G52:G55"/>
    <mergeCell ref="A52:A55"/>
    <mergeCell ref="B52:B55"/>
    <mergeCell ref="D48:D51"/>
    <mergeCell ref="E48:E51"/>
    <mergeCell ref="F48:F51"/>
    <mergeCell ref="H48:H51"/>
    <mergeCell ref="W48:W51"/>
    <mergeCell ref="G48:G51"/>
    <mergeCell ref="A48:A51"/>
    <mergeCell ref="B48:B51"/>
    <mergeCell ref="D60:D63"/>
    <mergeCell ref="E60:E63"/>
    <mergeCell ref="F60:F63"/>
    <mergeCell ref="H60:H63"/>
    <mergeCell ref="W60:W63"/>
    <mergeCell ref="G60:G63"/>
    <mergeCell ref="A60:A63"/>
    <mergeCell ref="B60:B63"/>
    <mergeCell ref="D56:D59"/>
    <mergeCell ref="E56:E59"/>
    <mergeCell ref="F56:F59"/>
    <mergeCell ref="H56:H59"/>
    <mergeCell ref="W56:W59"/>
    <mergeCell ref="G56:G59"/>
    <mergeCell ref="A56:A59"/>
    <mergeCell ref="B56:B59"/>
    <mergeCell ref="D68:D71"/>
    <mergeCell ref="E68:E71"/>
    <mergeCell ref="F68:F71"/>
    <mergeCell ref="H68:H71"/>
    <mergeCell ref="W68:W71"/>
    <mergeCell ref="G68:G71"/>
    <mergeCell ref="A68:A71"/>
    <mergeCell ref="B68:B71"/>
    <mergeCell ref="D64:D67"/>
    <mergeCell ref="E64:E67"/>
    <mergeCell ref="F64:F67"/>
    <mergeCell ref="H64:H67"/>
    <mergeCell ref="W64:W67"/>
    <mergeCell ref="G64:G67"/>
    <mergeCell ref="A64:A67"/>
    <mergeCell ref="B64:B67"/>
    <mergeCell ref="D76:D79"/>
    <mergeCell ref="E76:E79"/>
    <mergeCell ref="F76:F79"/>
    <mergeCell ref="H76:H79"/>
    <mergeCell ref="W76:W79"/>
    <mergeCell ref="G76:G79"/>
    <mergeCell ref="A76:A79"/>
    <mergeCell ref="B76:B79"/>
    <mergeCell ref="D72:D75"/>
    <mergeCell ref="E72:E75"/>
    <mergeCell ref="F72:F75"/>
    <mergeCell ref="H72:H75"/>
    <mergeCell ref="W72:W75"/>
    <mergeCell ref="G72:G75"/>
    <mergeCell ref="A72:A75"/>
    <mergeCell ref="B72:B75"/>
    <mergeCell ref="D84:D87"/>
    <mergeCell ref="E84:E87"/>
    <mergeCell ref="F84:F87"/>
    <mergeCell ref="H84:H87"/>
    <mergeCell ref="W84:W87"/>
    <mergeCell ref="G84:G87"/>
    <mergeCell ref="A84:A87"/>
    <mergeCell ref="B84:B87"/>
    <mergeCell ref="D80:D83"/>
    <mergeCell ref="E80:E83"/>
    <mergeCell ref="F80:F83"/>
    <mergeCell ref="H80:H83"/>
    <mergeCell ref="W80:W83"/>
    <mergeCell ref="G80:G83"/>
    <mergeCell ref="A80:A83"/>
    <mergeCell ref="B80:B83"/>
    <mergeCell ref="D92:D95"/>
    <mergeCell ref="E92:E95"/>
    <mergeCell ref="F92:F95"/>
    <mergeCell ref="H92:H95"/>
    <mergeCell ref="W92:W95"/>
    <mergeCell ref="G92:G95"/>
    <mergeCell ref="A92:A95"/>
    <mergeCell ref="B92:B95"/>
    <mergeCell ref="D88:D91"/>
    <mergeCell ref="E88:E91"/>
    <mergeCell ref="F88:F91"/>
    <mergeCell ref="H88:H91"/>
    <mergeCell ref="W88:W91"/>
    <mergeCell ref="G88:G91"/>
    <mergeCell ref="A88:A91"/>
    <mergeCell ref="B88:B91"/>
    <mergeCell ref="H100:H103"/>
    <mergeCell ref="W100:W103"/>
    <mergeCell ref="G100:G103"/>
    <mergeCell ref="A100:A103"/>
    <mergeCell ref="B100:B103"/>
    <mergeCell ref="D96:D99"/>
    <mergeCell ref="E96:E99"/>
    <mergeCell ref="F96:F99"/>
    <mergeCell ref="H96:H99"/>
    <mergeCell ref="W96:W99"/>
    <mergeCell ref="G96:G99"/>
    <mergeCell ref="A96:A99"/>
    <mergeCell ref="B96:B99"/>
    <mergeCell ref="D100:D103"/>
    <mergeCell ref="E100:E103"/>
    <mergeCell ref="F100:F103"/>
    <mergeCell ref="D104:D107"/>
    <mergeCell ref="E104:E107"/>
    <mergeCell ref="F104:F107"/>
    <mergeCell ref="H104:H107"/>
    <mergeCell ref="W104:W107"/>
    <mergeCell ref="G104:G107"/>
    <mergeCell ref="A104:A107"/>
    <mergeCell ref="B104:B107"/>
    <mergeCell ref="D108:D111"/>
    <mergeCell ref="E108:E111"/>
    <mergeCell ref="F108:F111"/>
    <mergeCell ref="H108:H111"/>
    <mergeCell ref="W108:W111"/>
    <mergeCell ref="G108:G111"/>
    <mergeCell ref="D112:D115"/>
    <mergeCell ref="E112:E115"/>
    <mergeCell ref="F112:F115"/>
    <mergeCell ref="H112:H115"/>
    <mergeCell ref="W112:W115"/>
    <mergeCell ref="G112:G115"/>
    <mergeCell ref="A112:A115"/>
    <mergeCell ref="B112:B115"/>
    <mergeCell ref="A108:A111"/>
    <mergeCell ref="B108:B111"/>
  </mergeCells>
  <phoneticPr fontId="5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H39"/>
  <sheetViews>
    <sheetView topLeftCell="A52" zoomScale="72" zoomScaleNormal="72" workbookViewId="0">
      <selection activeCell="P26" sqref="P26"/>
    </sheetView>
  </sheetViews>
  <sheetFormatPr defaultColWidth="8.7265625" defaultRowHeight="14.5" x14ac:dyDescent="0.35"/>
  <cols>
    <col min="1" max="1" width="12.1796875" style="22" bestFit="1" customWidth="1"/>
    <col min="2" max="2" width="11.81640625" style="22" bestFit="1" customWidth="1"/>
    <col min="3" max="4" width="11.81640625" style="22" customWidth="1"/>
    <col min="5" max="6" width="12.1796875" style="22" bestFit="1" customWidth="1"/>
    <col min="7" max="7" width="11.453125" style="22" customWidth="1"/>
    <col min="8" max="8" width="12" style="22" customWidth="1"/>
    <col min="9" max="16384" width="8.7265625" style="22"/>
  </cols>
  <sheetData>
    <row r="2" spans="1:8" ht="15" x14ac:dyDescent="0.25">
      <c r="A2" s="244" t="s">
        <v>158</v>
      </c>
      <c r="B2" s="245"/>
      <c r="C2" s="245"/>
      <c r="D2" s="246"/>
      <c r="E2" s="64"/>
    </row>
    <row r="3" spans="1:8" ht="45" x14ac:dyDescent="0.25">
      <c r="A3" s="65" t="s">
        <v>34</v>
      </c>
      <c r="B3" s="66" t="s">
        <v>159</v>
      </c>
      <c r="C3" s="66" t="s">
        <v>161</v>
      </c>
      <c r="D3" s="66" t="s">
        <v>162</v>
      </c>
      <c r="E3" s="65" t="s">
        <v>34</v>
      </c>
      <c r="F3" s="66" t="s">
        <v>160</v>
      </c>
      <c r="G3" s="66" t="s">
        <v>163</v>
      </c>
      <c r="H3" s="66" t="s">
        <v>164</v>
      </c>
    </row>
    <row r="4" spans="1:8" ht="15" x14ac:dyDescent="0.25">
      <c r="A4" s="67">
        <v>46174</v>
      </c>
      <c r="B4" s="68" t="e">
        <f>'1'!BN$31</f>
        <v>#DIV/0!</v>
      </c>
      <c r="C4" s="68">
        <f>'1'!BO$31</f>
        <v>0</v>
      </c>
      <c r="D4" s="68">
        <f>'1'!BP$31</f>
        <v>0</v>
      </c>
      <c r="E4" s="70">
        <f>A4</f>
        <v>46174</v>
      </c>
      <c r="F4" s="69" t="e">
        <f>'1'!BQ$31</f>
        <v>#DIV/0!</v>
      </c>
      <c r="G4" s="69">
        <f>'1'!BR$31</f>
        <v>0</v>
      </c>
      <c r="H4" s="69">
        <f>'1'!BS$31</f>
        <v>0</v>
      </c>
    </row>
    <row r="5" spans="1:8" ht="15" x14ac:dyDescent="0.25">
      <c r="A5" s="67">
        <v>46175</v>
      </c>
      <c r="B5" s="68" t="e">
        <f>'2'!BN$31</f>
        <v>#DIV/0!</v>
      </c>
      <c r="C5" s="68">
        <f>'2'!BO$31</f>
        <v>0</v>
      </c>
      <c r="D5" s="68">
        <f>'2'!BP$31</f>
        <v>0</v>
      </c>
      <c r="E5" s="70">
        <f t="shared" ref="E5:E31" si="0">A5</f>
        <v>46175</v>
      </c>
      <c r="F5" s="69" t="e">
        <f>'2'!BQ$31</f>
        <v>#DIV/0!</v>
      </c>
      <c r="G5" s="69">
        <f>'2'!BR$31</f>
        <v>0</v>
      </c>
      <c r="H5" s="69">
        <f>'2'!BS$31</f>
        <v>0</v>
      </c>
    </row>
    <row r="6" spans="1:8" ht="15" x14ac:dyDescent="0.25">
      <c r="A6" s="67">
        <v>46176</v>
      </c>
      <c r="B6" s="68" t="e">
        <f>'3'!BN$31</f>
        <v>#DIV/0!</v>
      </c>
      <c r="C6" s="68">
        <f>'3'!BO$31</f>
        <v>0</v>
      </c>
      <c r="D6" s="68">
        <f>'3'!BP$31</f>
        <v>0</v>
      </c>
      <c r="E6" s="70">
        <f t="shared" si="0"/>
        <v>46176</v>
      </c>
      <c r="F6" s="69" t="e">
        <f>'3'!BQ$31</f>
        <v>#DIV/0!</v>
      </c>
      <c r="G6" s="69">
        <f>'3'!BR$31</f>
        <v>0</v>
      </c>
      <c r="H6" s="69">
        <f>'3'!BS$31</f>
        <v>0</v>
      </c>
    </row>
    <row r="7" spans="1:8" ht="15" x14ac:dyDescent="0.25">
      <c r="A7" s="67">
        <v>46177</v>
      </c>
      <c r="B7" s="68" t="e">
        <f>'4'!BN$31</f>
        <v>#DIV/0!</v>
      </c>
      <c r="C7" s="68">
        <f>'4'!BO$31</f>
        <v>0</v>
      </c>
      <c r="D7" s="68">
        <f>'4'!BP$31</f>
        <v>0</v>
      </c>
      <c r="E7" s="70">
        <f t="shared" si="0"/>
        <v>46177</v>
      </c>
      <c r="F7" s="69" t="e">
        <f>'4'!BQ$31</f>
        <v>#DIV/0!</v>
      </c>
      <c r="G7" s="69">
        <f>'4'!BR$31</f>
        <v>0</v>
      </c>
      <c r="H7" s="69">
        <f>'4'!BS$31</f>
        <v>0</v>
      </c>
    </row>
    <row r="8" spans="1:8" ht="15" x14ac:dyDescent="0.25">
      <c r="A8" s="67">
        <v>46178</v>
      </c>
      <c r="B8" s="68" t="e">
        <f>'5'!BN$31</f>
        <v>#DIV/0!</v>
      </c>
      <c r="C8" s="68">
        <f>'5'!BO$31</f>
        <v>0</v>
      </c>
      <c r="D8" s="68">
        <f>'5'!BP$31</f>
        <v>0</v>
      </c>
      <c r="E8" s="70">
        <f t="shared" si="0"/>
        <v>46178</v>
      </c>
      <c r="F8" s="69" t="e">
        <f>'5'!BQ$31</f>
        <v>#DIV/0!</v>
      </c>
      <c r="G8" s="69">
        <f>'5'!BR$31</f>
        <v>0</v>
      </c>
      <c r="H8" s="69">
        <f>'5'!BS$31</f>
        <v>0</v>
      </c>
    </row>
    <row r="9" spans="1:8" ht="15" x14ac:dyDescent="0.25">
      <c r="A9" s="67">
        <v>46179</v>
      </c>
      <c r="B9" s="68" t="e">
        <f>'6'!BN$31</f>
        <v>#DIV/0!</v>
      </c>
      <c r="C9" s="68">
        <f>'6'!BO$31</f>
        <v>0</v>
      </c>
      <c r="D9" s="68">
        <f>'6'!BP$31</f>
        <v>0</v>
      </c>
      <c r="E9" s="70">
        <f t="shared" si="0"/>
        <v>46179</v>
      </c>
      <c r="F9" s="69" t="e">
        <f>'6'!BQ$31</f>
        <v>#DIV/0!</v>
      </c>
      <c r="G9" s="69">
        <f>'6'!BR$31</f>
        <v>0</v>
      </c>
      <c r="H9" s="69">
        <f>'6'!BS$31</f>
        <v>0</v>
      </c>
    </row>
    <row r="10" spans="1:8" ht="15" x14ac:dyDescent="0.25">
      <c r="A10" s="67">
        <v>46180</v>
      </c>
      <c r="B10" s="68" t="e">
        <f>'7'!BN$31</f>
        <v>#DIV/0!</v>
      </c>
      <c r="C10" s="68">
        <f>'7'!BO$31</f>
        <v>0</v>
      </c>
      <c r="D10" s="68">
        <f>'7'!BP$31</f>
        <v>0</v>
      </c>
      <c r="E10" s="70">
        <f t="shared" si="0"/>
        <v>46180</v>
      </c>
      <c r="F10" s="69" t="e">
        <f>'7'!BQ$31</f>
        <v>#DIV/0!</v>
      </c>
      <c r="G10" s="69">
        <f>'7'!BR$31</f>
        <v>0</v>
      </c>
      <c r="H10" s="69">
        <f>'7'!BS$31</f>
        <v>0</v>
      </c>
    </row>
    <row r="11" spans="1:8" ht="15" x14ac:dyDescent="0.25">
      <c r="A11" s="67">
        <v>46181</v>
      </c>
      <c r="B11" s="68" t="e">
        <f>'8'!BN$31</f>
        <v>#DIV/0!</v>
      </c>
      <c r="C11" s="68">
        <f>'8'!BO$31</f>
        <v>0</v>
      </c>
      <c r="D11" s="68">
        <f>'8'!BP$31</f>
        <v>0</v>
      </c>
      <c r="E11" s="70">
        <f t="shared" si="0"/>
        <v>46181</v>
      </c>
      <c r="F11" s="69" t="e">
        <f>'8'!BQ$31</f>
        <v>#DIV/0!</v>
      </c>
      <c r="G11" s="69">
        <f>'8'!BR$31</f>
        <v>0</v>
      </c>
      <c r="H11" s="69">
        <f>'8'!BS$31</f>
        <v>0</v>
      </c>
    </row>
    <row r="12" spans="1:8" ht="15" x14ac:dyDescent="0.25">
      <c r="A12" s="67">
        <v>46182</v>
      </c>
      <c r="B12" s="68" t="e">
        <f>'9'!BN$31</f>
        <v>#DIV/0!</v>
      </c>
      <c r="C12" s="68">
        <f>'9'!BO$31</f>
        <v>0</v>
      </c>
      <c r="D12" s="68">
        <f>'9'!BP$31</f>
        <v>0</v>
      </c>
      <c r="E12" s="70">
        <f t="shared" si="0"/>
        <v>46182</v>
      </c>
      <c r="F12" s="69" t="e">
        <f>'9'!BQ$31</f>
        <v>#DIV/0!</v>
      </c>
      <c r="G12" s="69">
        <f>'9'!BR$31</f>
        <v>0</v>
      </c>
      <c r="H12" s="69">
        <f>'9'!BS$31</f>
        <v>0</v>
      </c>
    </row>
    <row r="13" spans="1:8" ht="15" x14ac:dyDescent="0.25">
      <c r="A13" s="67">
        <v>46183</v>
      </c>
      <c r="B13" s="68" t="e">
        <f>'10'!BN$31</f>
        <v>#DIV/0!</v>
      </c>
      <c r="C13" s="68">
        <f>'10'!BO$31</f>
        <v>0</v>
      </c>
      <c r="D13" s="68">
        <f>'10'!BP$31</f>
        <v>0</v>
      </c>
      <c r="E13" s="70">
        <f t="shared" si="0"/>
        <v>46183</v>
      </c>
      <c r="F13" s="69" t="e">
        <f>'10'!BQ$31</f>
        <v>#DIV/0!</v>
      </c>
      <c r="G13" s="69">
        <f>'10'!BR$31</f>
        <v>0</v>
      </c>
      <c r="H13" s="69">
        <f>'10'!BS$31</f>
        <v>0</v>
      </c>
    </row>
    <row r="14" spans="1:8" ht="15" x14ac:dyDescent="0.25">
      <c r="A14" s="67">
        <v>46184</v>
      </c>
      <c r="B14" s="68" t="e">
        <f>'11'!BN$31</f>
        <v>#DIV/0!</v>
      </c>
      <c r="C14" s="68">
        <f>'11'!BO$31</f>
        <v>0</v>
      </c>
      <c r="D14" s="68">
        <f>'11'!BP$31</f>
        <v>0</v>
      </c>
      <c r="E14" s="70">
        <f t="shared" si="0"/>
        <v>46184</v>
      </c>
      <c r="F14" s="69" t="e">
        <f>'11'!BQ$31</f>
        <v>#DIV/0!</v>
      </c>
      <c r="G14" s="69">
        <f>'11'!BR$31</f>
        <v>0</v>
      </c>
      <c r="H14" s="69">
        <f>'11'!BS$31</f>
        <v>0</v>
      </c>
    </row>
    <row r="15" spans="1:8" ht="15" x14ac:dyDescent="0.25">
      <c r="A15" s="67">
        <v>46185</v>
      </c>
      <c r="B15" s="68" t="e">
        <f>'12'!BN$31</f>
        <v>#DIV/0!</v>
      </c>
      <c r="C15" s="68">
        <f>'12'!BO$31</f>
        <v>0</v>
      </c>
      <c r="D15" s="68">
        <f>'12'!BP$31</f>
        <v>0</v>
      </c>
      <c r="E15" s="70">
        <f t="shared" si="0"/>
        <v>46185</v>
      </c>
      <c r="F15" s="69" t="e">
        <f>'12'!BQ$31</f>
        <v>#DIV/0!</v>
      </c>
      <c r="G15" s="69">
        <f>'12'!BR$31</f>
        <v>0</v>
      </c>
      <c r="H15" s="69">
        <f>'12'!BS$31</f>
        <v>0</v>
      </c>
    </row>
    <row r="16" spans="1:8" ht="15" x14ac:dyDescent="0.25">
      <c r="A16" s="67">
        <v>46186</v>
      </c>
      <c r="B16" s="68" t="e">
        <f>'13'!BN$31</f>
        <v>#DIV/0!</v>
      </c>
      <c r="C16" s="68">
        <f>'13'!BO$31</f>
        <v>0</v>
      </c>
      <c r="D16" s="68">
        <f>'13'!BP$31</f>
        <v>0</v>
      </c>
      <c r="E16" s="70">
        <f t="shared" si="0"/>
        <v>46186</v>
      </c>
      <c r="F16" s="69" t="e">
        <f>'13'!BQ$31</f>
        <v>#DIV/0!</v>
      </c>
      <c r="G16" s="69">
        <f>'13'!BR$31</f>
        <v>0</v>
      </c>
      <c r="H16" s="69">
        <f>'13'!BS$31</f>
        <v>0</v>
      </c>
    </row>
    <row r="17" spans="1:8" ht="15" x14ac:dyDescent="0.25">
      <c r="A17" s="67">
        <v>46187</v>
      </c>
      <c r="B17" s="68" t="e">
        <f>'14'!BN$31</f>
        <v>#DIV/0!</v>
      </c>
      <c r="C17" s="68">
        <f>'14'!BO$31</f>
        <v>0</v>
      </c>
      <c r="D17" s="68">
        <f>'14'!BP$31</f>
        <v>0</v>
      </c>
      <c r="E17" s="70">
        <f t="shared" si="0"/>
        <v>46187</v>
      </c>
      <c r="F17" s="69" t="e">
        <f>'14'!BQ$31</f>
        <v>#DIV/0!</v>
      </c>
      <c r="G17" s="69">
        <f>'14'!BR$31</f>
        <v>0</v>
      </c>
      <c r="H17" s="69">
        <f>'14'!BS$31</f>
        <v>0</v>
      </c>
    </row>
    <row r="18" spans="1:8" ht="15" x14ac:dyDescent="0.25">
      <c r="A18" s="67">
        <v>46188</v>
      </c>
      <c r="B18" s="68" t="e">
        <f>'15'!BN$31</f>
        <v>#DIV/0!</v>
      </c>
      <c r="C18" s="68">
        <f>'15'!BO$31</f>
        <v>0</v>
      </c>
      <c r="D18" s="68">
        <f>'15'!BP$31</f>
        <v>0</v>
      </c>
      <c r="E18" s="70">
        <f t="shared" si="0"/>
        <v>46188</v>
      </c>
      <c r="F18" s="69" t="e">
        <f>'15'!BQ$31</f>
        <v>#DIV/0!</v>
      </c>
      <c r="G18" s="69">
        <f>'15'!BR$31</f>
        <v>0</v>
      </c>
      <c r="H18" s="69">
        <f>'15'!BS$31</f>
        <v>0</v>
      </c>
    </row>
    <row r="19" spans="1:8" ht="15" x14ac:dyDescent="0.25">
      <c r="A19" s="67">
        <v>46189</v>
      </c>
      <c r="B19" s="68" t="e">
        <f>'16'!BN$31</f>
        <v>#DIV/0!</v>
      </c>
      <c r="C19" s="68">
        <f>'16'!BO$31</f>
        <v>0</v>
      </c>
      <c r="D19" s="68">
        <f>'16'!BP$31</f>
        <v>0</v>
      </c>
      <c r="E19" s="70">
        <f t="shared" si="0"/>
        <v>46189</v>
      </c>
      <c r="F19" s="69" t="e">
        <f>'16'!BQ$31</f>
        <v>#DIV/0!</v>
      </c>
      <c r="G19" s="69">
        <f>'16'!BR$31</f>
        <v>0</v>
      </c>
      <c r="H19" s="69">
        <f>'16'!BS$31</f>
        <v>0</v>
      </c>
    </row>
    <row r="20" spans="1:8" ht="15" x14ac:dyDescent="0.25">
      <c r="A20" s="67">
        <v>46190</v>
      </c>
      <c r="B20" s="68" t="e">
        <f>'17'!BN$31</f>
        <v>#DIV/0!</v>
      </c>
      <c r="C20" s="68">
        <f>'17'!BO$31</f>
        <v>0</v>
      </c>
      <c r="D20" s="68">
        <f>'17'!BP$31</f>
        <v>0</v>
      </c>
      <c r="E20" s="70">
        <f t="shared" si="0"/>
        <v>46190</v>
      </c>
      <c r="F20" s="69" t="e">
        <f>'17'!BQ$31</f>
        <v>#DIV/0!</v>
      </c>
      <c r="G20" s="69">
        <f>'17'!BR$31</f>
        <v>0</v>
      </c>
      <c r="H20" s="69">
        <f>'17'!BS$31</f>
        <v>0</v>
      </c>
    </row>
    <row r="21" spans="1:8" ht="15" x14ac:dyDescent="0.25">
      <c r="A21" s="67">
        <v>46191</v>
      </c>
      <c r="B21" s="68" t="e">
        <f>'18'!BN$31</f>
        <v>#DIV/0!</v>
      </c>
      <c r="C21" s="68">
        <f>'18'!BO$31</f>
        <v>0</v>
      </c>
      <c r="D21" s="68">
        <f>'18'!BP$31</f>
        <v>0</v>
      </c>
      <c r="E21" s="70">
        <f t="shared" si="0"/>
        <v>46191</v>
      </c>
      <c r="F21" s="69" t="e">
        <f>'18'!BQ$31</f>
        <v>#DIV/0!</v>
      </c>
      <c r="G21" s="69">
        <f>'18'!BR$31</f>
        <v>0</v>
      </c>
      <c r="H21" s="69">
        <f>'18'!BS$31</f>
        <v>0</v>
      </c>
    </row>
    <row r="22" spans="1:8" ht="15" x14ac:dyDescent="0.25">
      <c r="A22" s="67">
        <v>46192</v>
      </c>
      <c r="B22" s="68" t="e">
        <f>'19'!BN$31</f>
        <v>#DIV/0!</v>
      </c>
      <c r="C22" s="68">
        <f>'19'!BO$31</f>
        <v>0</v>
      </c>
      <c r="D22" s="68">
        <f>'19'!BP$31</f>
        <v>0</v>
      </c>
      <c r="E22" s="70">
        <f t="shared" si="0"/>
        <v>46192</v>
      </c>
      <c r="F22" s="69" t="e">
        <f>'19'!BQ$31</f>
        <v>#DIV/0!</v>
      </c>
      <c r="G22" s="69">
        <f>'19'!BR$31</f>
        <v>0</v>
      </c>
      <c r="H22" s="69">
        <f>'19'!BS$31</f>
        <v>0</v>
      </c>
    </row>
    <row r="23" spans="1:8" ht="15" x14ac:dyDescent="0.25">
      <c r="A23" s="67">
        <v>46193</v>
      </c>
      <c r="B23" s="68" t="e">
        <f>'20'!BN$31</f>
        <v>#DIV/0!</v>
      </c>
      <c r="C23" s="68">
        <f>'20'!BO$31</f>
        <v>0</v>
      </c>
      <c r="D23" s="68">
        <f>'20'!BP$31</f>
        <v>0</v>
      </c>
      <c r="E23" s="70">
        <f t="shared" si="0"/>
        <v>46193</v>
      </c>
      <c r="F23" s="69" t="e">
        <f>'20'!BQ$31</f>
        <v>#DIV/0!</v>
      </c>
      <c r="G23" s="69">
        <f>'20'!BR$31</f>
        <v>0</v>
      </c>
      <c r="H23" s="69">
        <f>'20'!BS$31</f>
        <v>0</v>
      </c>
    </row>
    <row r="24" spans="1:8" ht="15" x14ac:dyDescent="0.25">
      <c r="A24" s="67">
        <v>46194</v>
      </c>
      <c r="B24" s="68" t="e">
        <f>'21'!BN$31</f>
        <v>#DIV/0!</v>
      </c>
      <c r="C24" s="68">
        <f>'21'!BO$31</f>
        <v>0</v>
      </c>
      <c r="D24" s="68">
        <f>'21'!BP$31</f>
        <v>0</v>
      </c>
      <c r="E24" s="70">
        <f t="shared" si="0"/>
        <v>46194</v>
      </c>
      <c r="F24" s="69" t="e">
        <f>'21'!BQ$31</f>
        <v>#DIV/0!</v>
      </c>
      <c r="G24" s="69">
        <f>'21'!BR$31</f>
        <v>0</v>
      </c>
      <c r="H24" s="69">
        <f>'21'!BS$31</f>
        <v>0</v>
      </c>
    </row>
    <row r="25" spans="1:8" ht="15" x14ac:dyDescent="0.25">
      <c r="A25" s="67">
        <v>46195</v>
      </c>
      <c r="B25" s="68" t="e">
        <f>'22'!BN$32</f>
        <v>#DIV/0!</v>
      </c>
      <c r="C25" s="68">
        <f>'22'!BO$32</f>
        <v>0</v>
      </c>
      <c r="D25" s="68">
        <f>'22'!BP$32</f>
        <v>0</v>
      </c>
      <c r="E25" s="70">
        <f t="shared" si="0"/>
        <v>46195</v>
      </c>
      <c r="F25" s="69" t="e">
        <f>'22'!BQ$32</f>
        <v>#DIV/0!</v>
      </c>
      <c r="G25" s="69">
        <f>'22'!BR$32</f>
        <v>0</v>
      </c>
      <c r="H25" s="69">
        <f>'22'!BS$32</f>
        <v>0</v>
      </c>
    </row>
    <row r="26" spans="1:8" ht="15" x14ac:dyDescent="0.25">
      <c r="A26" s="67">
        <v>46196</v>
      </c>
      <c r="B26" s="68" t="e">
        <f>'23'!BN$31</f>
        <v>#DIV/0!</v>
      </c>
      <c r="C26" s="68">
        <f>'23'!BO$31</f>
        <v>0</v>
      </c>
      <c r="D26" s="68">
        <f>'23'!BP$31</f>
        <v>0</v>
      </c>
      <c r="E26" s="70">
        <f t="shared" si="0"/>
        <v>46196</v>
      </c>
      <c r="F26" s="69" t="e">
        <f>'23'!BQ$31</f>
        <v>#DIV/0!</v>
      </c>
      <c r="G26" s="69">
        <f>'23'!BR$31</f>
        <v>0</v>
      </c>
      <c r="H26" s="69">
        <f>'23'!BS$31</f>
        <v>0</v>
      </c>
    </row>
    <row r="27" spans="1:8" ht="15" x14ac:dyDescent="0.25">
      <c r="A27" s="67">
        <v>46197</v>
      </c>
      <c r="B27" s="68" t="e">
        <f>'24'!BN$31</f>
        <v>#DIV/0!</v>
      </c>
      <c r="C27" s="68">
        <f>'24'!BO$31</f>
        <v>0</v>
      </c>
      <c r="D27" s="68">
        <f>'24'!BP$31</f>
        <v>0</v>
      </c>
      <c r="E27" s="70">
        <f t="shared" si="0"/>
        <v>46197</v>
      </c>
      <c r="F27" s="69" t="e">
        <f>'24'!BQ$31</f>
        <v>#DIV/0!</v>
      </c>
      <c r="G27" s="69">
        <f>'24'!BR$31</f>
        <v>0</v>
      </c>
      <c r="H27" s="69">
        <f>'24'!BS$31</f>
        <v>0</v>
      </c>
    </row>
    <row r="28" spans="1:8" ht="15" x14ac:dyDescent="0.25">
      <c r="A28" s="67">
        <v>46198</v>
      </c>
      <c r="B28" s="68" t="e">
        <f>'25'!BN$31</f>
        <v>#DIV/0!</v>
      </c>
      <c r="C28" s="68">
        <f>'25'!BO$31</f>
        <v>0</v>
      </c>
      <c r="D28" s="68">
        <f>'25'!BP$31</f>
        <v>0</v>
      </c>
      <c r="E28" s="70">
        <f t="shared" si="0"/>
        <v>46198</v>
      </c>
      <c r="F28" s="69" t="e">
        <f>'25'!BQ$31</f>
        <v>#DIV/0!</v>
      </c>
      <c r="G28" s="69">
        <f>'25'!BR$31</f>
        <v>0</v>
      </c>
      <c r="H28" s="69">
        <f>'25'!BS$31</f>
        <v>0</v>
      </c>
    </row>
    <row r="29" spans="1:8" ht="15" x14ac:dyDescent="0.25">
      <c r="A29" s="67">
        <v>46199</v>
      </c>
      <c r="B29" s="68" t="e">
        <f>'26'!BN$31</f>
        <v>#DIV/0!</v>
      </c>
      <c r="C29" s="68">
        <f>'26'!BO$31</f>
        <v>0</v>
      </c>
      <c r="D29" s="68">
        <f>'26'!BP$31</f>
        <v>0</v>
      </c>
      <c r="E29" s="70">
        <f t="shared" si="0"/>
        <v>46199</v>
      </c>
      <c r="F29" s="69" t="e">
        <f>'26'!BQ$31</f>
        <v>#DIV/0!</v>
      </c>
      <c r="G29" s="69">
        <f>'26'!BR$31</f>
        <v>0</v>
      </c>
      <c r="H29" s="69">
        <f>'26'!BS$31</f>
        <v>0</v>
      </c>
    </row>
    <row r="30" spans="1:8" ht="15" x14ac:dyDescent="0.25">
      <c r="A30" s="67">
        <v>46200</v>
      </c>
      <c r="B30" s="68" t="e">
        <f>'27'!BN$31</f>
        <v>#DIV/0!</v>
      </c>
      <c r="C30" s="68">
        <f>'27'!BO$31</f>
        <v>0</v>
      </c>
      <c r="D30" s="68">
        <f>'27'!BP$31</f>
        <v>0</v>
      </c>
      <c r="E30" s="70">
        <f t="shared" si="0"/>
        <v>46200</v>
      </c>
      <c r="F30" s="69" t="e">
        <f>'27'!BQ$31</f>
        <v>#DIV/0!</v>
      </c>
      <c r="G30" s="69">
        <f>'27'!BR$31</f>
        <v>0</v>
      </c>
      <c r="H30" s="69">
        <f>'27'!BS$31</f>
        <v>0</v>
      </c>
    </row>
    <row r="31" spans="1:8" ht="15" x14ac:dyDescent="0.25">
      <c r="A31" s="67">
        <v>46201</v>
      </c>
      <c r="B31" s="68" t="e">
        <f>'28'!BN$31</f>
        <v>#DIV/0!</v>
      </c>
      <c r="C31" s="68">
        <f>'28'!BO$31</f>
        <v>0</v>
      </c>
      <c r="D31" s="68">
        <f>'28'!BP$31</f>
        <v>0</v>
      </c>
      <c r="E31" s="70">
        <f t="shared" si="0"/>
        <v>46201</v>
      </c>
      <c r="F31" s="69" t="e">
        <f>'28'!BQ$31</f>
        <v>#DIV/0!</v>
      </c>
      <c r="G31" s="69">
        <f>'28'!BR$31</f>
        <v>0</v>
      </c>
      <c r="H31" s="69">
        <f>'28'!BS$31</f>
        <v>0</v>
      </c>
    </row>
    <row r="32" spans="1:8" ht="15" x14ac:dyDescent="0.25">
      <c r="A32" s="67">
        <v>46202</v>
      </c>
      <c r="B32" s="68" t="e">
        <f>'28'!BN$31</f>
        <v>#DIV/0!</v>
      </c>
      <c r="C32" s="68">
        <f>'29'!BO$31</f>
        <v>0</v>
      </c>
      <c r="D32" s="68">
        <f>'29'!BP$31</f>
        <v>0</v>
      </c>
      <c r="E32" s="70">
        <f t="shared" ref="E32:E34" si="1">A32</f>
        <v>46202</v>
      </c>
      <c r="F32" s="69" t="e">
        <f>'29'!BQ$31</f>
        <v>#DIV/0!</v>
      </c>
      <c r="G32" s="69">
        <f>'29'!BR$31</f>
        <v>0</v>
      </c>
      <c r="H32" s="69">
        <f>'29'!BS$31</f>
        <v>0</v>
      </c>
    </row>
    <row r="33" spans="1:8" ht="15" x14ac:dyDescent="0.25">
      <c r="A33" s="67">
        <v>46203</v>
      </c>
      <c r="B33" s="68" t="e">
        <f>'28'!BN$31</f>
        <v>#DIV/0!</v>
      </c>
      <c r="C33" s="68">
        <f>'30'!BO$31</f>
        <v>0</v>
      </c>
      <c r="D33" s="68">
        <f>'30'!BP$31</f>
        <v>0</v>
      </c>
      <c r="E33" s="70">
        <f t="shared" si="1"/>
        <v>46203</v>
      </c>
      <c r="F33" s="69" t="e">
        <f>'30'!BQ$31</f>
        <v>#DIV/0!</v>
      </c>
      <c r="G33" s="69">
        <f>'30'!BR$31</f>
        <v>0</v>
      </c>
      <c r="H33" s="69">
        <f>'30'!BS$31</f>
        <v>0</v>
      </c>
    </row>
    <row r="34" spans="1:8" ht="15" x14ac:dyDescent="0.25">
      <c r="A34" s="67">
        <v>46204</v>
      </c>
      <c r="B34" s="68" t="e">
        <f>'28'!BN$31</f>
        <v>#DIV/0!</v>
      </c>
      <c r="C34" s="68">
        <f>'31'!BO$31</f>
        <v>0</v>
      </c>
      <c r="D34" s="68">
        <f>'31'!BP$31</f>
        <v>0</v>
      </c>
      <c r="E34" s="70">
        <f t="shared" si="1"/>
        <v>46204</v>
      </c>
      <c r="F34" s="69" t="e">
        <f>'31'!BQ$31</f>
        <v>#DIV/0!</v>
      </c>
      <c r="G34" s="69">
        <f>'31'!BR$31</f>
        <v>0</v>
      </c>
      <c r="H34" s="69">
        <f>'31'!BS$31</f>
        <v>0</v>
      </c>
    </row>
    <row r="39" spans="1:8" ht="15" x14ac:dyDescent="0.25">
      <c r="A39" s="87" t="e">
        <f>F33</f>
        <v>#DIV/0!</v>
      </c>
    </row>
  </sheetData>
  <mergeCells count="1">
    <mergeCell ref="A2:D2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4"/>
  <sheetViews>
    <sheetView topLeftCell="A17" zoomScale="80" zoomScaleNormal="80" workbookViewId="0">
      <selection activeCell="P78" sqref="P78"/>
    </sheetView>
  </sheetViews>
  <sheetFormatPr defaultColWidth="8.7265625" defaultRowHeight="14.5" x14ac:dyDescent="0.35"/>
  <cols>
    <col min="1" max="1" width="10.7265625" style="22" bestFit="1" customWidth="1"/>
    <col min="2" max="2" width="11.54296875" style="22" customWidth="1"/>
    <col min="3" max="5" width="12.453125" style="22" customWidth="1"/>
    <col min="6" max="6" width="10.54296875" style="22" customWidth="1"/>
    <col min="7" max="7" width="12.1796875" style="22" customWidth="1"/>
    <col min="8" max="8" width="14.54296875" style="22" customWidth="1"/>
    <col min="9" max="10" width="8.7265625" style="22"/>
    <col min="11" max="11" width="12.81640625" style="22" bestFit="1" customWidth="1"/>
    <col min="12" max="12" width="11.453125" style="22" customWidth="1"/>
    <col min="13" max="13" width="12.81640625" style="22" bestFit="1" customWidth="1"/>
    <col min="14" max="14" width="12.54296875" style="22" customWidth="1"/>
    <col min="15" max="16384" width="8.7265625" style="22"/>
  </cols>
  <sheetData>
    <row r="2" spans="1:14" ht="15" x14ac:dyDescent="0.25">
      <c r="A2" s="247" t="s">
        <v>165</v>
      </c>
      <c r="B2" s="247"/>
      <c r="C2" s="247"/>
      <c r="D2" s="64"/>
      <c r="E2" s="64"/>
      <c r="F2" s="64"/>
      <c r="G2" s="64"/>
      <c r="K2" s="248" t="s">
        <v>224</v>
      </c>
      <c r="L2" s="248"/>
      <c r="M2" s="248" t="s">
        <v>225</v>
      </c>
      <c r="N2" s="248"/>
    </row>
    <row r="3" spans="1:14" ht="45" x14ac:dyDescent="0.25">
      <c r="A3" s="65" t="s">
        <v>34</v>
      </c>
      <c r="B3" s="66" t="s">
        <v>174</v>
      </c>
      <c r="C3" s="66" t="s">
        <v>172</v>
      </c>
      <c r="D3" s="66" t="s">
        <v>173</v>
      </c>
      <c r="E3" s="66" t="s">
        <v>175</v>
      </c>
      <c r="F3" s="65" t="s">
        <v>34</v>
      </c>
      <c r="G3" s="65" t="s">
        <v>166</v>
      </c>
      <c r="H3" s="66" t="s">
        <v>167</v>
      </c>
      <c r="K3" s="75" t="s">
        <v>223</v>
      </c>
      <c r="L3" s="75" t="s">
        <v>222</v>
      </c>
      <c r="M3" s="75" t="s">
        <v>223</v>
      </c>
      <c r="N3" s="75" t="s">
        <v>222</v>
      </c>
    </row>
    <row r="4" spans="1:14" ht="15" x14ac:dyDescent="0.25">
      <c r="A4" s="67">
        <v>46174</v>
      </c>
      <c r="B4" s="61" t="e">
        <f>(('1'!BH$32+'1'!BL$32)/1000)+'1'!AF$32+'1'!AS$32</f>
        <v>#DIV/0!</v>
      </c>
      <c r="C4" s="61" t="e">
        <f>'1'!M$31</f>
        <v>#DIV/0!</v>
      </c>
      <c r="D4" s="61">
        <f>(('1'!BH$33+'1'!BL$33)/1000)+'1'!AF$33+'1'!AS$33</f>
        <v>0</v>
      </c>
      <c r="E4" s="61">
        <f>'1'!M$32</f>
        <v>0</v>
      </c>
      <c r="F4" s="70">
        <f>A4</f>
        <v>46174</v>
      </c>
      <c r="G4" s="71" t="e">
        <f>C4/B4</f>
        <v>#DIV/0!</v>
      </c>
      <c r="H4" s="71" t="e">
        <f>E4/D4</f>
        <v>#DIV/0!</v>
      </c>
      <c r="K4" s="74" t="e">
        <f>'1'!B32</f>
        <v>#DIV/0!</v>
      </c>
      <c r="L4" s="74">
        <f>'1'!C32</f>
        <v>0</v>
      </c>
      <c r="M4" s="74" t="e">
        <f>'1'!B33</f>
        <v>#DIV/0!</v>
      </c>
      <c r="N4" s="74">
        <f>'1'!C33</f>
        <v>0</v>
      </c>
    </row>
    <row r="5" spans="1:14" ht="15" x14ac:dyDescent="0.25">
      <c r="A5" s="67">
        <v>46175</v>
      </c>
      <c r="B5" s="61" t="e">
        <f>(('2'!BH$32+'2'!BL$32)/1000)+'2'!AF$32+'2'!AS$32</f>
        <v>#DIV/0!</v>
      </c>
      <c r="C5" s="61" t="e">
        <f>'2'!M$31</f>
        <v>#DIV/0!</v>
      </c>
      <c r="D5" s="61">
        <f>(('2'!BH$33+'2'!BL$33)/1000)+'2'!AF$33+'2'!AS$33</f>
        <v>0</v>
      </c>
      <c r="E5" s="61">
        <f>'2'!M$32</f>
        <v>0</v>
      </c>
      <c r="F5" s="70">
        <f t="shared" ref="F5:F31" si="0">A5</f>
        <v>46175</v>
      </c>
      <c r="G5" s="71" t="e">
        <f>C5/B5</f>
        <v>#DIV/0!</v>
      </c>
      <c r="H5" s="71" t="e">
        <f t="shared" ref="H5:H31" si="1">E5/D5</f>
        <v>#DIV/0!</v>
      </c>
      <c r="K5" s="74" t="e">
        <f>'2'!B32</f>
        <v>#DIV/0!</v>
      </c>
      <c r="L5" s="74">
        <f>'2'!C32</f>
        <v>0</v>
      </c>
      <c r="M5" s="74" t="e">
        <f>'2'!B33</f>
        <v>#DIV/0!</v>
      </c>
      <c r="N5" s="74">
        <f>'2'!C33</f>
        <v>0</v>
      </c>
    </row>
    <row r="6" spans="1:14" ht="15" x14ac:dyDescent="0.25">
      <c r="A6" s="67">
        <v>46176</v>
      </c>
      <c r="B6" s="61" t="e">
        <f>(('3'!BH$32+'3'!BL$32)/1000)+'3'!AF$32+'3'!AS$32</f>
        <v>#DIV/0!</v>
      </c>
      <c r="C6" s="61" t="e">
        <f>'3'!M$31</f>
        <v>#DIV/0!</v>
      </c>
      <c r="D6" s="61">
        <f>(('3'!BH$33+'3'!BL$33)/1000)+'3'!AF$33+'3'!AS$33</f>
        <v>0</v>
      </c>
      <c r="E6" s="61">
        <f>'3'!M$32</f>
        <v>0</v>
      </c>
      <c r="F6" s="70">
        <f t="shared" si="0"/>
        <v>46176</v>
      </c>
      <c r="G6" s="71" t="e">
        <f t="shared" ref="G6:G30" si="2">C6/B6</f>
        <v>#DIV/0!</v>
      </c>
      <c r="H6" s="71" t="e">
        <f t="shared" si="1"/>
        <v>#DIV/0!</v>
      </c>
      <c r="K6" s="74" t="e">
        <f>'3'!B32</f>
        <v>#DIV/0!</v>
      </c>
      <c r="L6" s="74">
        <f>'3'!C32</f>
        <v>0</v>
      </c>
      <c r="M6" s="74" t="e">
        <f>'3'!B33</f>
        <v>#DIV/0!</v>
      </c>
      <c r="N6" s="74">
        <f>'3'!C33</f>
        <v>0</v>
      </c>
    </row>
    <row r="7" spans="1:14" ht="15" x14ac:dyDescent="0.25">
      <c r="A7" s="67">
        <v>46177</v>
      </c>
      <c r="B7" s="61" t="e">
        <f>(('4'!BH$32+'4'!BL$32)/1000)+'4'!AF$32+'4'!AS$32</f>
        <v>#DIV/0!</v>
      </c>
      <c r="C7" s="61" t="e">
        <f>'4'!M$31</f>
        <v>#DIV/0!</v>
      </c>
      <c r="D7" s="61">
        <f>(('4'!BH$33+'4'!BL$33)/1000)+'4'!AF$33+'4'!AS$33</f>
        <v>0</v>
      </c>
      <c r="E7" s="61">
        <f>'4'!M$32</f>
        <v>0</v>
      </c>
      <c r="F7" s="70">
        <f t="shared" si="0"/>
        <v>46177</v>
      </c>
      <c r="G7" s="71" t="e">
        <f t="shared" si="2"/>
        <v>#DIV/0!</v>
      </c>
      <c r="H7" s="71" t="e">
        <f t="shared" si="1"/>
        <v>#DIV/0!</v>
      </c>
      <c r="K7" s="74" t="e">
        <f>'4'!B32</f>
        <v>#DIV/0!</v>
      </c>
      <c r="L7" s="74">
        <f>'4'!C32</f>
        <v>0</v>
      </c>
      <c r="M7" s="74" t="e">
        <f>'4'!B33</f>
        <v>#DIV/0!</v>
      </c>
      <c r="N7" s="74">
        <f>'4'!C33</f>
        <v>0</v>
      </c>
    </row>
    <row r="8" spans="1:14" ht="15" x14ac:dyDescent="0.25">
      <c r="A8" s="67">
        <v>46178</v>
      </c>
      <c r="B8" s="61" t="e">
        <f>(('5'!BH$32+'5'!BL$32)/1000)+'5'!AF$32+'5'!AS$32</f>
        <v>#DIV/0!</v>
      </c>
      <c r="C8" s="61" t="e">
        <f>'5'!M$31</f>
        <v>#DIV/0!</v>
      </c>
      <c r="D8" s="61">
        <f>(('5'!BH$33+'5'!BL$33)/1000)+'5'!AF$33+'5'!AS$33</f>
        <v>0</v>
      </c>
      <c r="E8" s="61">
        <f>'5'!M$32</f>
        <v>0</v>
      </c>
      <c r="F8" s="70">
        <f t="shared" si="0"/>
        <v>46178</v>
      </c>
      <c r="G8" s="71" t="e">
        <f t="shared" si="2"/>
        <v>#DIV/0!</v>
      </c>
      <c r="H8" s="71" t="e">
        <f t="shared" si="1"/>
        <v>#DIV/0!</v>
      </c>
      <c r="I8" s="22" t="s">
        <v>229</v>
      </c>
      <c r="K8" s="74" t="e">
        <f>'5'!B32</f>
        <v>#DIV/0!</v>
      </c>
      <c r="L8" s="74">
        <f>'5'!C32</f>
        <v>0</v>
      </c>
      <c r="M8" s="74" t="e">
        <f>'5'!B33</f>
        <v>#DIV/0!</v>
      </c>
      <c r="N8" s="74">
        <f>'5'!C33</f>
        <v>0</v>
      </c>
    </row>
    <row r="9" spans="1:14" ht="15" x14ac:dyDescent="0.25">
      <c r="A9" s="67">
        <v>46179</v>
      </c>
      <c r="B9" s="61" t="e">
        <f>(('6'!BH$32+'6'!BL$32)/1000)+'6'!AF$32+'6'!AS$32</f>
        <v>#DIV/0!</v>
      </c>
      <c r="C9" s="61" t="e">
        <f>'6'!M$31</f>
        <v>#DIV/0!</v>
      </c>
      <c r="D9" s="61">
        <f>(('6'!BH$33+'6'!BL$33)/1000)+'6'!AF$33+'6'!AS$33</f>
        <v>0</v>
      </c>
      <c r="E9" s="61">
        <f>'6'!M$32</f>
        <v>0</v>
      </c>
      <c r="F9" s="70">
        <f t="shared" si="0"/>
        <v>46179</v>
      </c>
      <c r="G9" s="71" t="e">
        <f t="shared" si="2"/>
        <v>#DIV/0!</v>
      </c>
      <c r="H9" s="71" t="e">
        <f t="shared" si="1"/>
        <v>#DIV/0!</v>
      </c>
      <c r="K9" s="74" t="e">
        <f>'6'!B32</f>
        <v>#DIV/0!</v>
      </c>
      <c r="L9" s="74">
        <f>'6'!C32</f>
        <v>0</v>
      </c>
      <c r="M9" s="74" t="e">
        <f>'6'!B33</f>
        <v>#DIV/0!</v>
      </c>
      <c r="N9" s="74">
        <f>'6'!C33</f>
        <v>0</v>
      </c>
    </row>
    <row r="10" spans="1:14" ht="15" x14ac:dyDescent="0.25">
      <c r="A10" s="67">
        <v>46180</v>
      </c>
      <c r="B10" s="61" t="e">
        <f>(('7'!BH$32+'7'!BL$32)/1000)+'7'!AF$32+'7'!AS$32</f>
        <v>#DIV/0!</v>
      </c>
      <c r="C10" s="61" t="e">
        <f>'7'!M$31</f>
        <v>#DIV/0!</v>
      </c>
      <c r="D10" s="61">
        <f>(('7'!BH$33+'7'!BL$33)/1000)+'7'!AF$33+'7'!AS$33</f>
        <v>0</v>
      </c>
      <c r="E10" s="61">
        <f>'7'!M$32</f>
        <v>0</v>
      </c>
      <c r="F10" s="70">
        <f t="shared" si="0"/>
        <v>46180</v>
      </c>
      <c r="G10" s="71" t="e">
        <f t="shared" si="2"/>
        <v>#DIV/0!</v>
      </c>
      <c r="H10" s="71" t="e">
        <f t="shared" si="1"/>
        <v>#DIV/0!</v>
      </c>
      <c r="K10" s="74" t="e">
        <f>'7'!B32</f>
        <v>#DIV/0!</v>
      </c>
      <c r="L10" s="74">
        <f>'7'!C32</f>
        <v>0</v>
      </c>
      <c r="M10" s="74" t="e">
        <f>'7'!B33</f>
        <v>#DIV/0!</v>
      </c>
      <c r="N10" s="74">
        <f>'7'!C33</f>
        <v>0</v>
      </c>
    </row>
    <row r="11" spans="1:14" ht="15" x14ac:dyDescent="0.25">
      <c r="A11" s="67">
        <v>46181</v>
      </c>
      <c r="B11" s="61" t="e">
        <f>(('8'!BH$32+'8'!BL$32)/1000)+'8'!AF$32+'8'!AS$32</f>
        <v>#DIV/0!</v>
      </c>
      <c r="C11" s="61" t="e">
        <f>'8'!M$31</f>
        <v>#DIV/0!</v>
      </c>
      <c r="D11" s="61">
        <f>(('8'!BH$33+'8'!BL$33)/1000)+'8'!AF$33+'8'!AS$33</f>
        <v>0</v>
      </c>
      <c r="E11" s="61">
        <f>'8'!M$32</f>
        <v>0</v>
      </c>
      <c r="F11" s="70">
        <f t="shared" si="0"/>
        <v>46181</v>
      </c>
      <c r="G11" s="71" t="e">
        <f t="shared" si="2"/>
        <v>#DIV/0!</v>
      </c>
      <c r="H11" s="71" t="e">
        <f t="shared" si="1"/>
        <v>#DIV/0!</v>
      </c>
      <c r="K11" s="74" t="e">
        <f>'8'!B32</f>
        <v>#DIV/0!</v>
      </c>
      <c r="L11" s="74">
        <f>'8'!C32</f>
        <v>0</v>
      </c>
      <c r="M11" s="74" t="e">
        <f>'8'!B33</f>
        <v>#DIV/0!</v>
      </c>
      <c r="N11" s="74">
        <f>'8'!C33</f>
        <v>0</v>
      </c>
    </row>
    <row r="12" spans="1:14" ht="15" x14ac:dyDescent="0.25">
      <c r="A12" s="67">
        <v>46182</v>
      </c>
      <c r="B12" s="61" t="e">
        <f>(('9'!BH$32+'9'!BL$32)/1000)+'9'!AF$32+'9'!AS$32</f>
        <v>#DIV/0!</v>
      </c>
      <c r="C12" s="61">
        <f>'9'!M$31</f>
        <v>493.33333333333331</v>
      </c>
      <c r="D12" s="61">
        <f>(('9'!BH$33+'9'!BL$33)/1000)+'9'!AF$33+'9'!AS$33</f>
        <v>0</v>
      </c>
      <c r="E12" s="61">
        <f>'9'!M$32</f>
        <v>512</v>
      </c>
      <c r="F12" s="70">
        <f t="shared" si="0"/>
        <v>46182</v>
      </c>
      <c r="G12" s="71" t="e">
        <f t="shared" si="2"/>
        <v>#DIV/0!</v>
      </c>
      <c r="H12" s="71" t="e">
        <f t="shared" si="1"/>
        <v>#DIV/0!</v>
      </c>
      <c r="K12" s="74" t="e">
        <f>'9'!B32</f>
        <v>#DIV/0!</v>
      </c>
      <c r="L12" s="74">
        <f>'9'!C32</f>
        <v>0</v>
      </c>
      <c r="M12" s="74" t="e">
        <f>'9'!B33</f>
        <v>#DIV/0!</v>
      </c>
      <c r="N12" s="74">
        <f>'9'!C33</f>
        <v>0</v>
      </c>
    </row>
    <row r="13" spans="1:14" ht="15" x14ac:dyDescent="0.25">
      <c r="A13" s="67">
        <v>46183</v>
      </c>
      <c r="B13" s="61" t="e">
        <f>(('10'!BH$32+'10'!BL$32)/1000)+'10'!AF$32+'10'!AS$32</f>
        <v>#DIV/0!</v>
      </c>
      <c r="C13" s="61" t="e">
        <f>'10'!M$31</f>
        <v>#DIV/0!</v>
      </c>
      <c r="D13" s="61">
        <f>(('10'!BH$33+'10'!BL$33)/1000)+'10'!AF$33+'10'!AS$33</f>
        <v>0</v>
      </c>
      <c r="E13" s="61">
        <f>'10'!M$32</f>
        <v>0</v>
      </c>
      <c r="F13" s="70">
        <f t="shared" si="0"/>
        <v>46183</v>
      </c>
      <c r="G13" s="71" t="e">
        <f t="shared" si="2"/>
        <v>#DIV/0!</v>
      </c>
      <c r="H13" s="71" t="e">
        <f t="shared" si="1"/>
        <v>#DIV/0!</v>
      </c>
      <c r="K13" s="74" t="e">
        <f>'10'!B32</f>
        <v>#DIV/0!</v>
      </c>
      <c r="L13" s="74">
        <f>'10'!C32</f>
        <v>0</v>
      </c>
      <c r="M13" s="74" t="e">
        <f>'10'!B33</f>
        <v>#DIV/0!</v>
      </c>
      <c r="N13" s="74">
        <f>'10'!C33</f>
        <v>0</v>
      </c>
    </row>
    <row r="14" spans="1:14" ht="15" x14ac:dyDescent="0.25">
      <c r="A14" s="67">
        <v>46184</v>
      </c>
      <c r="B14" s="61" t="e">
        <f>(('11'!BH$32+'11'!BL$32)/1000)+'11'!AF$32+'11'!AS$32</f>
        <v>#DIV/0!</v>
      </c>
      <c r="C14" s="61" t="e">
        <f>'11'!M$31</f>
        <v>#DIV/0!</v>
      </c>
      <c r="D14" s="61">
        <f>(('11'!BH$33+'11'!BL$33)/1000)+'11'!AF$33+'11'!AS$33</f>
        <v>0</v>
      </c>
      <c r="E14" s="61">
        <f>'11'!M$32</f>
        <v>0</v>
      </c>
      <c r="F14" s="70">
        <f t="shared" si="0"/>
        <v>46184</v>
      </c>
      <c r="G14" s="71" t="e">
        <f t="shared" si="2"/>
        <v>#DIV/0!</v>
      </c>
      <c r="H14" s="71" t="e">
        <f t="shared" si="1"/>
        <v>#DIV/0!</v>
      </c>
      <c r="K14" s="74" t="e">
        <f>'11'!B32</f>
        <v>#DIV/0!</v>
      </c>
      <c r="L14" s="74">
        <f>'11'!C32</f>
        <v>0</v>
      </c>
      <c r="M14" s="74" t="e">
        <f>'11'!B33</f>
        <v>#DIV/0!</v>
      </c>
      <c r="N14" s="74">
        <f>'11'!C33</f>
        <v>0</v>
      </c>
    </row>
    <row r="15" spans="1:14" ht="15" x14ac:dyDescent="0.25">
      <c r="A15" s="67">
        <v>46185</v>
      </c>
      <c r="B15" s="61" t="e">
        <f>(('12'!BH$32+'12'!BL$32)/1000)+'12'!AF$32+'12'!AS$32</f>
        <v>#DIV/0!</v>
      </c>
      <c r="C15" s="61" t="e">
        <f>'12'!M$31</f>
        <v>#DIV/0!</v>
      </c>
      <c r="D15" s="61">
        <f>(('12'!BH$33+'12'!BL$33)/1000)+'12'!AF$33+'12'!AS$33</f>
        <v>0</v>
      </c>
      <c r="E15" s="61">
        <f>'12'!M$32</f>
        <v>0</v>
      </c>
      <c r="F15" s="70">
        <f t="shared" si="0"/>
        <v>46185</v>
      </c>
      <c r="G15" s="71" t="e">
        <f t="shared" si="2"/>
        <v>#DIV/0!</v>
      </c>
      <c r="H15" s="71" t="e">
        <f t="shared" si="1"/>
        <v>#DIV/0!</v>
      </c>
      <c r="K15" s="74" t="e">
        <f>'12'!B32</f>
        <v>#DIV/0!</v>
      </c>
      <c r="L15" s="74">
        <f>'12'!C32</f>
        <v>0</v>
      </c>
      <c r="M15" s="74" t="e">
        <f>'12'!B33</f>
        <v>#DIV/0!</v>
      </c>
      <c r="N15" s="74">
        <f>'12'!C33</f>
        <v>0</v>
      </c>
    </row>
    <row r="16" spans="1:14" ht="15" x14ac:dyDescent="0.25">
      <c r="A16" s="67">
        <v>46186</v>
      </c>
      <c r="B16" s="61" t="e">
        <f>(('13'!BH$32+'13'!BL$32)/1000)+'13'!AF$32+'13'!AS$32</f>
        <v>#DIV/0!</v>
      </c>
      <c r="C16" s="61" t="e">
        <f>'13'!M$31</f>
        <v>#DIV/0!</v>
      </c>
      <c r="D16" s="61">
        <f>(('13'!BH$33+'13'!BL$33)/1000)+'13'!AF$33+'13'!AS$33</f>
        <v>0</v>
      </c>
      <c r="E16" s="61">
        <f>'13'!M$32</f>
        <v>0</v>
      </c>
      <c r="F16" s="70">
        <f t="shared" si="0"/>
        <v>46186</v>
      </c>
      <c r="G16" s="71" t="e">
        <f t="shared" si="2"/>
        <v>#DIV/0!</v>
      </c>
      <c r="H16" s="71" t="e">
        <f t="shared" si="1"/>
        <v>#DIV/0!</v>
      </c>
      <c r="K16" s="74" t="e">
        <f>'13'!B32</f>
        <v>#DIV/0!</v>
      </c>
      <c r="L16" s="74">
        <f>'13'!C32</f>
        <v>0</v>
      </c>
      <c r="M16" s="74" t="e">
        <f>'13'!B33</f>
        <v>#DIV/0!</v>
      </c>
      <c r="N16" s="74">
        <f>'13'!C33</f>
        <v>0</v>
      </c>
    </row>
    <row r="17" spans="1:14" ht="15" x14ac:dyDescent="0.25">
      <c r="A17" s="67">
        <v>46187</v>
      </c>
      <c r="B17" s="61" t="e">
        <f>(('14'!BH$32+'14'!BL$32)/1000)+'14'!AF$32+'14'!AS$32</f>
        <v>#DIV/0!</v>
      </c>
      <c r="C17" s="61" t="e">
        <f>'14'!M$31</f>
        <v>#DIV/0!</v>
      </c>
      <c r="D17" s="61">
        <f>(('14'!BH$33+'14'!BL$33)/1000)+'14'!AF$33+'14'!AS$33</f>
        <v>0</v>
      </c>
      <c r="E17" s="61">
        <f>'14'!M$32</f>
        <v>0</v>
      </c>
      <c r="F17" s="70">
        <f t="shared" si="0"/>
        <v>46187</v>
      </c>
      <c r="G17" s="71" t="e">
        <f t="shared" si="2"/>
        <v>#DIV/0!</v>
      </c>
      <c r="H17" s="71" t="e">
        <f t="shared" si="1"/>
        <v>#DIV/0!</v>
      </c>
      <c r="K17" s="74" t="e">
        <f>'14'!B32</f>
        <v>#DIV/0!</v>
      </c>
      <c r="L17" s="74">
        <f>'14'!C32</f>
        <v>0</v>
      </c>
      <c r="M17" s="74" t="e">
        <f>'14'!B33</f>
        <v>#DIV/0!</v>
      </c>
      <c r="N17" s="74">
        <f>'14'!C33</f>
        <v>0</v>
      </c>
    </row>
    <row r="18" spans="1:14" ht="15" x14ac:dyDescent="0.25">
      <c r="A18" s="67">
        <v>46188</v>
      </c>
      <c r="B18" s="61" t="e">
        <f>(('15'!BH$32+'15'!BL$32)/1000)+'15'!AF$32+'15'!AS$32</f>
        <v>#DIV/0!</v>
      </c>
      <c r="C18" s="61" t="e">
        <f>'15'!M$31</f>
        <v>#DIV/0!</v>
      </c>
      <c r="D18" s="61">
        <f>(('15'!BH$33+'15'!BL$33)/1000)+'15'!AF$33+'15'!AS$33</f>
        <v>0</v>
      </c>
      <c r="E18" s="61">
        <f>'15'!M$32</f>
        <v>0</v>
      </c>
      <c r="F18" s="70">
        <f t="shared" si="0"/>
        <v>46188</v>
      </c>
      <c r="G18" s="71" t="e">
        <f t="shared" si="2"/>
        <v>#DIV/0!</v>
      </c>
      <c r="H18" s="71" t="e">
        <f t="shared" si="1"/>
        <v>#DIV/0!</v>
      </c>
      <c r="K18" s="74" t="e">
        <f>'15'!B32</f>
        <v>#DIV/0!</v>
      </c>
      <c r="L18" s="74">
        <f>'15'!C32</f>
        <v>0</v>
      </c>
      <c r="M18" s="74" t="e">
        <f>'15'!B33</f>
        <v>#DIV/0!</v>
      </c>
      <c r="N18" s="74">
        <f>'15'!C33</f>
        <v>0</v>
      </c>
    </row>
    <row r="19" spans="1:14" ht="15" x14ac:dyDescent="0.25">
      <c r="A19" s="67">
        <v>46189</v>
      </c>
      <c r="B19" s="61" t="e">
        <f>(('16'!BH$32+'16'!BL$32)/1000)+'16'!AF$32+'16'!AS$32</f>
        <v>#DIV/0!</v>
      </c>
      <c r="C19" s="61" t="e">
        <f>'16'!M$31</f>
        <v>#DIV/0!</v>
      </c>
      <c r="D19" s="61">
        <f>(('16'!BH$33+'16'!BL$33)/1000)+'16'!AF$33+'16'!AS$33</f>
        <v>0</v>
      </c>
      <c r="E19" s="61">
        <f>'16'!M$32</f>
        <v>0</v>
      </c>
      <c r="F19" s="70">
        <f t="shared" si="0"/>
        <v>46189</v>
      </c>
      <c r="G19" s="71" t="e">
        <f t="shared" si="2"/>
        <v>#DIV/0!</v>
      </c>
      <c r="H19" s="71" t="e">
        <f t="shared" si="1"/>
        <v>#DIV/0!</v>
      </c>
      <c r="K19" s="74" t="e">
        <f>'16'!B32</f>
        <v>#DIV/0!</v>
      </c>
      <c r="L19" s="74">
        <f>'16'!C32</f>
        <v>0</v>
      </c>
      <c r="M19" s="74" t="e">
        <f>'16'!B33</f>
        <v>#DIV/0!</v>
      </c>
      <c r="N19" s="74">
        <f>'16'!C33</f>
        <v>0</v>
      </c>
    </row>
    <row r="20" spans="1:14" ht="15" x14ac:dyDescent="0.25">
      <c r="A20" s="67">
        <v>46190</v>
      </c>
      <c r="B20" s="61" t="e">
        <f>(('17'!BH$32+'17'!BL$32)/1000)+'17'!AF$32+'17'!AS$32</f>
        <v>#DIV/0!</v>
      </c>
      <c r="C20" s="61" t="e">
        <f>'17'!M$31</f>
        <v>#DIV/0!</v>
      </c>
      <c r="D20" s="61">
        <f>(('17'!BH$33+'17'!BL$33)/1000)+'17'!AF$33+'17'!AS$33</f>
        <v>0</v>
      </c>
      <c r="E20" s="61">
        <f>'17'!M$32</f>
        <v>0</v>
      </c>
      <c r="F20" s="70">
        <f t="shared" si="0"/>
        <v>46190</v>
      </c>
      <c r="G20" s="71" t="e">
        <f t="shared" si="2"/>
        <v>#DIV/0!</v>
      </c>
      <c r="H20" s="71" t="e">
        <f t="shared" si="1"/>
        <v>#DIV/0!</v>
      </c>
      <c r="K20" s="74" t="e">
        <f>'17'!B32</f>
        <v>#DIV/0!</v>
      </c>
      <c r="L20" s="74">
        <f>'17'!C32</f>
        <v>0</v>
      </c>
      <c r="M20" s="74" t="e">
        <f>'17'!B33</f>
        <v>#DIV/0!</v>
      </c>
      <c r="N20" s="74">
        <f>'17'!C33</f>
        <v>0</v>
      </c>
    </row>
    <row r="21" spans="1:14" ht="15" x14ac:dyDescent="0.25">
      <c r="A21" s="67">
        <v>46191</v>
      </c>
      <c r="B21" s="61" t="e">
        <f>(('18'!BH$32+'18'!BL$32)/1000)+'18'!AF$32+'18'!AS$32</f>
        <v>#DIV/0!</v>
      </c>
      <c r="C21" s="61" t="e">
        <f>'18'!M$31</f>
        <v>#DIV/0!</v>
      </c>
      <c r="D21" s="61">
        <f>(('18'!BH$33+'18'!BL$33)/1000)+'18'!AF$33+'18'!AS$33</f>
        <v>0</v>
      </c>
      <c r="E21" s="61">
        <f>'18'!M$32</f>
        <v>0</v>
      </c>
      <c r="F21" s="70">
        <f t="shared" si="0"/>
        <v>46191</v>
      </c>
      <c r="G21" s="71" t="e">
        <f t="shared" si="2"/>
        <v>#DIV/0!</v>
      </c>
      <c r="H21" s="71" t="e">
        <f t="shared" si="1"/>
        <v>#DIV/0!</v>
      </c>
      <c r="K21" s="74" t="e">
        <f>'18'!B32</f>
        <v>#DIV/0!</v>
      </c>
      <c r="L21" s="74">
        <f>'18'!C32</f>
        <v>0</v>
      </c>
      <c r="M21" s="74" t="e">
        <f>'18'!B33</f>
        <v>#DIV/0!</v>
      </c>
      <c r="N21" s="74">
        <f>'18'!C33</f>
        <v>0</v>
      </c>
    </row>
    <row r="22" spans="1:14" ht="15" x14ac:dyDescent="0.25">
      <c r="A22" s="67">
        <v>46192</v>
      </c>
      <c r="B22" s="61" t="e">
        <f>(('19'!BH$32+'19'!BL$32)/1000)+'19'!AF$32+'19'!AS$32</f>
        <v>#DIV/0!</v>
      </c>
      <c r="C22" s="61" t="e">
        <f>'19'!M$31</f>
        <v>#DIV/0!</v>
      </c>
      <c r="D22" s="61">
        <f>(('19'!BH$33+'19'!BL$33)/1000)+'19'!AF$33+'19'!AS$33</f>
        <v>0</v>
      </c>
      <c r="E22" s="61">
        <f>'19'!M$32</f>
        <v>0</v>
      </c>
      <c r="F22" s="70">
        <f t="shared" si="0"/>
        <v>46192</v>
      </c>
      <c r="G22" s="71" t="e">
        <f t="shared" si="2"/>
        <v>#DIV/0!</v>
      </c>
      <c r="H22" s="71" t="e">
        <f t="shared" si="1"/>
        <v>#DIV/0!</v>
      </c>
      <c r="K22" s="74" t="e">
        <f>'19'!B32</f>
        <v>#DIV/0!</v>
      </c>
      <c r="L22" s="74">
        <f>'19'!C32</f>
        <v>0</v>
      </c>
      <c r="M22" s="74" t="e">
        <f>'19'!B33</f>
        <v>#DIV/0!</v>
      </c>
      <c r="N22" s="74">
        <f>'19'!C33</f>
        <v>0</v>
      </c>
    </row>
    <row r="23" spans="1:14" ht="15" x14ac:dyDescent="0.25">
      <c r="A23" s="67">
        <v>46193</v>
      </c>
      <c r="B23" s="61" t="e">
        <f>(('20'!BH$32+'20'!BL$32)/1000)+'20'!AF$32+'20'!AS$32</f>
        <v>#DIV/0!</v>
      </c>
      <c r="C23" s="61" t="e">
        <f>'20'!M$31</f>
        <v>#DIV/0!</v>
      </c>
      <c r="D23" s="61">
        <f>(('20'!BH$33+'20'!BL$33)/1000)+'20'!AF$33+'20'!AS$33</f>
        <v>0</v>
      </c>
      <c r="E23" s="61">
        <f>'20'!M$32</f>
        <v>0</v>
      </c>
      <c r="F23" s="70">
        <f t="shared" si="0"/>
        <v>46193</v>
      </c>
      <c r="G23" s="71" t="e">
        <f>C23/B23</f>
        <v>#DIV/0!</v>
      </c>
      <c r="H23" s="71" t="e">
        <f t="shared" si="1"/>
        <v>#DIV/0!</v>
      </c>
      <c r="K23" s="74" t="e">
        <f>'20'!B32</f>
        <v>#DIV/0!</v>
      </c>
      <c r="L23" s="74">
        <f>'20'!C32</f>
        <v>0</v>
      </c>
      <c r="M23" s="74" t="e">
        <f>'20'!B33</f>
        <v>#DIV/0!</v>
      </c>
      <c r="N23" s="74">
        <f>'20'!C33</f>
        <v>0</v>
      </c>
    </row>
    <row r="24" spans="1:14" ht="15" x14ac:dyDescent="0.25">
      <c r="A24" s="67">
        <v>46194</v>
      </c>
      <c r="B24" s="61" t="e">
        <f>(('21'!BH$32+'21'!BL$32)/1000)+'21'!AF$32+'21'!AS$32</f>
        <v>#DIV/0!</v>
      </c>
      <c r="C24" s="61" t="e">
        <f>'21'!M$31</f>
        <v>#DIV/0!</v>
      </c>
      <c r="D24" s="61">
        <f>(('21'!BH$33+'21'!BL$33)/1000)+'21'!AF$33+'21'!AS$33</f>
        <v>0</v>
      </c>
      <c r="E24" s="61">
        <f>'21'!M$32</f>
        <v>0</v>
      </c>
      <c r="F24" s="70">
        <f t="shared" si="0"/>
        <v>46194</v>
      </c>
      <c r="G24" s="71" t="e">
        <f t="shared" si="2"/>
        <v>#DIV/0!</v>
      </c>
      <c r="H24" s="71" t="e">
        <f t="shared" si="1"/>
        <v>#DIV/0!</v>
      </c>
      <c r="K24" s="74" t="e">
        <f>'21'!B32</f>
        <v>#DIV/0!</v>
      </c>
      <c r="L24" s="74">
        <f>'21'!C32</f>
        <v>0</v>
      </c>
      <c r="M24" s="74" t="e">
        <f>'21'!B33</f>
        <v>#DIV/0!</v>
      </c>
      <c r="N24" s="74">
        <f>'21'!C33</f>
        <v>0</v>
      </c>
    </row>
    <row r="25" spans="1:14" ht="15" x14ac:dyDescent="0.25">
      <c r="A25" s="67">
        <v>46195</v>
      </c>
      <c r="B25" s="61" t="e">
        <f>(('22'!BH$33+'22'!BL$33)/1000)+'22'!AF$33+'22'!AS$33</f>
        <v>#DIV/0!</v>
      </c>
      <c r="C25" s="61" t="e">
        <f>'22'!M$32</f>
        <v>#DIV/0!</v>
      </c>
      <c r="D25" s="61">
        <f>(('22'!BH$34+'22'!BL$34)/1000)+'22'!AF$34+'22'!AS$34</f>
        <v>0</v>
      </c>
      <c r="E25" s="61">
        <f>'22'!M$33</f>
        <v>0</v>
      </c>
      <c r="F25" s="70">
        <f t="shared" si="0"/>
        <v>46195</v>
      </c>
      <c r="G25" s="71" t="e">
        <f t="shared" si="2"/>
        <v>#DIV/0!</v>
      </c>
      <c r="H25" s="71" t="e">
        <f t="shared" si="1"/>
        <v>#DIV/0!</v>
      </c>
      <c r="K25" s="74" t="e">
        <f>'22'!B33</f>
        <v>#DIV/0!</v>
      </c>
      <c r="L25" s="74">
        <f>'22'!C33</f>
        <v>0</v>
      </c>
      <c r="M25" s="74" t="e">
        <f>'22'!B34</f>
        <v>#DIV/0!</v>
      </c>
      <c r="N25" s="74">
        <f>'22'!C34</f>
        <v>0</v>
      </c>
    </row>
    <row r="26" spans="1:14" ht="15" x14ac:dyDescent="0.25">
      <c r="A26" s="67">
        <v>46196</v>
      </c>
      <c r="B26" s="61" t="e">
        <f>(('23'!BH$32+'23'!BL$32)/1000)+'23'!AF$32+'23'!AS$32</f>
        <v>#DIV/0!</v>
      </c>
      <c r="C26" s="61" t="e">
        <f>'23'!M$31</f>
        <v>#DIV/0!</v>
      </c>
      <c r="D26" s="61">
        <f>(('23'!BH$33+'23'!BL$33)/1000)+'23'!AF$33+'23'!AS$33</f>
        <v>0</v>
      </c>
      <c r="E26" s="61">
        <f>'23'!M$32</f>
        <v>0</v>
      </c>
      <c r="F26" s="70">
        <f t="shared" si="0"/>
        <v>46196</v>
      </c>
      <c r="G26" s="71" t="e">
        <f t="shared" si="2"/>
        <v>#DIV/0!</v>
      </c>
      <c r="H26" s="71" t="e">
        <f t="shared" si="1"/>
        <v>#DIV/0!</v>
      </c>
      <c r="K26" s="74" t="e">
        <f>'23'!B32</f>
        <v>#DIV/0!</v>
      </c>
      <c r="L26" s="74">
        <f>'23'!C32</f>
        <v>0</v>
      </c>
      <c r="M26" s="74" t="e">
        <f>'23'!B33</f>
        <v>#DIV/0!</v>
      </c>
      <c r="N26" s="74">
        <f>'23'!C33</f>
        <v>0</v>
      </c>
    </row>
    <row r="27" spans="1:14" ht="15" x14ac:dyDescent="0.25">
      <c r="A27" s="67">
        <v>46197</v>
      </c>
      <c r="B27" s="61" t="e">
        <f>(('24'!BH$32+'24'!BL$32)/1000)+'24'!AF$32+'24'!AS$32</f>
        <v>#DIV/0!</v>
      </c>
      <c r="C27" s="61" t="e">
        <f>'24'!M$31</f>
        <v>#DIV/0!</v>
      </c>
      <c r="D27" s="61">
        <f>(('24'!BH$33+'24'!BL$33)/1000)+'24'!AF$33+'24'!AS$33</f>
        <v>0</v>
      </c>
      <c r="E27" s="61">
        <f>'24'!M$32</f>
        <v>0</v>
      </c>
      <c r="F27" s="70">
        <f t="shared" si="0"/>
        <v>46197</v>
      </c>
      <c r="G27" s="71" t="e">
        <f t="shared" si="2"/>
        <v>#DIV/0!</v>
      </c>
      <c r="H27" s="71" t="e">
        <f>E27/D27</f>
        <v>#DIV/0!</v>
      </c>
      <c r="K27" s="74" t="e">
        <f>'24'!B32</f>
        <v>#DIV/0!</v>
      </c>
      <c r="L27" s="74">
        <f>'24'!C32</f>
        <v>0</v>
      </c>
      <c r="M27" s="74" t="e">
        <f>'24'!B33</f>
        <v>#DIV/0!</v>
      </c>
      <c r="N27" s="74">
        <f>'24'!C33</f>
        <v>0</v>
      </c>
    </row>
    <row r="28" spans="1:14" ht="15" x14ac:dyDescent="0.25">
      <c r="A28" s="67">
        <v>46198</v>
      </c>
      <c r="B28" s="61" t="e">
        <f>(('25'!BH$32+'25'!BL$32)/1000)+'25'!AF$32+'25'!AS$32</f>
        <v>#DIV/0!</v>
      </c>
      <c r="C28" s="61" t="e">
        <f>'25'!M$31</f>
        <v>#DIV/0!</v>
      </c>
      <c r="D28" s="61">
        <f>(('25'!BH$33+'25'!BL$33)/1000)+'25'!AF$33+'25'!AS$33</f>
        <v>0</v>
      </c>
      <c r="E28" s="61">
        <f>'25'!M$32</f>
        <v>0</v>
      </c>
      <c r="F28" s="70">
        <f t="shared" si="0"/>
        <v>46198</v>
      </c>
      <c r="G28" s="71" t="e">
        <f t="shared" ref="G28" si="3">C28/B28</f>
        <v>#DIV/0!</v>
      </c>
      <c r="H28" s="71" t="e">
        <f t="shared" ref="H28" si="4">E28/D28</f>
        <v>#DIV/0!</v>
      </c>
      <c r="K28" s="74" t="e">
        <f>'25'!B32</f>
        <v>#DIV/0!</v>
      </c>
      <c r="L28" s="74">
        <f>'25'!C32</f>
        <v>0</v>
      </c>
      <c r="M28" s="74" t="e">
        <f>'25'!B33</f>
        <v>#DIV/0!</v>
      </c>
      <c r="N28" s="74">
        <f>'25'!C33</f>
        <v>0</v>
      </c>
    </row>
    <row r="29" spans="1:14" ht="15" x14ac:dyDescent="0.25">
      <c r="A29" s="67">
        <v>46199</v>
      </c>
      <c r="B29" s="61" t="e">
        <f>(('26'!BH$32+'26'!BL$32)/1000)+'26'!AF$32+'26'!AS$32</f>
        <v>#DIV/0!</v>
      </c>
      <c r="C29" s="61" t="e">
        <f>'26'!M$31</f>
        <v>#DIV/0!</v>
      </c>
      <c r="D29" s="61">
        <f>(('26'!BH$33+'26'!BL$33)/1000)+'26'!AF$33+'26'!AS$33</f>
        <v>0</v>
      </c>
      <c r="E29" s="61">
        <f>'26'!M$32</f>
        <v>0</v>
      </c>
      <c r="F29" s="70">
        <f t="shared" si="0"/>
        <v>46199</v>
      </c>
      <c r="G29" s="71" t="e">
        <f t="shared" si="2"/>
        <v>#DIV/0!</v>
      </c>
      <c r="H29" s="71" t="e">
        <f t="shared" si="1"/>
        <v>#DIV/0!</v>
      </c>
      <c r="K29" s="74" t="e">
        <f>'26'!B32</f>
        <v>#DIV/0!</v>
      </c>
      <c r="L29" s="74">
        <f>'26'!C32</f>
        <v>0</v>
      </c>
      <c r="M29" s="74" t="e">
        <f>'26'!B33</f>
        <v>#DIV/0!</v>
      </c>
      <c r="N29" s="74">
        <f>'26'!C33</f>
        <v>0</v>
      </c>
    </row>
    <row r="30" spans="1:14" ht="15" x14ac:dyDescent="0.25">
      <c r="A30" s="67">
        <v>46200</v>
      </c>
      <c r="B30" s="61" t="e">
        <f>(('27'!BH$32+'27'!BL$32)/1000)+'27'!AF$32+'27'!AS$32</f>
        <v>#DIV/0!</v>
      </c>
      <c r="C30" s="61" t="e">
        <f>'27'!M$31</f>
        <v>#DIV/0!</v>
      </c>
      <c r="D30" s="61">
        <f>(('27'!BH$33+'27'!BL$33)/1000)+'27'!AF$33+'27'!AS$33</f>
        <v>0</v>
      </c>
      <c r="E30" s="61">
        <f>'26'!M$32</f>
        <v>0</v>
      </c>
      <c r="F30" s="70">
        <f t="shared" si="0"/>
        <v>46200</v>
      </c>
      <c r="G30" s="71" t="e">
        <f t="shared" si="2"/>
        <v>#DIV/0!</v>
      </c>
      <c r="H30" s="71" t="e">
        <f t="shared" si="1"/>
        <v>#DIV/0!</v>
      </c>
      <c r="K30" s="74" t="e">
        <f>'27'!B32</f>
        <v>#DIV/0!</v>
      </c>
      <c r="L30" s="74">
        <f>'27'!C32</f>
        <v>0</v>
      </c>
      <c r="M30" s="74" t="e">
        <f>'27'!B33</f>
        <v>#DIV/0!</v>
      </c>
      <c r="N30" s="74">
        <f>'27'!C33</f>
        <v>0</v>
      </c>
    </row>
    <row r="31" spans="1:14" ht="15" x14ac:dyDescent="0.25">
      <c r="A31" s="67">
        <v>46201</v>
      </c>
      <c r="B31" s="61" t="e">
        <f>(('28'!BH$32+'28'!BL$32)/1000)+'28'!AF$32+'28'!AS$32</f>
        <v>#DIV/0!</v>
      </c>
      <c r="C31" s="61" t="e">
        <f>'28'!M$31</f>
        <v>#DIV/0!</v>
      </c>
      <c r="D31" s="61">
        <f>(('28'!BH$33+'28'!BL$33)/1000)+'28'!AF$33+'28'!AS$33</f>
        <v>0</v>
      </c>
      <c r="E31" s="61">
        <f>'27'!M$32</f>
        <v>0</v>
      </c>
      <c r="F31" s="70">
        <f t="shared" si="0"/>
        <v>46201</v>
      </c>
      <c r="G31" s="71" t="e">
        <f>C31/B31</f>
        <v>#DIV/0!</v>
      </c>
      <c r="H31" s="71" t="e">
        <f t="shared" si="1"/>
        <v>#DIV/0!</v>
      </c>
      <c r="K31" s="74" t="e">
        <f>'28'!B32</f>
        <v>#DIV/0!</v>
      </c>
      <c r="L31" s="74">
        <f>'28'!C32</f>
        <v>0</v>
      </c>
      <c r="M31" s="74" t="e">
        <f>'28'!B33</f>
        <v>#DIV/0!</v>
      </c>
      <c r="N31" s="74">
        <f>'28'!C33</f>
        <v>0</v>
      </c>
    </row>
    <row r="32" spans="1:14" ht="15" x14ac:dyDescent="0.25">
      <c r="A32" s="67">
        <v>46202</v>
      </c>
      <c r="B32" s="61" t="e">
        <f>(('29'!BH$32+'29'!BL$32)/1000)+'29'!AF$32+'29'!AS$32</f>
        <v>#DIV/0!</v>
      </c>
      <c r="C32" s="61" t="e">
        <f>'29'!M$31</f>
        <v>#DIV/0!</v>
      </c>
      <c r="D32" s="61">
        <f>(('29'!BH$33+'29'!BL$33)/1000)+'29'!AF$33+'29'!AS$33</f>
        <v>0</v>
      </c>
      <c r="E32" s="61">
        <f>'29'!M$32</f>
        <v>0</v>
      </c>
      <c r="F32" s="70">
        <f t="shared" ref="F32:F34" si="5">A32</f>
        <v>46202</v>
      </c>
      <c r="G32" s="71" t="e">
        <f t="shared" ref="G32:G34" si="6">C32/B32</f>
        <v>#DIV/0!</v>
      </c>
      <c r="H32" s="71" t="e">
        <f t="shared" ref="H32:H34" si="7">E32/D32</f>
        <v>#DIV/0!</v>
      </c>
      <c r="K32" s="74" t="e">
        <f>'29'!B32</f>
        <v>#DIV/0!</v>
      </c>
      <c r="L32" s="74">
        <f>'29'!C32</f>
        <v>0</v>
      </c>
      <c r="M32" s="74" t="e">
        <f>'29'!B33</f>
        <v>#DIV/0!</v>
      </c>
      <c r="N32" s="74">
        <f>'29'!C33</f>
        <v>0</v>
      </c>
    </row>
    <row r="33" spans="1:14" ht="15" x14ac:dyDescent="0.25">
      <c r="A33" s="67">
        <v>46203</v>
      </c>
      <c r="B33" s="61" t="e">
        <f>(('30'!BH$32+'30'!BL$32)/1000)+'30'!AF$32+'30'!AS$32</f>
        <v>#DIV/0!</v>
      </c>
      <c r="C33" s="61" t="e">
        <f>'30'!M$31</f>
        <v>#DIV/0!</v>
      </c>
      <c r="D33" s="61">
        <f>(('30'!BH$33+'30'!BL$33)/1000)+'30'!AF$33+'30'!AS$33</f>
        <v>0</v>
      </c>
      <c r="E33" s="61">
        <f>'28'!M$32</f>
        <v>0</v>
      </c>
      <c r="F33" s="70">
        <f t="shared" si="5"/>
        <v>46203</v>
      </c>
      <c r="G33" s="71" t="e">
        <f t="shared" si="6"/>
        <v>#DIV/0!</v>
      </c>
      <c r="H33" s="71" t="e">
        <f t="shared" si="7"/>
        <v>#DIV/0!</v>
      </c>
      <c r="K33" s="74" t="e">
        <f>'30'!B32</f>
        <v>#DIV/0!</v>
      </c>
      <c r="L33" s="74">
        <f>'30'!C32</f>
        <v>0</v>
      </c>
      <c r="M33" s="74" t="e">
        <f>'30'!B33</f>
        <v>#DIV/0!</v>
      </c>
      <c r="N33" s="74">
        <f>'30'!C33</f>
        <v>0</v>
      </c>
    </row>
    <row r="34" spans="1:14" ht="15" x14ac:dyDescent="0.25">
      <c r="A34" s="67">
        <v>46204</v>
      </c>
      <c r="B34" s="61" t="e">
        <f>(('31'!BH$32+'31'!BL$32)/1000)+'31'!AF$32+'31'!AS$32</f>
        <v>#DIV/0!</v>
      </c>
      <c r="C34" s="61" t="e">
        <f>'31'!M$31</f>
        <v>#DIV/0!</v>
      </c>
      <c r="D34" s="61">
        <f>(('31'!BH$33+'31'!BL$33)/1000)+'31'!AF$33+'31'!AS$33</f>
        <v>0</v>
      </c>
      <c r="E34" s="61">
        <f>'31'!M$32</f>
        <v>0</v>
      </c>
      <c r="F34" s="70">
        <f t="shared" si="5"/>
        <v>46204</v>
      </c>
      <c r="G34" s="71" t="e">
        <f t="shared" si="6"/>
        <v>#DIV/0!</v>
      </c>
      <c r="H34" s="71" t="e">
        <f t="shared" si="7"/>
        <v>#DIV/0!</v>
      </c>
      <c r="K34" s="74" t="e">
        <f>'31'!B32</f>
        <v>#DIV/0!</v>
      </c>
      <c r="L34" s="74">
        <f>'31'!C32</f>
        <v>0</v>
      </c>
      <c r="M34" s="74" t="e">
        <f>'31'!B33</f>
        <v>#DIV/0!</v>
      </c>
      <c r="N34" s="74">
        <f>'31'!C33</f>
        <v>0</v>
      </c>
    </row>
  </sheetData>
  <mergeCells count="3">
    <mergeCell ref="A2:C2"/>
    <mergeCell ref="K2:L2"/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FSS &amp; VESDA</vt:lpstr>
      <vt:lpstr>Inergen Gas Cylinder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Room Temp - Auto Update</vt:lpstr>
      <vt:lpstr>Power Plant - RECTIFIER 1</vt:lpstr>
      <vt:lpstr>Power Plant - RECTIFIER 2</vt:lpstr>
      <vt:lpstr>Power Plant - UPS 1</vt:lpstr>
      <vt:lpstr>Power Plant - UPS 2</vt:lpstr>
      <vt:lpstr>Summary - Temp &amp; Hum </vt:lpstr>
      <vt:lpstr>PUE Trend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Exceed;Mubita</dc:creator>
  <cp:lastModifiedBy>Ndabane Makukula</cp:lastModifiedBy>
  <dcterms:created xsi:type="dcterms:W3CDTF">2017-10-01T02:08:43Z</dcterms:created>
  <dcterms:modified xsi:type="dcterms:W3CDTF">2026-07-21T13:42:34Z</dcterms:modified>
</cp:coreProperties>
</file>